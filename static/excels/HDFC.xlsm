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G:\My Drive\2025_2026\1000.HDFC\KL01.TVM\1011951_#VINOD_KUMAR#_TVM_04.04.2026_118XXX_117VMJ_704955429_RESL\"/>
    </mc:Choice>
  </mc:AlternateContent>
  <xr:revisionPtr revIDLastSave="0" documentId="13_ncr:1_{AD49DDFA-480D-41DC-9EF6-AE24662958E9}" xr6:coauthVersionLast="47" xr6:coauthVersionMax="47" xr10:uidLastSave="{00000000-0000-0000-0000-000000000000}"/>
  <bookViews>
    <workbookView xWindow="-110" yWindow="-110" windowWidth="19420" windowHeight="10300" tabRatio="376" activeTab="1" xr2:uid="{00000000-000D-0000-FFFF-FFFF00000000}"/>
  </bookViews>
  <sheets>
    <sheet name="01.Converter" sheetId="99" r:id="rId1"/>
    <sheet name="02.GeneralFileDetails" sheetId="101" r:id="rId2"/>
    <sheet name="MaGic_AVM_Land" sheetId="130" state="hidden" r:id="rId3"/>
    <sheet name="MaGic_Avm_Building" sheetId="181" state="hidden" r:id="rId4"/>
    <sheet name="101.Magic_AVM_OuTpUt" sheetId="158" state="hidden" r:id="rId5"/>
    <sheet name="AVMDropdown" sheetId="131" state="hidden" r:id="rId6"/>
    <sheet name="MotherData" sheetId="186" state="hidden" r:id="rId7"/>
    <sheet name="Report" sheetId="185" r:id="rId8"/>
    <sheet name="Annexure" sheetId="128" r:id="rId9"/>
    <sheet name="PanCatI" sheetId="184" state="hidden" r:id="rId10"/>
    <sheet name="Panchayat Catagory" sheetId="182" state="hidden" r:id="rId11"/>
    <sheet name="1.SurveyAnalysis" sheetId="155" state="hidden" r:id="rId12"/>
    <sheet name="0.DocumentAnalysis" sheetId="172" state="hidden" r:id="rId13"/>
    <sheet name="02.OwnerAnalysis" sheetId="159" state="hidden" r:id="rId14"/>
    <sheet name="03.AnalysisboundaryDeed" sheetId="169" state="hidden" r:id="rId15"/>
    <sheet name="04.AnalysisboundaryLocSk" sheetId="176" state="hidden" r:id="rId16"/>
    <sheet name="05.AnalysisboundarySurSk" sheetId="177" state="hidden" r:id="rId17"/>
    <sheet name="01.AGRMT" sheetId="143" state="hidden" r:id="rId18"/>
    <sheet name="01B.SDEC" sheetId="167" state="hidden" r:id="rId19"/>
    <sheet name="02.OTD" sheetId="133" state="hidden" r:id="rId20"/>
    <sheet name="03.LTR" sheetId="168" state="hidden" r:id="rId21"/>
    <sheet name="04.POSN" sheetId="173" state="hidden" r:id="rId22"/>
    <sheet name="05.TIR" sheetId="162" state="hidden" r:id="rId23"/>
    <sheet name="06.LocSk" sheetId="174" state="hidden" r:id="rId24"/>
    <sheet name="07.SurSk" sheetId="175" state="hidden" r:id="rId25"/>
    <sheet name="06.BPER" sheetId="163" state="hidden" r:id="rId26"/>
    <sheet name="07.DPER" sheetId="164" state="hidden" r:id="rId27"/>
    <sheet name="08.BTAX" sheetId="165" state="hidden" r:id="rId28"/>
    <sheet name="09.BCER" sheetId="166" state="hidden" r:id="rId29"/>
    <sheet name="10.SITE" sheetId="170" state="hidden" r:id="rId30"/>
    <sheet name="102.OutPut Drop Down" sheetId="156" state="hidden" r:id="rId31"/>
    <sheet name="AppDropdown" sheetId="126" state="hidden" r:id="rId32"/>
    <sheet name="101.Vlook Up" sheetId="124" state="hidden" r:id="rId33"/>
    <sheet name="0.Dropdown" sheetId="40" state="hidden" r:id="rId34"/>
  </sheets>
  <functionGroups builtInGroupCount="19"/>
  <externalReferences>
    <externalReference r:id="rId35"/>
  </externalReferences>
  <definedNames>
    <definedName name="_xleta.AND" hidden="1" xlm="1">#NAME?</definedName>
    <definedName name="_xlnm.Print_Area" localSheetId="1">'02.GeneralFileDetails'!#REF!</definedName>
    <definedName name="_xlnm.Print_Area" localSheetId="20">'03.LTR'!$A$1:$AX$152</definedName>
    <definedName name="_xlnm.Print_Area" localSheetId="8">Annexure!$I$5:$R$51</definedName>
    <definedName name="_xlnm.Print_Area" localSheetId="7">Report!$U$5:$AI$311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1" i="40" l="1" a="1"/>
  <c r="AM1" i="40"/>
  <c r="B110" i="124"/>
  <c r="A109" i="124"/>
  <c r="D99" i="124"/>
  <c r="C99" i="124"/>
  <c r="B99" i="124"/>
  <c r="D98" i="124"/>
  <c r="C98" i="124"/>
  <c r="B98" i="124"/>
  <c r="D95" i="124"/>
  <c r="C95" i="124"/>
  <c r="B95" i="124"/>
  <c r="D88" i="124"/>
  <c r="D87" i="124"/>
  <c r="D86" i="124"/>
  <c r="D85" i="124"/>
  <c r="E84" i="124"/>
  <c r="D84" i="124"/>
  <c r="B82" i="124"/>
  <c r="F81" i="124"/>
  <c r="E81" i="124"/>
  <c r="D81" i="124"/>
  <c r="C81" i="124"/>
  <c r="F80" i="124"/>
  <c r="E80" i="124"/>
  <c r="D80" i="124"/>
  <c r="C80" i="124"/>
  <c r="B79" i="124"/>
  <c r="G78" i="124"/>
  <c r="F78" i="124"/>
  <c r="E78" i="124"/>
  <c r="D78" i="124"/>
  <c r="C78" i="124"/>
  <c r="F77" i="124"/>
  <c r="E77" i="124"/>
  <c r="D77" i="124"/>
  <c r="C77" i="124"/>
  <c r="F76" i="124"/>
  <c r="E76" i="124"/>
  <c r="D76" i="124"/>
  <c r="C76" i="124"/>
  <c r="G74" i="124"/>
  <c r="H73" i="124"/>
  <c r="G73" i="124"/>
  <c r="H71" i="124"/>
  <c r="G71" i="124"/>
  <c r="I68" i="124"/>
  <c r="H68" i="124"/>
  <c r="G68" i="124"/>
  <c r="D68" i="124"/>
  <c r="C68" i="124"/>
  <c r="H67" i="124"/>
  <c r="H66" i="124"/>
  <c r="F66" i="124"/>
  <c r="E66" i="124"/>
  <c r="H65" i="124"/>
  <c r="F65" i="124"/>
  <c r="E65" i="124"/>
  <c r="H64" i="124"/>
  <c r="H63" i="124"/>
  <c r="D63" i="124"/>
  <c r="C63" i="124"/>
  <c r="I62" i="124"/>
  <c r="E59" i="124"/>
  <c r="F58" i="124"/>
  <c r="E58" i="124"/>
  <c r="F57" i="124"/>
  <c r="E57" i="124"/>
  <c r="E55" i="124"/>
  <c r="F53" i="124"/>
  <c r="E53" i="124"/>
  <c r="F52" i="124"/>
  <c r="E52" i="124"/>
  <c r="B49" i="124"/>
  <c r="B48" i="124"/>
  <c r="B47" i="124"/>
  <c r="B46" i="124"/>
  <c r="B45" i="124"/>
  <c r="F37" i="124"/>
  <c r="C33" i="124"/>
  <c r="G27" i="124"/>
  <c r="D27" i="124"/>
  <c r="B23" i="124"/>
  <c r="F22" i="124"/>
  <c r="E22" i="124"/>
  <c r="D22" i="124"/>
  <c r="C22" i="124"/>
  <c r="B22" i="124"/>
  <c r="F21" i="124"/>
  <c r="E21" i="124"/>
  <c r="D21" i="124"/>
  <c r="C21" i="124"/>
  <c r="B21" i="124"/>
  <c r="F20" i="124"/>
  <c r="E20" i="124"/>
  <c r="D20" i="124"/>
  <c r="C20" i="124"/>
  <c r="B20" i="124"/>
  <c r="F19" i="124"/>
  <c r="E19" i="124"/>
  <c r="D19" i="124"/>
  <c r="C19" i="124"/>
  <c r="B19" i="124"/>
  <c r="C13" i="124"/>
  <c r="F12" i="124"/>
  <c r="E11" i="124"/>
  <c r="E10" i="124"/>
  <c r="E9" i="124"/>
  <c r="E8" i="124"/>
  <c r="E7" i="124"/>
  <c r="H6" i="124"/>
  <c r="G6" i="124"/>
  <c r="F6" i="124"/>
  <c r="D4" i="124"/>
  <c r="F3" i="124"/>
  <c r="E3" i="124"/>
  <c r="D3" i="124"/>
  <c r="E2" i="124"/>
  <c r="D2" i="124"/>
  <c r="B25" i="156"/>
  <c r="B24" i="156"/>
  <c r="B23" i="156"/>
  <c r="B22" i="156"/>
  <c r="B21" i="156"/>
  <c r="B20" i="156"/>
  <c r="B19" i="156"/>
  <c r="B18" i="156"/>
  <c r="B17" i="156"/>
  <c r="C16" i="156"/>
  <c r="B16" i="156"/>
  <c r="B15" i="156"/>
  <c r="B14" i="156"/>
  <c r="B13" i="156"/>
  <c r="B12" i="156"/>
  <c r="B11" i="156"/>
  <c r="B10" i="156"/>
  <c r="B9" i="156"/>
  <c r="C8" i="156"/>
  <c r="B8" i="156"/>
  <c r="C7" i="156"/>
  <c r="B7" i="156"/>
  <c r="C6" i="156"/>
  <c r="B6" i="156"/>
  <c r="C5" i="156"/>
  <c r="B5" i="156"/>
  <c r="C4" i="156"/>
  <c r="B4" i="156"/>
  <c r="C3" i="156"/>
  <c r="B3" i="156"/>
  <c r="D2" i="156"/>
  <c r="C2" i="156"/>
  <c r="B2" i="156"/>
  <c r="AA116" i="170"/>
  <c r="Y116" i="170"/>
  <c r="Y115" i="170"/>
  <c r="Y114" i="170"/>
  <c r="Y113" i="170"/>
  <c r="AC112" i="170"/>
  <c r="AA112" i="170"/>
  <c r="Y112" i="170"/>
  <c r="AC111" i="170"/>
  <c r="AA111" i="170"/>
  <c r="Y111" i="170"/>
  <c r="AC110" i="170"/>
  <c r="AA110" i="170"/>
  <c r="Y110" i="170"/>
  <c r="AD109" i="170"/>
  <c r="AC109" i="170"/>
  <c r="AA109" i="170"/>
  <c r="Y109" i="170"/>
  <c r="AD108" i="170"/>
  <c r="AC108" i="170"/>
  <c r="AA108" i="170"/>
  <c r="Y108" i="170"/>
  <c r="Y107" i="170"/>
  <c r="AA105" i="170"/>
  <c r="AA104" i="170"/>
  <c r="AA103" i="170"/>
  <c r="AA101" i="170"/>
  <c r="Z101" i="170"/>
  <c r="Y101" i="170"/>
  <c r="X101" i="170"/>
  <c r="W101" i="170"/>
  <c r="V101" i="170"/>
  <c r="U101" i="170"/>
  <c r="T101" i="170"/>
  <c r="S101" i="170"/>
  <c r="R101" i="170"/>
  <c r="Q101" i="170"/>
  <c r="P101" i="170"/>
  <c r="O101" i="170"/>
  <c r="N101" i="170"/>
  <c r="M101" i="170"/>
  <c r="L101" i="170"/>
  <c r="K101" i="170"/>
  <c r="J101" i="170"/>
  <c r="I101" i="170"/>
  <c r="H101" i="170"/>
  <c r="G101" i="170"/>
  <c r="F101" i="170"/>
  <c r="E101" i="170"/>
  <c r="D101" i="170"/>
  <c r="C101" i="170"/>
  <c r="AB45" i="170" a="1"/>
  <c r="AB45" i="170"/>
  <c r="AA45" i="170"/>
  <c r="AB44" i="170" a="1"/>
  <c r="AB44" i="170"/>
  <c r="AA44" i="170"/>
  <c r="AB43" i="170" a="1"/>
  <c r="AB43" i="170"/>
  <c r="AA43" i="170"/>
  <c r="AB42" i="170" a="1"/>
  <c r="AB42" i="170"/>
  <c r="AA42" i="170"/>
  <c r="AB41" i="170" a="1"/>
  <c r="AB41" i="170"/>
  <c r="AA41" i="170"/>
  <c r="AB40" i="170" a="1"/>
  <c r="AB40" i="170"/>
  <c r="AA40" i="170"/>
  <c r="AB39" i="170" a="1"/>
  <c r="AB39" i="170"/>
  <c r="AA39" i="170"/>
  <c r="AB38" i="170" a="1"/>
  <c r="AB38" i="170"/>
  <c r="AA38" i="170"/>
  <c r="AB37" i="170" a="1"/>
  <c r="AB37" i="170"/>
  <c r="AA37" i="170"/>
  <c r="Z37" i="170"/>
  <c r="Y37" i="170"/>
  <c r="X37" i="170"/>
  <c r="W37" i="170"/>
  <c r="V37" i="170"/>
  <c r="U37" i="170"/>
  <c r="T37" i="170"/>
  <c r="S37" i="170"/>
  <c r="R37" i="170"/>
  <c r="Q37" i="170"/>
  <c r="P37" i="170"/>
  <c r="O37" i="170"/>
  <c r="N37" i="170"/>
  <c r="M37" i="170"/>
  <c r="L37" i="170"/>
  <c r="K37" i="170"/>
  <c r="J37" i="170"/>
  <c r="I37" i="170"/>
  <c r="H37" i="170"/>
  <c r="G37" i="170"/>
  <c r="F37" i="170"/>
  <c r="E37" i="170"/>
  <c r="D37" i="170"/>
  <c r="C37" i="170"/>
  <c r="AB36" i="170" a="1"/>
  <c r="AB36" i="170"/>
  <c r="AA36" i="170"/>
  <c r="Z36" i="170"/>
  <c r="Y36" i="170"/>
  <c r="X36" i="170"/>
  <c r="W36" i="170"/>
  <c r="V36" i="170"/>
  <c r="U36" i="170"/>
  <c r="T36" i="170"/>
  <c r="S36" i="170"/>
  <c r="R36" i="170"/>
  <c r="Q36" i="170"/>
  <c r="P36" i="170"/>
  <c r="O36" i="170"/>
  <c r="N36" i="170"/>
  <c r="M36" i="170"/>
  <c r="L36" i="170"/>
  <c r="K36" i="170"/>
  <c r="J36" i="170"/>
  <c r="I36" i="170"/>
  <c r="H36" i="170"/>
  <c r="G36" i="170"/>
  <c r="F36" i="170"/>
  <c r="E36" i="170"/>
  <c r="D36" i="170"/>
  <c r="C36" i="170"/>
  <c r="AB35" i="170" a="1"/>
  <c r="AB35" i="170"/>
  <c r="AA35" i="170"/>
  <c r="Z35" i="170"/>
  <c r="Y35" i="170"/>
  <c r="X35" i="170"/>
  <c r="W35" i="170"/>
  <c r="V35" i="170"/>
  <c r="U35" i="170"/>
  <c r="T35" i="170"/>
  <c r="S35" i="170"/>
  <c r="R35" i="170"/>
  <c r="Q35" i="170"/>
  <c r="P35" i="170"/>
  <c r="O35" i="170"/>
  <c r="N35" i="170"/>
  <c r="M35" i="170"/>
  <c r="L35" i="170"/>
  <c r="K35" i="170"/>
  <c r="J35" i="170"/>
  <c r="I35" i="170"/>
  <c r="H35" i="170"/>
  <c r="G35" i="170"/>
  <c r="F35" i="170"/>
  <c r="E35" i="170"/>
  <c r="D35" i="170"/>
  <c r="C35" i="170"/>
  <c r="AB34" i="170" a="1"/>
  <c r="AB34" i="170"/>
  <c r="AA34" i="170"/>
  <c r="Z34" i="170"/>
  <c r="Y34" i="170"/>
  <c r="X34" i="170"/>
  <c r="W34" i="170"/>
  <c r="V34" i="170"/>
  <c r="U34" i="170"/>
  <c r="T34" i="170"/>
  <c r="S34" i="170"/>
  <c r="R34" i="170"/>
  <c r="Q34" i="170"/>
  <c r="P34" i="170"/>
  <c r="O34" i="170"/>
  <c r="N34" i="170"/>
  <c r="M34" i="170"/>
  <c r="L34" i="170"/>
  <c r="K34" i="170"/>
  <c r="J34" i="170"/>
  <c r="I34" i="170"/>
  <c r="H34" i="170"/>
  <c r="G34" i="170"/>
  <c r="F34" i="170"/>
  <c r="E34" i="170"/>
  <c r="D34" i="170"/>
  <c r="C34" i="170"/>
  <c r="AB33" i="170" a="1"/>
  <c r="AB33" i="170"/>
  <c r="AA33" i="170"/>
  <c r="Z33" i="170"/>
  <c r="Y33" i="170"/>
  <c r="X33" i="170"/>
  <c r="W33" i="170"/>
  <c r="V33" i="170"/>
  <c r="U33" i="170"/>
  <c r="T33" i="170"/>
  <c r="S33" i="170"/>
  <c r="R33" i="170"/>
  <c r="Q33" i="170"/>
  <c r="P33" i="170"/>
  <c r="O33" i="170"/>
  <c r="N33" i="170"/>
  <c r="M33" i="170"/>
  <c r="L33" i="170"/>
  <c r="K33" i="170"/>
  <c r="J33" i="170"/>
  <c r="I33" i="170"/>
  <c r="H33" i="170"/>
  <c r="G33" i="170"/>
  <c r="F33" i="170"/>
  <c r="E33" i="170"/>
  <c r="D33" i="170"/>
  <c r="C33" i="170"/>
  <c r="AB32" i="170" a="1"/>
  <c r="AB32" i="170"/>
  <c r="AA32" i="170"/>
  <c r="Z32" i="170"/>
  <c r="Y32" i="170"/>
  <c r="X32" i="170"/>
  <c r="W32" i="170"/>
  <c r="V32" i="170"/>
  <c r="U32" i="170"/>
  <c r="T32" i="170"/>
  <c r="S32" i="170"/>
  <c r="R32" i="170"/>
  <c r="Q32" i="170"/>
  <c r="P32" i="170"/>
  <c r="O32" i="170"/>
  <c r="N32" i="170"/>
  <c r="M32" i="170"/>
  <c r="L32" i="170"/>
  <c r="K32" i="170"/>
  <c r="J32" i="170"/>
  <c r="I32" i="170"/>
  <c r="H32" i="170"/>
  <c r="G32" i="170"/>
  <c r="F32" i="170"/>
  <c r="E32" i="170"/>
  <c r="D32" i="170"/>
  <c r="C32" i="170"/>
  <c r="AB31" i="170" a="1"/>
  <c r="AB31" i="170"/>
  <c r="AA31" i="170"/>
  <c r="Z31" i="170"/>
  <c r="Y31" i="170"/>
  <c r="X31" i="170"/>
  <c r="W31" i="170"/>
  <c r="V31" i="170"/>
  <c r="U31" i="170"/>
  <c r="T31" i="170"/>
  <c r="S31" i="170"/>
  <c r="R31" i="170"/>
  <c r="Q31" i="170"/>
  <c r="P31" i="170"/>
  <c r="O31" i="170"/>
  <c r="N31" i="170"/>
  <c r="M31" i="170"/>
  <c r="L31" i="170"/>
  <c r="K31" i="170"/>
  <c r="J31" i="170"/>
  <c r="I31" i="170"/>
  <c r="H31" i="170"/>
  <c r="G31" i="170"/>
  <c r="F31" i="170"/>
  <c r="E31" i="170"/>
  <c r="D31" i="170"/>
  <c r="C31" i="170"/>
  <c r="AB30" i="170" a="1"/>
  <c r="AB30" i="170"/>
  <c r="AA30" i="170"/>
  <c r="Z30" i="170"/>
  <c r="Y30" i="170"/>
  <c r="X30" i="170"/>
  <c r="W30" i="170"/>
  <c r="V30" i="170"/>
  <c r="U30" i="170"/>
  <c r="T30" i="170"/>
  <c r="S30" i="170"/>
  <c r="R30" i="170"/>
  <c r="Q30" i="170"/>
  <c r="P30" i="170"/>
  <c r="O30" i="170"/>
  <c r="N30" i="170"/>
  <c r="M30" i="170"/>
  <c r="L30" i="170"/>
  <c r="K30" i="170"/>
  <c r="J30" i="170"/>
  <c r="I30" i="170"/>
  <c r="H30" i="170"/>
  <c r="G30" i="170"/>
  <c r="F30" i="170"/>
  <c r="E30" i="170"/>
  <c r="D30" i="170"/>
  <c r="C30" i="170"/>
  <c r="AB29" i="170" a="1"/>
  <c r="AB29" i="170"/>
  <c r="AA29" i="170"/>
  <c r="Z29" i="170"/>
  <c r="Y29" i="170"/>
  <c r="X29" i="170"/>
  <c r="W29" i="170"/>
  <c r="V29" i="170"/>
  <c r="U29" i="170"/>
  <c r="T29" i="170"/>
  <c r="S29" i="170"/>
  <c r="R29" i="170"/>
  <c r="Q29" i="170"/>
  <c r="P29" i="170"/>
  <c r="O29" i="170"/>
  <c r="N29" i="170"/>
  <c r="M29" i="170"/>
  <c r="L29" i="170"/>
  <c r="K29" i="170"/>
  <c r="J29" i="170"/>
  <c r="I29" i="170"/>
  <c r="H29" i="170"/>
  <c r="G29" i="170"/>
  <c r="F29" i="170"/>
  <c r="E29" i="170"/>
  <c r="D29" i="170"/>
  <c r="C29" i="170"/>
  <c r="AB28" i="170" a="1"/>
  <c r="AB28" i="170"/>
  <c r="AA28" i="170"/>
  <c r="Z28" i="170"/>
  <c r="Y28" i="170"/>
  <c r="X28" i="170"/>
  <c r="W28" i="170"/>
  <c r="V28" i="170"/>
  <c r="U28" i="170"/>
  <c r="T28" i="170"/>
  <c r="S28" i="170"/>
  <c r="R28" i="170"/>
  <c r="Q28" i="170"/>
  <c r="P28" i="170"/>
  <c r="O28" i="170"/>
  <c r="N28" i="170"/>
  <c r="M28" i="170"/>
  <c r="L28" i="170"/>
  <c r="K28" i="170"/>
  <c r="J28" i="170"/>
  <c r="I28" i="170"/>
  <c r="H28" i="170"/>
  <c r="G28" i="170"/>
  <c r="F28" i="170"/>
  <c r="E28" i="170"/>
  <c r="D28" i="170"/>
  <c r="C28" i="170"/>
  <c r="AB27" i="170" a="1"/>
  <c r="AB27" i="170"/>
  <c r="AA27" i="170"/>
  <c r="Z27" i="170"/>
  <c r="Y27" i="170"/>
  <c r="X27" i="170"/>
  <c r="W27" i="170"/>
  <c r="V27" i="170"/>
  <c r="U27" i="170"/>
  <c r="T27" i="170"/>
  <c r="S27" i="170"/>
  <c r="R27" i="170"/>
  <c r="Q27" i="170"/>
  <c r="P27" i="170"/>
  <c r="O27" i="170"/>
  <c r="N27" i="170"/>
  <c r="M27" i="170"/>
  <c r="L27" i="170"/>
  <c r="K27" i="170"/>
  <c r="J27" i="170"/>
  <c r="I27" i="170"/>
  <c r="H27" i="170"/>
  <c r="G27" i="170"/>
  <c r="F27" i="170"/>
  <c r="E27" i="170"/>
  <c r="D27" i="170"/>
  <c r="C27" i="170"/>
  <c r="AB26" i="170" a="1"/>
  <c r="AB26" i="170"/>
  <c r="AA26" i="170"/>
  <c r="Z26" i="170"/>
  <c r="Y26" i="170"/>
  <c r="X26" i="170"/>
  <c r="W26" i="170"/>
  <c r="V26" i="170"/>
  <c r="U26" i="170"/>
  <c r="T26" i="170"/>
  <c r="S26" i="170"/>
  <c r="R26" i="170"/>
  <c r="Q26" i="170"/>
  <c r="P26" i="170"/>
  <c r="O26" i="170"/>
  <c r="N26" i="170"/>
  <c r="M26" i="170"/>
  <c r="L26" i="170"/>
  <c r="K26" i="170"/>
  <c r="J26" i="170"/>
  <c r="I26" i="170"/>
  <c r="H26" i="170"/>
  <c r="G26" i="170"/>
  <c r="F26" i="170"/>
  <c r="E26" i="170"/>
  <c r="D26" i="170"/>
  <c r="C26" i="170"/>
  <c r="AB25" i="170" a="1"/>
  <c r="AB25" i="170"/>
  <c r="AA25" i="170"/>
  <c r="Z25" i="170"/>
  <c r="Y25" i="170"/>
  <c r="X25" i="170"/>
  <c r="W25" i="170"/>
  <c r="V25" i="170"/>
  <c r="U25" i="170"/>
  <c r="T25" i="170"/>
  <c r="S25" i="170"/>
  <c r="R25" i="170"/>
  <c r="Q25" i="170"/>
  <c r="P25" i="170"/>
  <c r="O25" i="170"/>
  <c r="N25" i="170"/>
  <c r="M25" i="170"/>
  <c r="L25" i="170"/>
  <c r="K25" i="170"/>
  <c r="J25" i="170"/>
  <c r="I25" i="170"/>
  <c r="H25" i="170"/>
  <c r="G25" i="170"/>
  <c r="F25" i="170"/>
  <c r="E25" i="170"/>
  <c r="D25" i="170"/>
  <c r="C25" i="170"/>
  <c r="AB24" i="170" a="1"/>
  <c r="AB24" i="170"/>
  <c r="AA24" i="170"/>
  <c r="Z24" i="170"/>
  <c r="Y24" i="170"/>
  <c r="X24" i="170"/>
  <c r="W24" i="170"/>
  <c r="V24" i="170"/>
  <c r="U24" i="170"/>
  <c r="T24" i="170"/>
  <c r="S24" i="170"/>
  <c r="R24" i="170"/>
  <c r="Q24" i="170"/>
  <c r="P24" i="170"/>
  <c r="O24" i="170"/>
  <c r="N24" i="170"/>
  <c r="M24" i="170"/>
  <c r="L24" i="170"/>
  <c r="K24" i="170"/>
  <c r="J24" i="170"/>
  <c r="I24" i="170"/>
  <c r="H24" i="170"/>
  <c r="G24" i="170"/>
  <c r="F24" i="170"/>
  <c r="E24" i="170"/>
  <c r="D24" i="170"/>
  <c r="C24" i="170"/>
  <c r="AB23" i="170" a="1"/>
  <c r="AB23" i="170"/>
  <c r="AA23" i="170"/>
  <c r="Z23" i="170"/>
  <c r="Y23" i="170"/>
  <c r="X23" i="170"/>
  <c r="W23" i="170"/>
  <c r="V23" i="170"/>
  <c r="U23" i="170"/>
  <c r="T23" i="170"/>
  <c r="S23" i="170"/>
  <c r="R23" i="170"/>
  <c r="Q23" i="170"/>
  <c r="P23" i="170"/>
  <c r="O23" i="170"/>
  <c r="N23" i="170"/>
  <c r="M23" i="170"/>
  <c r="L23" i="170"/>
  <c r="K23" i="170"/>
  <c r="J23" i="170"/>
  <c r="I23" i="170"/>
  <c r="H23" i="170"/>
  <c r="G23" i="170"/>
  <c r="F23" i="170"/>
  <c r="E23" i="170"/>
  <c r="D23" i="170"/>
  <c r="C23" i="170"/>
  <c r="AB22" i="170" a="1"/>
  <c r="AB22" i="170"/>
  <c r="AA22" i="170"/>
  <c r="Z22" i="170"/>
  <c r="Y22" i="170"/>
  <c r="X22" i="170"/>
  <c r="W22" i="170"/>
  <c r="V22" i="170"/>
  <c r="U22" i="170"/>
  <c r="T22" i="170"/>
  <c r="S22" i="170"/>
  <c r="R22" i="170"/>
  <c r="Q22" i="170"/>
  <c r="P22" i="170"/>
  <c r="O22" i="170"/>
  <c r="N22" i="170"/>
  <c r="M22" i="170"/>
  <c r="L22" i="170"/>
  <c r="K22" i="170"/>
  <c r="J22" i="170"/>
  <c r="I22" i="170"/>
  <c r="H22" i="170"/>
  <c r="G22" i="170"/>
  <c r="F22" i="170"/>
  <c r="E22" i="170"/>
  <c r="D22" i="170"/>
  <c r="C22" i="170"/>
  <c r="AB21" i="170" a="1"/>
  <c r="AB21" i="170"/>
  <c r="AA21" i="170"/>
  <c r="Z21" i="170"/>
  <c r="Y21" i="170"/>
  <c r="X21" i="170"/>
  <c r="W21" i="170"/>
  <c r="V21" i="170"/>
  <c r="U21" i="170"/>
  <c r="T21" i="170"/>
  <c r="S21" i="170"/>
  <c r="R21" i="170"/>
  <c r="Q21" i="170"/>
  <c r="P21" i="170"/>
  <c r="O21" i="170"/>
  <c r="N21" i="170"/>
  <c r="M21" i="170"/>
  <c r="L21" i="170"/>
  <c r="K21" i="170"/>
  <c r="J21" i="170"/>
  <c r="I21" i="170"/>
  <c r="H21" i="170"/>
  <c r="G21" i="170"/>
  <c r="F21" i="170"/>
  <c r="E21" i="170"/>
  <c r="D21" i="170"/>
  <c r="C21" i="170"/>
  <c r="AB20" i="170" a="1"/>
  <c r="AB20" i="170"/>
  <c r="AA20" i="170"/>
  <c r="Z20" i="170"/>
  <c r="Y20" i="170"/>
  <c r="X20" i="170"/>
  <c r="W20" i="170"/>
  <c r="V20" i="170"/>
  <c r="U20" i="170"/>
  <c r="T20" i="170"/>
  <c r="S20" i="170"/>
  <c r="R20" i="170"/>
  <c r="Q20" i="170"/>
  <c r="P20" i="170"/>
  <c r="O20" i="170"/>
  <c r="N20" i="170"/>
  <c r="M20" i="170"/>
  <c r="L20" i="170"/>
  <c r="K20" i="170"/>
  <c r="J20" i="170"/>
  <c r="I20" i="170"/>
  <c r="H20" i="170"/>
  <c r="G20" i="170"/>
  <c r="F20" i="170"/>
  <c r="E20" i="170"/>
  <c r="D20" i="170"/>
  <c r="C20" i="170"/>
  <c r="AB19" i="170" a="1"/>
  <c r="AB19" i="170"/>
  <c r="AA19" i="170"/>
  <c r="Z19" i="170"/>
  <c r="Y19" i="170"/>
  <c r="X19" i="170"/>
  <c r="W19" i="170"/>
  <c r="V19" i="170"/>
  <c r="U19" i="170"/>
  <c r="T19" i="170"/>
  <c r="S19" i="170"/>
  <c r="R19" i="170"/>
  <c r="Q19" i="170"/>
  <c r="P19" i="170"/>
  <c r="O19" i="170"/>
  <c r="N19" i="170"/>
  <c r="M19" i="170"/>
  <c r="L19" i="170"/>
  <c r="K19" i="170"/>
  <c r="J19" i="170"/>
  <c r="I19" i="170"/>
  <c r="H19" i="170"/>
  <c r="G19" i="170"/>
  <c r="F19" i="170"/>
  <c r="E19" i="170"/>
  <c r="D19" i="170"/>
  <c r="C19" i="170"/>
  <c r="AB18" i="170" a="1"/>
  <c r="AB18" i="170"/>
  <c r="AA18" i="170"/>
  <c r="Z18" i="170"/>
  <c r="Y18" i="170"/>
  <c r="X18" i="170"/>
  <c r="W18" i="170"/>
  <c r="V18" i="170"/>
  <c r="U18" i="170"/>
  <c r="T18" i="170"/>
  <c r="S18" i="170"/>
  <c r="R18" i="170"/>
  <c r="Q18" i="170"/>
  <c r="P18" i="170"/>
  <c r="O18" i="170"/>
  <c r="N18" i="170"/>
  <c r="M18" i="170"/>
  <c r="L18" i="170"/>
  <c r="K18" i="170"/>
  <c r="J18" i="170"/>
  <c r="I18" i="170"/>
  <c r="H18" i="170"/>
  <c r="G18" i="170"/>
  <c r="F18" i="170"/>
  <c r="E18" i="170"/>
  <c r="D18" i="170"/>
  <c r="C18" i="170"/>
  <c r="AB17" i="170" a="1"/>
  <c r="AB17" i="170"/>
  <c r="AA17" i="170"/>
  <c r="Z17" i="170"/>
  <c r="Y17" i="170"/>
  <c r="X17" i="170"/>
  <c r="W17" i="170"/>
  <c r="V17" i="170"/>
  <c r="U17" i="170"/>
  <c r="T17" i="170"/>
  <c r="S17" i="170"/>
  <c r="R17" i="170"/>
  <c r="Q17" i="170"/>
  <c r="P17" i="170"/>
  <c r="O17" i="170"/>
  <c r="N17" i="170"/>
  <c r="M17" i="170"/>
  <c r="L17" i="170"/>
  <c r="K17" i="170"/>
  <c r="J17" i="170"/>
  <c r="I17" i="170"/>
  <c r="H17" i="170"/>
  <c r="G17" i="170"/>
  <c r="F17" i="170"/>
  <c r="E17" i="170"/>
  <c r="D17" i="170"/>
  <c r="C17" i="170"/>
  <c r="AB16" i="170" a="1"/>
  <c r="AB16" i="170"/>
  <c r="AA16" i="170"/>
  <c r="Z16" i="170"/>
  <c r="Y16" i="170"/>
  <c r="X16" i="170"/>
  <c r="W16" i="170"/>
  <c r="V16" i="170"/>
  <c r="U16" i="170"/>
  <c r="T16" i="170"/>
  <c r="S16" i="170"/>
  <c r="R16" i="170"/>
  <c r="Q16" i="170"/>
  <c r="P16" i="170"/>
  <c r="O16" i="170"/>
  <c r="N16" i="170"/>
  <c r="M16" i="170"/>
  <c r="L16" i="170"/>
  <c r="K16" i="170"/>
  <c r="J16" i="170"/>
  <c r="I16" i="170"/>
  <c r="H16" i="170"/>
  <c r="G16" i="170"/>
  <c r="F16" i="170"/>
  <c r="E16" i="170"/>
  <c r="D16" i="170"/>
  <c r="C16" i="170"/>
  <c r="AB15" i="170" a="1"/>
  <c r="AB15" i="170"/>
  <c r="AA15" i="170"/>
  <c r="Z15" i="170"/>
  <c r="Y15" i="170"/>
  <c r="X15" i="170"/>
  <c r="W15" i="170"/>
  <c r="V15" i="170"/>
  <c r="U15" i="170"/>
  <c r="T15" i="170"/>
  <c r="S15" i="170"/>
  <c r="R15" i="170"/>
  <c r="Q15" i="170"/>
  <c r="P15" i="170"/>
  <c r="O15" i="170"/>
  <c r="N15" i="170"/>
  <c r="M15" i="170"/>
  <c r="L15" i="170"/>
  <c r="K15" i="170"/>
  <c r="J15" i="170"/>
  <c r="I15" i="170"/>
  <c r="H15" i="170"/>
  <c r="G15" i="170"/>
  <c r="F15" i="170"/>
  <c r="E15" i="170"/>
  <c r="D15" i="170"/>
  <c r="C15" i="170"/>
  <c r="AB14" i="170" a="1"/>
  <c r="AB14" i="170"/>
  <c r="AA14" i="170"/>
  <c r="Z14" i="170"/>
  <c r="Y14" i="170"/>
  <c r="X14" i="170"/>
  <c r="W14" i="170"/>
  <c r="V14" i="170"/>
  <c r="U14" i="170"/>
  <c r="T14" i="170"/>
  <c r="S14" i="170"/>
  <c r="R14" i="170"/>
  <c r="Q14" i="170"/>
  <c r="P14" i="170"/>
  <c r="O14" i="170"/>
  <c r="N14" i="170"/>
  <c r="M14" i="170"/>
  <c r="L14" i="170"/>
  <c r="K14" i="170"/>
  <c r="J14" i="170"/>
  <c r="I14" i="170"/>
  <c r="H14" i="170"/>
  <c r="G14" i="170"/>
  <c r="F14" i="170"/>
  <c r="E14" i="170"/>
  <c r="D14" i="170"/>
  <c r="C14" i="170"/>
  <c r="AB13" i="170" a="1"/>
  <c r="AB13" i="170"/>
  <c r="AA13" i="170"/>
  <c r="Z13" i="170"/>
  <c r="Y13" i="170"/>
  <c r="X13" i="170"/>
  <c r="W13" i="170"/>
  <c r="V13" i="170"/>
  <c r="U13" i="170"/>
  <c r="T13" i="170"/>
  <c r="S13" i="170"/>
  <c r="R13" i="170"/>
  <c r="Q13" i="170"/>
  <c r="P13" i="170"/>
  <c r="O13" i="170"/>
  <c r="N13" i="170"/>
  <c r="M13" i="170"/>
  <c r="L13" i="170"/>
  <c r="K13" i="170"/>
  <c r="J13" i="170"/>
  <c r="I13" i="170"/>
  <c r="H13" i="170"/>
  <c r="G13" i="170"/>
  <c r="F13" i="170"/>
  <c r="E13" i="170"/>
  <c r="D13" i="170"/>
  <c r="C13" i="170"/>
  <c r="AB12" i="170" a="1"/>
  <c r="AB12" i="170"/>
  <c r="AA12" i="170"/>
  <c r="Z12" i="170"/>
  <c r="Y12" i="170"/>
  <c r="X12" i="170"/>
  <c r="W12" i="170"/>
  <c r="V12" i="170"/>
  <c r="U12" i="170"/>
  <c r="T12" i="170"/>
  <c r="S12" i="170"/>
  <c r="R12" i="170"/>
  <c r="Q12" i="170"/>
  <c r="P12" i="170"/>
  <c r="O12" i="170"/>
  <c r="N12" i="170"/>
  <c r="M12" i="170"/>
  <c r="L12" i="170"/>
  <c r="K12" i="170"/>
  <c r="J12" i="170"/>
  <c r="I12" i="170"/>
  <c r="H12" i="170"/>
  <c r="G12" i="170"/>
  <c r="F12" i="170"/>
  <c r="E12" i="170"/>
  <c r="D12" i="170"/>
  <c r="C12" i="170"/>
  <c r="AB11" i="170" a="1"/>
  <c r="AB11" i="170"/>
  <c r="AA11" i="170"/>
  <c r="Z11" i="170"/>
  <c r="Y11" i="170"/>
  <c r="X11" i="170"/>
  <c r="W11" i="170"/>
  <c r="V11" i="170"/>
  <c r="U11" i="170"/>
  <c r="T11" i="170"/>
  <c r="S11" i="170"/>
  <c r="R11" i="170"/>
  <c r="Q11" i="170"/>
  <c r="P11" i="170"/>
  <c r="O11" i="170"/>
  <c r="N11" i="170"/>
  <c r="M11" i="170"/>
  <c r="L11" i="170"/>
  <c r="K11" i="170"/>
  <c r="J11" i="170"/>
  <c r="I11" i="170"/>
  <c r="H11" i="170"/>
  <c r="G11" i="170"/>
  <c r="F11" i="170"/>
  <c r="E11" i="170"/>
  <c r="D11" i="170"/>
  <c r="C11" i="170"/>
  <c r="AB10" i="170" a="1"/>
  <c r="AB10" i="170"/>
  <c r="AA10" i="170"/>
  <c r="Z10" i="170"/>
  <c r="Y10" i="170"/>
  <c r="X10" i="170"/>
  <c r="W10" i="170"/>
  <c r="V10" i="170"/>
  <c r="U10" i="170"/>
  <c r="T10" i="170"/>
  <c r="S10" i="170"/>
  <c r="R10" i="170"/>
  <c r="Q10" i="170"/>
  <c r="P10" i="170"/>
  <c r="O10" i="170"/>
  <c r="N10" i="170"/>
  <c r="M10" i="170"/>
  <c r="L10" i="170"/>
  <c r="K10" i="170"/>
  <c r="J10" i="170"/>
  <c r="I10" i="170"/>
  <c r="H10" i="170"/>
  <c r="G10" i="170"/>
  <c r="F10" i="170"/>
  <c r="E10" i="170"/>
  <c r="D10" i="170"/>
  <c r="C10" i="170"/>
  <c r="AB9" i="170" a="1"/>
  <c r="AB9" i="170"/>
  <c r="AA9" i="170"/>
  <c r="Z9" i="170"/>
  <c r="Y9" i="170"/>
  <c r="X9" i="170"/>
  <c r="W9" i="170"/>
  <c r="V9" i="170"/>
  <c r="U9" i="170"/>
  <c r="T9" i="170"/>
  <c r="S9" i="170"/>
  <c r="R9" i="170"/>
  <c r="Q9" i="170"/>
  <c r="P9" i="170"/>
  <c r="O9" i="170"/>
  <c r="N9" i="170"/>
  <c r="M9" i="170"/>
  <c r="L9" i="170"/>
  <c r="K9" i="170"/>
  <c r="J9" i="170"/>
  <c r="I9" i="170"/>
  <c r="H9" i="170"/>
  <c r="G9" i="170"/>
  <c r="F9" i="170"/>
  <c r="E9" i="170"/>
  <c r="D9" i="170"/>
  <c r="C9" i="170"/>
  <c r="AB8" i="170" a="1"/>
  <c r="AB8" i="170"/>
  <c r="AA8" i="170"/>
  <c r="Z8" i="170"/>
  <c r="Y8" i="170"/>
  <c r="X8" i="170"/>
  <c r="W8" i="170"/>
  <c r="V8" i="170"/>
  <c r="U8" i="170"/>
  <c r="T8" i="170"/>
  <c r="S8" i="170"/>
  <c r="R8" i="170"/>
  <c r="Q8" i="170"/>
  <c r="P8" i="170"/>
  <c r="O8" i="170"/>
  <c r="N8" i="170"/>
  <c r="M8" i="170"/>
  <c r="L8" i="170"/>
  <c r="K8" i="170"/>
  <c r="J8" i="170"/>
  <c r="I8" i="170"/>
  <c r="H8" i="170"/>
  <c r="G8" i="170"/>
  <c r="F8" i="170"/>
  <c r="E8" i="170"/>
  <c r="D8" i="170"/>
  <c r="C8" i="170"/>
  <c r="AB7" i="170" a="1"/>
  <c r="AB7" i="170"/>
  <c r="AA7" i="170"/>
  <c r="Z7" i="170"/>
  <c r="Y7" i="170"/>
  <c r="X7" i="170"/>
  <c r="W7" i="170"/>
  <c r="V7" i="170"/>
  <c r="U7" i="170"/>
  <c r="T7" i="170"/>
  <c r="S7" i="170"/>
  <c r="R7" i="170"/>
  <c r="Q7" i="170"/>
  <c r="P7" i="170"/>
  <c r="O7" i="170"/>
  <c r="N7" i="170"/>
  <c r="M7" i="170"/>
  <c r="L7" i="170"/>
  <c r="K7" i="170"/>
  <c r="J7" i="170"/>
  <c r="I7" i="170"/>
  <c r="H7" i="170"/>
  <c r="G7" i="170"/>
  <c r="F7" i="170"/>
  <c r="E7" i="170"/>
  <c r="D7" i="170"/>
  <c r="C7" i="170"/>
  <c r="AB6" i="170" a="1"/>
  <c r="AB6" i="170"/>
  <c r="AA6" i="170"/>
  <c r="Z6" i="170"/>
  <c r="Y6" i="170"/>
  <c r="X6" i="170"/>
  <c r="W6" i="170"/>
  <c r="V6" i="170"/>
  <c r="U6" i="170"/>
  <c r="T6" i="170"/>
  <c r="S6" i="170"/>
  <c r="R6" i="170"/>
  <c r="Q6" i="170"/>
  <c r="P6" i="170"/>
  <c r="O6" i="170"/>
  <c r="N6" i="170"/>
  <c r="M6" i="170"/>
  <c r="L6" i="170"/>
  <c r="K6" i="170"/>
  <c r="J6" i="170"/>
  <c r="I6" i="170"/>
  <c r="H6" i="170"/>
  <c r="G6" i="170"/>
  <c r="F6" i="170"/>
  <c r="E6" i="170"/>
  <c r="D6" i="170"/>
  <c r="C6" i="170"/>
  <c r="AB5" i="170" a="1"/>
  <c r="AB5" i="170"/>
  <c r="AA5" i="170"/>
  <c r="Z5" i="170"/>
  <c r="Y5" i="170"/>
  <c r="X5" i="170"/>
  <c r="W5" i="170"/>
  <c r="V5" i="170"/>
  <c r="U5" i="170"/>
  <c r="T5" i="170"/>
  <c r="S5" i="170"/>
  <c r="R5" i="170"/>
  <c r="Q5" i="170"/>
  <c r="P5" i="170"/>
  <c r="O5" i="170"/>
  <c r="N5" i="170"/>
  <c r="M5" i="170"/>
  <c r="L5" i="170"/>
  <c r="K5" i="170"/>
  <c r="J5" i="170"/>
  <c r="I5" i="170"/>
  <c r="H5" i="170"/>
  <c r="G5" i="170"/>
  <c r="F5" i="170"/>
  <c r="E5" i="170"/>
  <c r="D5" i="170"/>
  <c r="C5" i="170"/>
  <c r="AB4" i="170" a="1"/>
  <c r="AB4" i="170"/>
  <c r="AA4" i="170"/>
  <c r="Z4" i="170"/>
  <c r="Y4" i="170"/>
  <c r="X4" i="170"/>
  <c r="W4" i="170"/>
  <c r="V4" i="170"/>
  <c r="U4" i="170"/>
  <c r="T4" i="170"/>
  <c r="S4" i="170"/>
  <c r="R4" i="170"/>
  <c r="Q4" i="170"/>
  <c r="P4" i="170"/>
  <c r="O4" i="170"/>
  <c r="N4" i="170"/>
  <c r="M4" i="170"/>
  <c r="L4" i="170"/>
  <c r="K4" i="170"/>
  <c r="J4" i="170"/>
  <c r="I4" i="170"/>
  <c r="H4" i="170"/>
  <c r="G4" i="170"/>
  <c r="F4" i="170"/>
  <c r="E4" i="170"/>
  <c r="D4" i="170"/>
  <c r="C4" i="170"/>
  <c r="AB3" i="170" a="1"/>
  <c r="AB3" i="170"/>
  <c r="AA3" i="170"/>
  <c r="Z3" i="170"/>
  <c r="Y3" i="170"/>
  <c r="X3" i="170"/>
  <c r="W3" i="170"/>
  <c r="V3" i="170"/>
  <c r="U3" i="170"/>
  <c r="T3" i="170"/>
  <c r="S3" i="170"/>
  <c r="R3" i="170"/>
  <c r="Q3" i="170"/>
  <c r="P3" i="170"/>
  <c r="O3" i="170"/>
  <c r="N3" i="170"/>
  <c r="M3" i="170"/>
  <c r="L3" i="170"/>
  <c r="K3" i="170"/>
  <c r="J3" i="170"/>
  <c r="I3" i="170"/>
  <c r="H3" i="170"/>
  <c r="G3" i="170"/>
  <c r="F3" i="170"/>
  <c r="E3" i="170"/>
  <c r="D3" i="170"/>
  <c r="C3" i="170"/>
  <c r="AB2" i="170" a="1"/>
  <c r="AB2" i="170"/>
  <c r="AA2" i="170"/>
  <c r="Z2" i="170"/>
  <c r="Y2" i="170"/>
  <c r="X2" i="170"/>
  <c r="W2" i="170"/>
  <c r="V2" i="170"/>
  <c r="U2" i="170"/>
  <c r="T2" i="170"/>
  <c r="S2" i="170"/>
  <c r="R2" i="170"/>
  <c r="Q2" i="170"/>
  <c r="P2" i="170"/>
  <c r="O2" i="170"/>
  <c r="N2" i="170"/>
  <c r="M2" i="170"/>
  <c r="L2" i="170"/>
  <c r="K2" i="170"/>
  <c r="J2" i="170"/>
  <c r="I2" i="170"/>
  <c r="H2" i="170"/>
  <c r="G2" i="170"/>
  <c r="F2" i="170"/>
  <c r="E2" i="170"/>
  <c r="D2" i="170"/>
  <c r="C2" i="170"/>
  <c r="AA105" i="166"/>
  <c r="AA104" i="166"/>
  <c r="AA103" i="166"/>
  <c r="AA101" i="166"/>
  <c r="Z101" i="166"/>
  <c r="Y101" i="166"/>
  <c r="X101" i="166"/>
  <c r="W101" i="166"/>
  <c r="V101" i="166"/>
  <c r="U101" i="166"/>
  <c r="T101" i="166"/>
  <c r="S101" i="166"/>
  <c r="R101" i="166"/>
  <c r="Q101" i="166"/>
  <c r="P101" i="166"/>
  <c r="O101" i="166"/>
  <c r="N101" i="166"/>
  <c r="M101" i="166"/>
  <c r="L101" i="166"/>
  <c r="K101" i="166"/>
  <c r="J101" i="166"/>
  <c r="I101" i="166"/>
  <c r="H101" i="166"/>
  <c r="G101" i="166"/>
  <c r="F101" i="166"/>
  <c r="E101" i="166"/>
  <c r="D101" i="166"/>
  <c r="C101" i="166"/>
  <c r="AB45" i="166" a="1"/>
  <c r="AB45" i="166"/>
  <c r="AB44" i="166" a="1"/>
  <c r="AB44" i="166"/>
  <c r="AB43" i="166" a="1"/>
  <c r="AB43" i="166"/>
  <c r="AB42" i="166" a="1"/>
  <c r="AB42" i="166"/>
  <c r="AB41" i="166" a="1"/>
  <c r="AB41" i="166"/>
  <c r="AB40" i="166" a="1"/>
  <c r="AB40" i="166"/>
  <c r="AB39" i="166" a="1"/>
  <c r="AB39" i="166"/>
  <c r="AB38" i="166" a="1"/>
  <c r="AB38" i="166"/>
  <c r="AB37" i="166" a="1"/>
  <c r="AB37" i="166"/>
  <c r="Z37" i="166"/>
  <c r="Y37" i="166"/>
  <c r="X37" i="166"/>
  <c r="W37" i="166"/>
  <c r="V37" i="166"/>
  <c r="U37" i="166"/>
  <c r="T37" i="166"/>
  <c r="S37" i="166"/>
  <c r="R37" i="166"/>
  <c r="Q37" i="166"/>
  <c r="P37" i="166"/>
  <c r="O37" i="166"/>
  <c r="N37" i="166"/>
  <c r="M37" i="166"/>
  <c r="L37" i="166"/>
  <c r="K37" i="166"/>
  <c r="J37" i="166"/>
  <c r="I37" i="166"/>
  <c r="H37" i="166"/>
  <c r="G37" i="166"/>
  <c r="F37" i="166"/>
  <c r="E37" i="166"/>
  <c r="D37" i="166"/>
  <c r="C37" i="166"/>
  <c r="AB36" i="166" a="1"/>
  <c r="AB36" i="166"/>
  <c r="Z36" i="166"/>
  <c r="Y36" i="166"/>
  <c r="X36" i="166"/>
  <c r="W36" i="166"/>
  <c r="V36" i="166"/>
  <c r="U36" i="166"/>
  <c r="T36" i="166"/>
  <c r="S36" i="166"/>
  <c r="R36" i="166"/>
  <c r="Q36" i="166"/>
  <c r="P36" i="166"/>
  <c r="O36" i="166"/>
  <c r="N36" i="166"/>
  <c r="M36" i="166"/>
  <c r="L36" i="166"/>
  <c r="K36" i="166"/>
  <c r="J36" i="166"/>
  <c r="I36" i="166"/>
  <c r="H36" i="166"/>
  <c r="G36" i="166"/>
  <c r="F36" i="166"/>
  <c r="E36" i="166"/>
  <c r="D36" i="166"/>
  <c r="C36" i="166"/>
  <c r="AB35" i="166" a="1"/>
  <c r="AB35" i="166"/>
  <c r="Z35" i="166"/>
  <c r="Y35" i="166"/>
  <c r="X35" i="166"/>
  <c r="W35" i="166"/>
  <c r="V35" i="166"/>
  <c r="U35" i="166"/>
  <c r="T35" i="166"/>
  <c r="S35" i="166"/>
  <c r="R35" i="166"/>
  <c r="Q35" i="166"/>
  <c r="P35" i="166"/>
  <c r="O35" i="166"/>
  <c r="N35" i="166"/>
  <c r="M35" i="166"/>
  <c r="L35" i="166"/>
  <c r="K35" i="166"/>
  <c r="J35" i="166"/>
  <c r="I35" i="166"/>
  <c r="H35" i="166"/>
  <c r="G35" i="166"/>
  <c r="F35" i="166"/>
  <c r="E35" i="166"/>
  <c r="D35" i="166"/>
  <c r="C35" i="166"/>
  <c r="AB34" i="166" a="1"/>
  <c r="AB34" i="166"/>
  <c r="Z34" i="166"/>
  <c r="Y34" i="166"/>
  <c r="X34" i="166"/>
  <c r="W34" i="166"/>
  <c r="V34" i="166"/>
  <c r="U34" i="166"/>
  <c r="T34" i="166"/>
  <c r="S34" i="166"/>
  <c r="R34" i="166"/>
  <c r="Q34" i="166"/>
  <c r="P34" i="166"/>
  <c r="O34" i="166"/>
  <c r="N34" i="166"/>
  <c r="M34" i="166"/>
  <c r="L34" i="166"/>
  <c r="K34" i="166"/>
  <c r="J34" i="166"/>
  <c r="I34" i="166"/>
  <c r="H34" i="166"/>
  <c r="G34" i="166"/>
  <c r="F34" i="166"/>
  <c r="E34" i="166"/>
  <c r="D34" i="166"/>
  <c r="C34" i="166"/>
  <c r="AB33" i="166" a="1"/>
  <c r="AB33" i="166"/>
  <c r="Z33" i="166"/>
  <c r="Y33" i="166"/>
  <c r="X33" i="166"/>
  <c r="W33" i="166"/>
  <c r="V33" i="166"/>
  <c r="U33" i="166"/>
  <c r="T33" i="166"/>
  <c r="S33" i="166"/>
  <c r="R33" i="166"/>
  <c r="Q33" i="166"/>
  <c r="P33" i="166"/>
  <c r="O33" i="166"/>
  <c r="N33" i="166"/>
  <c r="M33" i="166"/>
  <c r="L33" i="166"/>
  <c r="K33" i="166"/>
  <c r="J33" i="166"/>
  <c r="I33" i="166"/>
  <c r="H33" i="166"/>
  <c r="G33" i="166"/>
  <c r="F33" i="166"/>
  <c r="E33" i="166"/>
  <c r="D33" i="166"/>
  <c r="C33" i="166"/>
  <c r="AB32" i="166" a="1"/>
  <c r="AB32" i="166"/>
  <c r="Z32" i="166"/>
  <c r="Y32" i="166"/>
  <c r="X32" i="166"/>
  <c r="W32" i="166"/>
  <c r="V32" i="166"/>
  <c r="U32" i="166"/>
  <c r="T32" i="166"/>
  <c r="S32" i="166"/>
  <c r="R32" i="166"/>
  <c r="Q32" i="166"/>
  <c r="P32" i="166"/>
  <c r="O32" i="166"/>
  <c r="N32" i="166"/>
  <c r="M32" i="166"/>
  <c r="L32" i="166"/>
  <c r="K32" i="166"/>
  <c r="J32" i="166"/>
  <c r="I32" i="166"/>
  <c r="H32" i="166"/>
  <c r="G32" i="166"/>
  <c r="F32" i="166"/>
  <c r="E32" i="166"/>
  <c r="D32" i="166"/>
  <c r="C32" i="166"/>
  <c r="AB31" i="166" a="1"/>
  <c r="AB31" i="166"/>
  <c r="Z31" i="166"/>
  <c r="Y31" i="166"/>
  <c r="X31" i="166"/>
  <c r="W31" i="166"/>
  <c r="V31" i="166"/>
  <c r="U31" i="166"/>
  <c r="T31" i="166"/>
  <c r="S31" i="166"/>
  <c r="R31" i="166"/>
  <c r="Q31" i="166"/>
  <c r="P31" i="166"/>
  <c r="O31" i="166"/>
  <c r="N31" i="166"/>
  <c r="M31" i="166"/>
  <c r="L31" i="166"/>
  <c r="K31" i="166"/>
  <c r="J31" i="166"/>
  <c r="I31" i="166"/>
  <c r="H31" i="166"/>
  <c r="G31" i="166"/>
  <c r="F31" i="166"/>
  <c r="E31" i="166"/>
  <c r="D31" i="166"/>
  <c r="C31" i="166"/>
  <c r="AB30" i="166" a="1"/>
  <c r="AB30" i="166"/>
  <c r="Z30" i="166"/>
  <c r="Y30" i="166"/>
  <c r="X30" i="166"/>
  <c r="W30" i="166"/>
  <c r="V30" i="166"/>
  <c r="U30" i="166"/>
  <c r="T30" i="166"/>
  <c r="S30" i="166"/>
  <c r="R30" i="166"/>
  <c r="Q30" i="166"/>
  <c r="P30" i="166"/>
  <c r="O30" i="166"/>
  <c r="N30" i="166"/>
  <c r="M30" i="166"/>
  <c r="L30" i="166"/>
  <c r="K30" i="166"/>
  <c r="J30" i="166"/>
  <c r="I30" i="166"/>
  <c r="H30" i="166"/>
  <c r="G30" i="166"/>
  <c r="F30" i="166"/>
  <c r="E30" i="166"/>
  <c r="D30" i="166"/>
  <c r="C30" i="166"/>
  <c r="AB29" i="166" a="1"/>
  <c r="AB29" i="166"/>
  <c r="AA29" i="166"/>
  <c r="Z29" i="166"/>
  <c r="Y29" i="166"/>
  <c r="X29" i="166"/>
  <c r="W29" i="166"/>
  <c r="V29" i="166"/>
  <c r="U29" i="166"/>
  <c r="T29" i="166"/>
  <c r="S29" i="166"/>
  <c r="R29" i="166"/>
  <c r="Q29" i="166"/>
  <c r="P29" i="166"/>
  <c r="O29" i="166"/>
  <c r="N29" i="166"/>
  <c r="M29" i="166"/>
  <c r="L29" i="166"/>
  <c r="K29" i="166"/>
  <c r="J29" i="166"/>
  <c r="I29" i="166"/>
  <c r="H29" i="166"/>
  <c r="G29" i="166"/>
  <c r="F29" i="166"/>
  <c r="E29" i="166"/>
  <c r="D29" i="166"/>
  <c r="C29" i="166"/>
  <c r="AB28" i="166" a="1"/>
  <c r="AB28" i="166"/>
  <c r="AA28" i="166"/>
  <c r="Z28" i="166"/>
  <c r="Y28" i="166"/>
  <c r="X28" i="166"/>
  <c r="W28" i="166"/>
  <c r="V28" i="166"/>
  <c r="U28" i="166"/>
  <c r="T28" i="166"/>
  <c r="S28" i="166"/>
  <c r="R28" i="166"/>
  <c r="Q28" i="166"/>
  <c r="P28" i="166"/>
  <c r="O28" i="166"/>
  <c r="N28" i="166"/>
  <c r="M28" i="166"/>
  <c r="L28" i="166"/>
  <c r="K28" i="166"/>
  <c r="J28" i="166"/>
  <c r="I28" i="166"/>
  <c r="H28" i="166"/>
  <c r="G28" i="166"/>
  <c r="F28" i="166"/>
  <c r="E28" i="166"/>
  <c r="D28" i="166"/>
  <c r="C28" i="166"/>
  <c r="AB27" i="166" a="1"/>
  <c r="AB27" i="166"/>
  <c r="AA27" i="166"/>
  <c r="Z27" i="166"/>
  <c r="Y27" i="166"/>
  <c r="X27" i="166"/>
  <c r="W27" i="166"/>
  <c r="V27" i="166"/>
  <c r="U27" i="166"/>
  <c r="T27" i="166"/>
  <c r="S27" i="166"/>
  <c r="R27" i="166"/>
  <c r="Q27" i="166"/>
  <c r="P27" i="166"/>
  <c r="O27" i="166"/>
  <c r="N27" i="166"/>
  <c r="M27" i="166"/>
  <c r="L27" i="166"/>
  <c r="K27" i="166"/>
  <c r="J27" i="166"/>
  <c r="I27" i="166"/>
  <c r="H27" i="166"/>
  <c r="G27" i="166"/>
  <c r="F27" i="166"/>
  <c r="E27" i="166"/>
  <c r="D27" i="166"/>
  <c r="C27" i="166"/>
  <c r="AB26" i="166" a="1"/>
  <c r="AB26" i="166"/>
  <c r="AA26" i="166"/>
  <c r="Z26" i="166"/>
  <c r="Y26" i="166"/>
  <c r="X26" i="166"/>
  <c r="W26" i="166"/>
  <c r="V26" i="166"/>
  <c r="U26" i="166"/>
  <c r="T26" i="166"/>
  <c r="S26" i="166"/>
  <c r="R26" i="166"/>
  <c r="Q26" i="166"/>
  <c r="P26" i="166"/>
  <c r="O26" i="166"/>
  <c r="N26" i="166"/>
  <c r="M26" i="166"/>
  <c r="L26" i="166"/>
  <c r="K26" i="166"/>
  <c r="J26" i="166"/>
  <c r="I26" i="166"/>
  <c r="H26" i="166"/>
  <c r="G26" i="166"/>
  <c r="F26" i="166"/>
  <c r="E26" i="166"/>
  <c r="D26" i="166"/>
  <c r="C26" i="166"/>
  <c r="AB25" i="166" a="1"/>
  <c r="AB25" i="166"/>
  <c r="Z25" i="166"/>
  <c r="Y25" i="166"/>
  <c r="X25" i="166"/>
  <c r="W25" i="166"/>
  <c r="V25" i="166"/>
  <c r="U25" i="166"/>
  <c r="T25" i="166"/>
  <c r="S25" i="166"/>
  <c r="R25" i="166"/>
  <c r="Q25" i="166"/>
  <c r="P25" i="166"/>
  <c r="O25" i="166"/>
  <c r="N25" i="166"/>
  <c r="M25" i="166"/>
  <c r="L25" i="166"/>
  <c r="K25" i="166"/>
  <c r="J25" i="166"/>
  <c r="I25" i="166"/>
  <c r="H25" i="166"/>
  <c r="G25" i="166"/>
  <c r="F25" i="166"/>
  <c r="E25" i="166"/>
  <c r="D25" i="166"/>
  <c r="C25" i="166"/>
  <c r="AB24" i="166" a="1"/>
  <c r="AB24" i="166"/>
  <c r="AA24" i="166"/>
  <c r="Z24" i="166"/>
  <c r="Y24" i="166"/>
  <c r="X24" i="166"/>
  <c r="W24" i="166"/>
  <c r="V24" i="166"/>
  <c r="U24" i="166"/>
  <c r="T24" i="166"/>
  <c r="S24" i="166"/>
  <c r="R24" i="166"/>
  <c r="Q24" i="166"/>
  <c r="P24" i="166"/>
  <c r="O24" i="166"/>
  <c r="N24" i="166"/>
  <c r="M24" i="166"/>
  <c r="L24" i="166"/>
  <c r="K24" i="166"/>
  <c r="J24" i="166"/>
  <c r="I24" i="166"/>
  <c r="H24" i="166"/>
  <c r="G24" i="166"/>
  <c r="F24" i="166"/>
  <c r="E24" i="166"/>
  <c r="D24" i="166"/>
  <c r="C24" i="166"/>
  <c r="AB23" i="166" a="1"/>
  <c r="AB23" i="166"/>
  <c r="AA23" i="166"/>
  <c r="Z23" i="166"/>
  <c r="Y23" i="166"/>
  <c r="X23" i="166"/>
  <c r="W23" i="166"/>
  <c r="V23" i="166"/>
  <c r="U23" i="166"/>
  <c r="T23" i="166"/>
  <c r="S23" i="166"/>
  <c r="R23" i="166"/>
  <c r="Q23" i="166"/>
  <c r="P23" i="166"/>
  <c r="O23" i="166"/>
  <c r="N23" i="166"/>
  <c r="M23" i="166"/>
  <c r="L23" i="166"/>
  <c r="K23" i="166"/>
  <c r="J23" i="166"/>
  <c r="I23" i="166"/>
  <c r="H23" i="166"/>
  <c r="G23" i="166"/>
  <c r="F23" i="166"/>
  <c r="E23" i="166"/>
  <c r="D23" i="166"/>
  <c r="C23" i="166"/>
  <c r="AB22" i="166" a="1"/>
  <c r="AB22" i="166"/>
  <c r="AA22" i="166"/>
  <c r="Z22" i="166"/>
  <c r="Y22" i="166"/>
  <c r="X22" i="166"/>
  <c r="W22" i="166"/>
  <c r="V22" i="166"/>
  <c r="U22" i="166"/>
  <c r="T22" i="166"/>
  <c r="S22" i="166"/>
  <c r="R22" i="166"/>
  <c r="Q22" i="166"/>
  <c r="P22" i="166"/>
  <c r="O22" i="166"/>
  <c r="N22" i="166"/>
  <c r="M22" i="166"/>
  <c r="L22" i="166"/>
  <c r="K22" i="166"/>
  <c r="J22" i="166"/>
  <c r="I22" i="166"/>
  <c r="H22" i="166"/>
  <c r="G22" i="166"/>
  <c r="F22" i="166"/>
  <c r="E22" i="166"/>
  <c r="D22" i="166"/>
  <c r="C22" i="166"/>
  <c r="AB21" i="166" a="1"/>
  <c r="AB21" i="166"/>
  <c r="AA21" i="166"/>
  <c r="Z21" i="166"/>
  <c r="Y21" i="166"/>
  <c r="X21" i="166"/>
  <c r="W21" i="166"/>
  <c r="V21" i="166"/>
  <c r="U21" i="166"/>
  <c r="T21" i="166"/>
  <c r="S21" i="166"/>
  <c r="R21" i="166"/>
  <c r="Q21" i="166"/>
  <c r="P21" i="166"/>
  <c r="O21" i="166"/>
  <c r="N21" i="166"/>
  <c r="M21" i="166"/>
  <c r="L21" i="166"/>
  <c r="K21" i="166"/>
  <c r="J21" i="166"/>
  <c r="I21" i="166"/>
  <c r="H21" i="166"/>
  <c r="G21" i="166"/>
  <c r="F21" i="166"/>
  <c r="E21" i="166"/>
  <c r="D21" i="166"/>
  <c r="C21" i="166"/>
  <c r="AB20" i="166" a="1"/>
  <c r="AB20" i="166"/>
  <c r="AA20" i="166"/>
  <c r="Z20" i="166"/>
  <c r="Y20" i="166"/>
  <c r="X20" i="166"/>
  <c r="W20" i="166"/>
  <c r="V20" i="166"/>
  <c r="U20" i="166"/>
  <c r="T20" i="166"/>
  <c r="S20" i="166"/>
  <c r="R20" i="166"/>
  <c r="Q20" i="166"/>
  <c r="P20" i="166"/>
  <c r="O20" i="166"/>
  <c r="N20" i="166"/>
  <c r="M20" i="166"/>
  <c r="L20" i="166"/>
  <c r="K20" i="166"/>
  <c r="J20" i="166"/>
  <c r="I20" i="166"/>
  <c r="H20" i="166"/>
  <c r="G20" i="166"/>
  <c r="F20" i="166"/>
  <c r="E20" i="166"/>
  <c r="D20" i="166"/>
  <c r="C20" i="166"/>
  <c r="AB19" i="166" a="1"/>
  <c r="AB19" i="166"/>
  <c r="AA19" i="166"/>
  <c r="Z19" i="166"/>
  <c r="Y19" i="166"/>
  <c r="X19" i="166"/>
  <c r="W19" i="166"/>
  <c r="V19" i="166"/>
  <c r="U19" i="166"/>
  <c r="T19" i="166"/>
  <c r="S19" i="166"/>
  <c r="R19" i="166"/>
  <c r="Q19" i="166"/>
  <c r="P19" i="166"/>
  <c r="O19" i="166"/>
  <c r="N19" i="166"/>
  <c r="M19" i="166"/>
  <c r="L19" i="166"/>
  <c r="K19" i="166"/>
  <c r="J19" i="166"/>
  <c r="I19" i="166"/>
  <c r="H19" i="166"/>
  <c r="G19" i="166"/>
  <c r="F19" i="166"/>
  <c r="E19" i="166"/>
  <c r="D19" i="166"/>
  <c r="C19" i="166"/>
  <c r="AB18" i="166" a="1"/>
  <c r="AB18" i="166"/>
  <c r="AA18" i="166"/>
  <c r="Z18" i="166"/>
  <c r="Y18" i="166"/>
  <c r="X18" i="166"/>
  <c r="W18" i="166"/>
  <c r="V18" i="166"/>
  <c r="U18" i="166"/>
  <c r="T18" i="166"/>
  <c r="S18" i="166"/>
  <c r="R18" i="166"/>
  <c r="Q18" i="166"/>
  <c r="P18" i="166"/>
  <c r="O18" i="166"/>
  <c r="N18" i="166"/>
  <c r="M18" i="166"/>
  <c r="L18" i="166"/>
  <c r="K18" i="166"/>
  <c r="J18" i="166"/>
  <c r="I18" i="166"/>
  <c r="H18" i="166"/>
  <c r="G18" i="166"/>
  <c r="F18" i="166"/>
  <c r="E18" i="166"/>
  <c r="D18" i="166"/>
  <c r="C18" i="166"/>
  <c r="AB17" i="166" a="1"/>
  <c r="AB17" i="166"/>
  <c r="AA17" i="166"/>
  <c r="Z17" i="166"/>
  <c r="Y17" i="166"/>
  <c r="X17" i="166"/>
  <c r="W17" i="166"/>
  <c r="V17" i="166"/>
  <c r="U17" i="166"/>
  <c r="T17" i="166"/>
  <c r="S17" i="166"/>
  <c r="R17" i="166"/>
  <c r="Q17" i="166"/>
  <c r="P17" i="166"/>
  <c r="O17" i="166"/>
  <c r="N17" i="166"/>
  <c r="M17" i="166"/>
  <c r="L17" i="166"/>
  <c r="K17" i="166"/>
  <c r="J17" i="166"/>
  <c r="I17" i="166"/>
  <c r="H17" i="166"/>
  <c r="G17" i="166"/>
  <c r="F17" i="166"/>
  <c r="E17" i="166"/>
  <c r="D17" i="166"/>
  <c r="C17" i="166"/>
  <c r="AB16" i="166" a="1"/>
  <c r="AB16" i="166"/>
  <c r="AA16" i="166"/>
  <c r="Z16" i="166"/>
  <c r="Y16" i="166"/>
  <c r="X16" i="166"/>
  <c r="W16" i="166"/>
  <c r="V16" i="166"/>
  <c r="U16" i="166"/>
  <c r="T16" i="166"/>
  <c r="S16" i="166"/>
  <c r="R16" i="166"/>
  <c r="Q16" i="166"/>
  <c r="P16" i="166"/>
  <c r="O16" i="166"/>
  <c r="N16" i="166"/>
  <c r="M16" i="166"/>
  <c r="L16" i="166"/>
  <c r="K16" i="166"/>
  <c r="J16" i="166"/>
  <c r="I16" i="166"/>
  <c r="H16" i="166"/>
  <c r="G16" i="166"/>
  <c r="F16" i="166"/>
  <c r="E16" i="166"/>
  <c r="D16" i="166"/>
  <c r="C16" i="166"/>
  <c r="AB15" i="166" a="1"/>
  <c r="AB15" i="166"/>
  <c r="AA15" i="166"/>
  <c r="Z15" i="166"/>
  <c r="Y15" i="166"/>
  <c r="X15" i="166"/>
  <c r="W15" i="166"/>
  <c r="V15" i="166"/>
  <c r="U15" i="166"/>
  <c r="T15" i="166"/>
  <c r="S15" i="166"/>
  <c r="R15" i="166"/>
  <c r="Q15" i="166"/>
  <c r="P15" i="166"/>
  <c r="O15" i="166"/>
  <c r="N15" i="166"/>
  <c r="M15" i="166"/>
  <c r="L15" i="166"/>
  <c r="K15" i="166"/>
  <c r="J15" i="166"/>
  <c r="I15" i="166"/>
  <c r="H15" i="166"/>
  <c r="G15" i="166"/>
  <c r="F15" i="166"/>
  <c r="E15" i="166"/>
  <c r="D15" i="166"/>
  <c r="C15" i="166"/>
  <c r="AB14" i="166" a="1"/>
  <c r="AB14" i="166"/>
  <c r="AA14" i="166"/>
  <c r="Z14" i="166"/>
  <c r="Y14" i="166"/>
  <c r="X14" i="166"/>
  <c r="W14" i="166"/>
  <c r="V14" i="166"/>
  <c r="U14" i="166"/>
  <c r="T14" i="166"/>
  <c r="S14" i="166"/>
  <c r="R14" i="166"/>
  <c r="Q14" i="166"/>
  <c r="P14" i="166"/>
  <c r="O14" i="166"/>
  <c r="N14" i="166"/>
  <c r="M14" i="166"/>
  <c r="L14" i="166"/>
  <c r="K14" i="166"/>
  <c r="J14" i="166"/>
  <c r="I14" i="166"/>
  <c r="H14" i="166"/>
  <c r="G14" i="166"/>
  <c r="F14" i="166"/>
  <c r="E14" i="166"/>
  <c r="D14" i="166"/>
  <c r="C14" i="166"/>
  <c r="AB13" i="166" a="1"/>
  <c r="AB13" i="166"/>
  <c r="AA13" i="166"/>
  <c r="Z13" i="166"/>
  <c r="Y13" i="166"/>
  <c r="X13" i="166"/>
  <c r="W13" i="166"/>
  <c r="V13" i="166"/>
  <c r="U13" i="166"/>
  <c r="T13" i="166"/>
  <c r="S13" i="166"/>
  <c r="R13" i="166"/>
  <c r="Q13" i="166"/>
  <c r="P13" i="166"/>
  <c r="O13" i="166"/>
  <c r="N13" i="166"/>
  <c r="M13" i="166"/>
  <c r="L13" i="166"/>
  <c r="K13" i="166"/>
  <c r="J13" i="166"/>
  <c r="I13" i="166"/>
  <c r="H13" i="166"/>
  <c r="G13" i="166"/>
  <c r="F13" i="166"/>
  <c r="E13" i="166"/>
  <c r="D13" i="166"/>
  <c r="C13" i="166"/>
  <c r="AB12" i="166" a="1"/>
  <c r="AB12" i="166"/>
  <c r="AA12" i="166"/>
  <c r="Z12" i="166"/>
  <c r="Y12" i="166"/>
  <c r="X12" i="166"/>
  <c r="W12" i="166"/>
  <c r="V12" i="166"/>
  <c r="U12" i="166"/>
  <c r="T12" i="166"/>
  <c r="S12" i="166"/>
  <c r="R12" i="166"/>
  <c r="Q12" i="166"/>
  <c r="P12" i="166"/>
  <c r="O12" i="166"/>
  <c r="N12" i="166"/>
  <c r="M12" i="166"/>
  <c r="L12" i="166"/>
  <c r="K12" i="166"/>
  <c r="J12" i="166"/>
  <c r="I12" i="166"/>
  <c r="H12" i="166"/>
  <c r="G12" i="166"/>
  <c r="F12" i="166"/>
  <c r="E12" i="166"/>
  <c r="D12" i="166"/>
  <c r="C12" i="166"/>
  <c r="AB11" i="166" a="1"/>
  <c r="AB11" i="166"/>
  <c r="AA11" i="166"/>
  <c r="Z11" i="166"/>
  <c r="Y11" i="166"/>
  <c r="X11" i="166"/>
  <c r="W11" i="166"/>
  <c r="V11" i="166"/>
  <c r="U11" i="166"/>
  <c r="T11" i="166"/>
  <c r="S11" i="166"/>
  <c r="R11" i="166"/>
  <c r="Q11" i="166"/>
  <c r="P11" i="166"/>
  <c r="O11" i="166"/>
  <c r="N11" i="166"/>
  <c r="M11" i="166"/>
  <c r="L11" i="166"/>
  <c r="K11" i="166"/>
  <c r="J11" i="166"/>
  <c r="I11" i="166"/>
  <c r="H11" i="166"/>
  <c r="G11" i="166"/>
  <c r="F11" i="166"/>
  <c r="E11" i="166"/>
  <c r="D11" i="166"/>
  <c r="C11" i="166"/>
  <c r="AB10" i="166" a="1"/>
  <c r="AB10" i="166"/>
  <c r="AA10" i="166"/>
  <c r="Z10" i="166"/>
  <c r="Y10" i="166"/>
  <c r="X10" i="166"/>
  <c r="W10" i="166"/>
  <c r="V10" i="166"/>
  <c r="U10" i="166"/>
  <c r="T10" i="166"/>
  <c r="S10" i="166"/>
  <c r="R10" i="166"/>
  <c r="Q10" i="166"/>
  <c r="P10" i="166"/>
  <c r="O10" i="166"/>
  <c r="N10" i="166"/>
  <c r="M10" i="166"/>
  <c r="L10" i="166"/>
  <c r="K10" i="166"/>
  <c r="J10" i="166"/>
  <c r="I10" i="166"/>
  <c r="H10" i="166"/>
  <c r="G10" i="166"/>
  <c r="F10" i="166"/>
  <c r="E10" i="166"/>
  <c r="D10" i="166"/>
  <c r="C10" i="166"/>
  <c r="AB9" i="166" a="1"/>
  <c r="AB9" i="166"/>
  <c r="AA9" i="166"/>
  <c r="Z9" i="166"/>
  <c r="Y9" i="166"/>
  <c r="X9" i="166"/>
  <c r="W9" i="166"/>
  <c r="V9" i="166"/>
  <c r="U9" i="166"/>
  <c r="T9" i="166"/>
  <c r="S9" i="166"/>
  <c r="R9" i="166"/>
  <c r="Q9" i="166"/>
  <c r="P9" i="166"/>
  <c r="O9" i="166"/>
  <c r="N9" i="166"/>
  <c r="M9" i="166"/>
  <c r="L9" i="166"/>
  <c r="K9" i="166"/>
  <c r="J9" i="166"/>
  <c r="I9" i="166"/>
  <c r="H9" i="166"/>
  <c r="G9" i="166"/>
  <c r="F9" i="166"/>
  <c r="E9" i="166"/>
  <c r="D9" i="166"/>
  <c r="C9" i="166"/>
  <c r="AB8" i="166" a="1"/>
  <c r="AB8" i="166"/>
  <c r="AA8" i="166"/>
  <c r="Z8" i="166"/>
  <c r="Y8" i="166"/>
  <c r="X8" i="166"/>
  <c r="W8" i="166"/>
  <c r="V8" i="166"/>
  <c r="U8" i="166"/>
  <c r="T8" i="166"/>
  <c r="S8" i="166"/>
  <c r="R8" i="166"/>
  <c r="Q8" i="166"/>
  <c r="P8" i="166"/>
  <c r="O8" i="166"/>
  <c r="N8" i="166"/>
  <c r="M8" i="166"/>
  <c r="L8" i="166"/>
  <c r="K8" i="166"/>
  <c r="J8" i="166"/>
  <c r="I8" i="166"/>
  <c r="H8" i="166"/>
  <c r="G8" i="166"/>
  <c r="F8" i="166"/>
  <c r="E8" i="166"/>
  <c r="D8" i="166"/>
  <c r="C8" i="166"/>
  <c r="AB7" i="166" a="1"/>
  <c r="AB7" i="166"/>
  <c r="AA7" i="166"/>
  <c r="Z7" i="166"/>
  <c r="Y7" i="166"/>
  <c r="X7" i="166"/>
  <c r="W7" i="166"/>
  <c r="V7" i="166"/>
  <c r="U7" i="166"/>
  <c r="T7" i="166"/>
  <c r="S7" i="166"/>
  <c r="R7" i="166"/>
  <c r="Q7" i="166"/>
  <c r="P7" i="166"/>
  <c r="O7" i="166"/>
  <c r="N7" i="166"/>
  <c r="M7" i="166"/>
  <c r="L7" i="166"/>
  <c r="K7" i="166"/>
  <c r="J7" i="166"/>
  <c r="I7" i="166"/>
  <c r="H7" i="166"/>
  <c r="G7" i="166"/>
  <c r="F7" i="166"/>
  <c r="E7" i="166"/>
  <c r="D7" i="166"/>
  <c r="C7" i="166"/>
  <c r="AB6" i="166" a="1"/>
  <c r="AB6" i="166"/>
  <c r="AA6" i="166"/>
  <c r="Z6" i="166"/>
  <c r="Y6" i="166"/>
  <c r="X6" i="166"/>
  <c r="W6" i="166"/>
  <c r="V6" i="166"/>
  <c r="U6" i="166"/>
  <c r="T6" i="166"/>
  <c r="S6" i="166"/>
  <c r="R6" i="166"/>
  <c r="Q6" i="166"/>
  <c r="P6" i="166"/>
  <c r="O6" i="166"/>
  <c r="N6" i="166"/>
  <c r="M6" i="166"/>
  <c r="L6" i="166"/>
  <c r="K6" i="166"/>
  <c r="J6" i="166"/>
  <c r="I6" i="166"/>
  <c r="H6" i="166"/>
  <c r="G6" i="166"/>
  <c r="F6" i="166"/>
  <c r="E6" i="166"/>
  <c r="D6" i="166"/>
  <c r="C6" i="166"/>
  <c r="AB5" i="166" a="1"/>
  <c r="AB5" i="166"/>
  <c r="AA5" i="166"/>
  <c r="Z5" i="166"/>
  <c r="Y5" i="166"/>
  <c r="X5" i="166"/>
  <c r="W5" i="166"/>
  <c r="V5" i="166"/>
  <c r="U5" i="166"/>
  <c r="T5" i="166"/>
  <c r="S5" i="166"/>
  <c r="R5" i="166"/>
  <c r="Q5" i="166"/>
  <c r="P5" i="166"/>
  <c r="O5" i="166"/>
  <c r="N5" i="166"/>
  <c r="M5" i="166"/>
  <c r="L5" i="166"/>
  <c r="K5" i="166"/>
  <c r="J5" i="166"/>
  <c r="I5" i="166"/>
  <c r="H5" i="166"/>
  <c r="G5" i="166"/>
  <c r="F5" i="166"/>
  <c r="E5" i="166"/>
  <c r="D5" i="166"/>
  <c r="C5" i="166"/>
  <c r="AB4" i="166" a="1"/>
  <c r="AB4" i="166"/>
  <c r="AA4" i="166"/>
  <c r="Z4" i="166"/>
  <c r="Y4" i="166"/>
  <c r="X4" i="166"/>
  <c r="W4" i="166"/>
  <c r="V4" i="166"/>
  <c r="U4" i="166"/>
  <c r="T4" i="166"/>
  <c r="S4" i="166"/>
  <c r="R4" i="166"/>
  <c r="Q4" i="166"/>
  <c r="P4" i="166"/>
  <c r="O4" i="166"/>
  <c r="N4" i="166"/>
  <c r="M4" i="166"/>
  <c r="L4" i="166"/>
  <c r="K4" i="166"/>
  <c r="J4" i="166"/>
  <c r="I4" i="166"/>
  <c r="H4" i="166"/>
  <c r="G4" i="166"/>
  <c r="F4" i="166"/>
  <c r="E4" i="166"/>
  <c r="D4" i="166"/>
  <c r="C4" i="166"/>
  <c r="AB3" i="166" a="1"/>
  <c r="AB3" i="166"/>
  <c r="AA3" i="166"/>
  <c r="Z3" i="166"/>
  <c r="Y3" i="166"/>
  <c r="X3" i="166"/>
  <c r="W3" i="166"/>
  <c r="V3" i="166"/>
  <c r="U3" i="166"/>
  <c r="T3" i="166"/>
  <c r="S3" i="166"/>
  <c r="R3" i="166"/>
  <c r="Q3" i="166"/>
  <c r="P3" i="166"/>
  <c r="O3" i="166"/>
  <c r="N3" i="166"/>
  <c r="M3" i="166"/>
  <c r="L3" i="166"/>
  <c r="K3" i="166"/>
  <c r="J3" i="166"/>
  <c r="I3" i="166"/>
  <c r="H3" i="166"/>
  <c r="G3" i="166"/>
  <c r="F3" i="166"/>
  <c r="E3" i="166"/>
  <c r="D3" i="166"/>
  <c r="C3" i="166"/>
  <c r="AB2" i="166" a="1"/>
  <c r="AB2" i="166"/>
  <c r="AA2" i="166"/>
  <c r="Z2" i="166"/>
  <c r="Y2" i="166"/>
  <c r="X2" i="166"/>
  <c r="W2" i="166"/>
  <c r="V2" i="166"/>
  <c r="U2" i="166"/>
  <c r="T2" i="166"/>
  <c r="S2" i="166"/>
  <c r="R2" i="166"/>
  <c r="Q2" i="166"/>
  <c r="P2" i="166"/>
  <c r="O2" i="166"/>
  <c r="N2" i="166"/>
  <c r="M2" i="166"/>
  <c r="L2" i="166"/>
  <c r="K2" i="166"/>
  <c r="J2" i="166"/>
  <c r="I2" i="166"/>
  <c r="H2" i="166"/>
  <c r="G2" i="166"/>
  <c r="F2" i="166"/>
  <c r="E2" i="166"/>
  <c r="D2" i="166"/>
  <c r="C2" i="166"/>
  <c r="AA105" i="165"/>
  <c r="AA104" i="165"/>
  <c r="AA103" i="165"/>
  <c r="AA101" i="165"/>
  <c r="Z101" i="165"/>
  <c r="Y101" i="165"/>
  <c r="X101" i="165"/>
  <c r="W101" i="165"/>
  <c r="V101" i="165"/>
  <c r="U101" i="165"/>
  <c r="T101" i="165"/>
  <c r="S101" i="165"/>
  <c r="R101" i="165"/>
  <c r="Q101" i="165"/>
  <c r="P101" i="165"/>
  <c r="O101" i="165"/>
  <c r="N101" i="165"/>
  <c r="M101" i="165"/>
  <c r="L101" i="165"/>
  <c r="K101" i="165"/>
  <c r="J101" i="165"/>
  <c r="I101" i="165"/>
  <c r="H101" i="165"/>
  <c r="G101" i="165"/>
  <c r="F101" i="165"/>
  <c r="E101" i="165"/>
  <c r="D101" i="165"/>
  <c r="C101" i="165"/>
  <c r="AB45" i="165" a="1"/>
  <c r="AB45" i="165"/>
  <c r="AB44" i="165" a="1"/>
  <c r="AB44" i="165"/>
  <c r="AB43" i="165" a="1"/>
  <c r="AB43" i="165"/>
  <c r="AB42" i="165" a="1"/>
  <c r="AB42" i="165"/>
  <c r="AB41" i="165" a="1"/>
  <c r="AB41" i="165"/>
  <c r="AB40" i="165" a="1"/>
  <c r="AB40" i="165"/>
  <c r="AB39" i="165" a="1"/>
  <c r="AB39" i="165"/>
  <c r="AB38" i="165" a="1"/>
  <c r="AB38" i="165"/>
  <c r="AB37" i="165" a="1"/>
  <c r="AB37" i="165"/>
  <c r="Z37" i="165"/>
  <c r="Y37" i="165"/>
  <c r="X37" i="165"/>
  <c r="W37" i="165"/>
  <c r="V37" i="165"/>
  <c r="U37" i="165"/>
  <c r="T37" i="165"/>
  <c r="S37" i="165"/>
  <c r="R37" i="165"/>
  <c r="Q37" i="165"/>
  <c r="P37" i="165"/>
  <c r="O37" i="165"/>
  <c r="N37" i="165"/>
  <c r="M37" i="165"/>
  <c r="L37" i="165"/>
  <c r="K37" i="165"/>
  <c r="J37" i="165"/>
  <c r="I37" i="165"/>
  <c r="H37" i="165"/>
  <c r="G37" i="165"/>
  <c r="F37" i="165"/>
  <c r="E37" i="165"/>
  <c r="D37" i="165"/>
  <c r="C37" i="165"/>
  <c r="AB36" i="165" a="1"/>
  <c r="AB36" i="165"/>
  <c r="Z36" i="165"/>
  <c r="Y36" i="165"/>
  <c r="X36" i="165"/>
  <c r="W36" i="165"/>
  <c r="V36" i="165"/>
  <c r="U36" i="165"/>
  <c r="T36" i="165"/>
  <c r="S36" i="165"/>
  <c r="R36" i="165"/>
  <c r="Q36" i="165"/>
  <c r="P36" i="165"/>
  <c r="O36" i="165"/>
  <c r="N36" i="165"/>
  <c r="M36" i="165"/>
  <c r="L36" i="165"/>
  <c r="K36" i="165"/>
  <c r="J36" i="165"/>
  <c r="I36" i="165"/>
  <c r="H36" i="165"/>
  <c r="G36" i="165"/>
  <c r="F36" i="165"/>
  <c r="E36" i="165"/>
  <c r="D36" i="165"/>
  <c r="C36" i="165"/>
  <c r="AB35" i="165" a="1"/>
  <c r="AB35" i="165"/>
  <c r="Z35" i="165"/>
  <c r="Y35" i="165"/>
  <c r="X35" i="165"/>
  <c r="W35" i="165"/>
  <c r="V35" i="165"/>
  <c r="U35" i="165"/>
  <c r="T35" i="165"/>
  <c r="S35" i="165"/>
  <c r="R35" i="165"/>
  <c r="Q35" i="165"/>
  <c r="P35" i="165"/>
  <c r="O35" i="165"/>
  <c r="N35" i="165"/>
  <c r="M35" i="165"/>
  <c r="L35" i="165"/>
  <c r="K35" i="165"/>
  <c r="J35" i="165"/>
  <c r="I35" i="165"/>
  <c r="H35" i="165"/>
  <c r="G35" i="165"/>
  <c r="F35" i="165"/>
  <c r="E35" i="165"/>
  <c r="D35" i="165"/>
  <c r="C35" i="165"/>
  <c r="AB34" i="165" a="1"/>
  <c r="AB34" i="165"/>
  <c r="Z34" i="165"/>
  <c r="Y34" i="165"/>
  <c r="X34" i="165"/>
  <c r="W34" i="165"/>
  <c r="V34" i="165"/>
  <c r="U34" i="165"/>
  <c r="T34" i="165"/>
  <c r="S34" i="165"/>
  <c r="R34" i="165"/>
  <c r="Q34" i="165"/>
  <c r="P34" i="165"/>
  <c r="O34" i="165"/>
  <c r="N34" i="165"/>
  <c r="M34" i="165"/>
  <c r="L34" i="165"/>
  <c r="K34" i="165"/>
  <c r="J34" i="165"/>
  <c r="I34" i="165"/>
  <c r="H34" i="165"/>
  <c r="G34" i="165"/>
  <c r="F34" i="165"/>
  <c r="E34" i="165"/>
  <c r="D34" i="165"/>
  <c r="C34" i="165"/>
  <c r="AB33" i="165" a="1"/>
  <c r="AB33" i="165"/>
  <c r="Z33" i="165"/>
  <c r="Y33" i="165"/>
  <c r="X33" i="165"/>
  <c r="W33" i="165"/>
  <c r="V33" i="165"/>
  <c r="U33" i="165"/>
  <c r="T33" i="165"/>
  <c r="S33" i="165"/>
  <c r="R33" i="165"/>
  <c r="Q33" i="165"/>
  <c r="P33" i="165"/>
  <c r="O33" i="165"/>
  <c r="N33" i="165"/>
  <c r="M33" i="165"/>
  <c r="L33" i="165"/>
  <c r="K33" i="165"/>
  <c r="J33" i="165"/>
  <c r="I33" i="165"/>
  <c r="H33" i="165"/>
  <c r="G33" i="165"/>
  <c r="F33" i="165"/>
  <c r="E33" i="165"/>
  <c r="D33" i="165"/>
  <c r="C33" i="165"/>
  <c r="AB32" i="165" a="1"/>
  <c r="AB32" i="165"/>
  <c r="Z32" i="165"/>
  <c r="Y32" i="165"/>
  <c r="X32" i="165"/>
  <c r="W32" i="165"/>
  <c r="V32" i="165"/>
  <c r="U32" i="165"/>
  <c r="T32" i="165"/>
  <c r="S32" i="165"/>
  <c r="R32" i="165"/>
  <c r="Q32" i="165"/>
  <c r="P32" i="165"/>
  <c r="O32" i="165"/>
  <c r="N32" i="165"/>
  <c r="M32" i="165"/>
  <c r="L32" i="165"/>
  <c r="K32" i="165"/>
  <c r="J32" i="165"/>
  <c r="I32" i="165"/>
  <c r="H32" i="165"/>
  <c r="G32" i="165"/>
  <c r="F32" i="165"/>
  <c r="E32" i="165"/>
  <c r="D32" i="165"/>
  <c r="C32" i="165"/>
  <c r="AB31" i="165" a="1"/>
  <c r="AB31" i="165"/>
  <c r="Z31" i="165"/>
  <c r="Y31" i="165"/>
  <c r="X31" i="165"/>
  <c r="W31" i="165"/>
  <c r="V31" i="165"/>
  <c r="U31" i="165"/>
  <c r="T31" i="165"/>
  <c r="S31" i="165"/>
  <c r="R31" i="165"/>
  <c r="Q31" i="165"/>
  <c r="P31" i="165"/>
  <c r="O31" i="165"/>
  <c r="N31" i="165"/>
  <c r="M31" i="165"/>
  <c r="L31" i="165"/>
  <c r="K31" i="165"/>
  <c r="J31" i="165"/>
  <c r="I31" i="165"/>
  <c r="H31" i="165"/>
  <c r="G31" i="165"/>
  <c r="F31" i="165"/>
  <c r="E31" i="165"/>
  <c r="D31" i="165"/>
  <c r="C31" i="165"/>
  <c r="AB30" i="165" a="1"/>
  <c r="AB30" i="165"/>
  <c r="Z30" i="165"/>
  <c r="Y30" i="165"/>
  <c r="X30" i="165"/>
  <c r="W30" i="165"/>
  <c r="V30" i="165"/>
  <c r="U30" i="165"/>
  <c r="T30" i="165"/>
  <c r="S30" i="165"/>
  <c r="R30" i="165"/>
  <c r="Q30" i="165"/>
  <c r="P30" i="165"/>
  <c r="O30" i="165"/>
  <c r="N30" i="165"/>
  <c r="M30" i="165"/>
  <c r="L30" i="165"/>
  <c r="K30" i="165"/>
  <c r="J30" i="165"/>
  <c r="I30" i="165"/>
  <c r="H30" i="165"/>
  <c r="G30" i="165"/>
  <c r="F30" i="165"/>
  <c r="E30" i="165"/>
  <c r="D30" i="165"/>
  <c r="C30" i="165"/>
  <c r="AB29" i="165" a="1"/>
  <c r="AB29" i="165"/>
  <c r="AA29" i="165"/>
  <c r="Z29" i="165"/>
  <c r="Y29" i="165"/>
  <c r="X29" i="165"/>
  <c r="W29" i="165"/>
  <c r="V29" i="165"/>
  <c r="U29" i="165"/>
  <c r="T29" i="165"/>
  <c r="S29" i="165"/>
  <c r="R29" i="165"/>
  <c r="Q29" i="165"/>
  <c r="P29" i="165"/>
  <c r="O29" i="165"/>
  <c r="N29" i="165"/>
  <c r="M29" i="165"/>
  <c r="L29" i="165"/>
  <c r="K29" i="165"/>
  <c r="J29" i="165"/>
  <c r="I29" i="165"/>
  <c r="H29" i="165"/>
  <c r="G29" i="165"/>
  <c r="F29" i="165"/>
  <c r="E29" i="165"/>
  <c r="D29" i="165"/>
  <c r="C29" i="165"/>
  <c r="AB28" i="165" a="1"/>
  <c r="AB28" i="165"/>
  <c r="AA28" i="165"/>
  <c r="Z28" i="165"/>
  <c r="Y28" i="165"/>
  <c r="X28" i="165"/>
  <c r="W28" i="165"/>
  <c r="V28" i="165"/>
  <c r="U28" i="165"/>
  <c r="T28" i="165"/>
  <c r="S28" i="165"/>
  <c r="R28" i="165"/>
  <c r="Q28" i="165"/>
  <c r="P28" i="165"/>
  <c r="O28" i="165"/>
  <c r="N28" i="165"/>
  <c r="M28" i="165"/>
  <c r="L28" i="165"/>
  <c r="K28" i="165"/>
  <c r="J28" i="165"/>
  <c r="I28" i="165"/>
  <c r="H28" i="165"/>
  <c r="G28" i="165"/>
  <c r="F28" i="165"/>
  <c r="E28" i="165"/>
  <c r="D28" i="165"/>
  <c r="C28" i="165"/>
  <c r="AB27" i="165" a="1"/>
  <c r="AB27" i="165"/>
  <c r="AA27" i="165"/>
  <c r="Z27" i="165"/>
  <c r="Y27" i="165"/>
  <c r="X27" i="165"/>
  <c r="W27" i="165"/>
  <c r="V27" i="165"/>
  <c r="U27" i="165"/>
  <c r="T27" i="165"/>
  <c r="S27" i="165"/>
  <c r="R27" i="165"/>
  <c r="Q27" i="165"/>
  <c r="P27" i="165"/>
  <c r="O27" i="165"/>
  <c r="N27" i="165"/>
  <c r="M27" i="165"/>
  <c r="L27" i="165"/>
  <c r="K27" i="165"/>
  <c r="J27" i="165"/>
  <c r="I27" i="165"/>
  <c r="H27" i="165"/>
  <c r="G27" i="165"/>
  <c r="F27" i="165"/>
  <c r="E27" i="165"/>
  <c r="D27" i="165"/>
  <c r="C27" i="165"/>
  <c r="AB26" i="165" a="1"/>
  <c r="AB26" i="165"/>
  <c r="AA26" i="165"/>
  <c r="Z26" i="165"/>
  <c r="Y26" i="165"/>
  <c r="X26" i="165"/>
  <c r="W26" i="165"/>
  <c r="V26" i="165"/>
  <c r="U26" i="165"/>
  <c r="T26" i="165"/>
  <c r="S26" i="165"/>
  <c r="R26" i="165"/>
  <c r="Q26" i="165"/>
  <c r="P26" i="165"/>
  <c r="O26" i="165"/>
  <c r="N26" i="165"/>
  <c r="M26" i="165"/>
  <c r="L26" i="165"/>
  <c r="K26" i="165"/>
  <c r="J26" i="165"/>
  <c r="I26" i="165"/>
  <c r="H26" i="165"/>
  <c r="G26" i="165"/>
  <c r="F26" i="165"/>
  <c r="E26" i="165"/>
  <c r="D26" i="165"/>
  <c r="C26" i="165"/>
  <c r="AB25" i="165" a="1"/>
  <c r="AB25" i="165"/>
  <c r="Z25" i="165"/>
  <c r="Y25" i="165"/>
  <c r="X25" i="165"/>
  <c r="W25" i="165"/>
  <c r="V25" i="165"/>
  <c r="U25" i="165"/>
  <c r="T25" i="165"/>
  <c r="S25" i="165"/>
  <c r="R25" i="165"/>
  <c r="Q25" i="165"/>
  <c r="P25" i="165"/>
  <c r="O25" i="165"/>
  <c r="N25" i="165"/>
  <c r="M25" i="165"/>
  <c r="L25" i="165"/>
  <c r="K25" i="165"/>
  <c r="J25" i="165"/>
  <c r="I25" i="165"/>
  <c r="H25" i="165"/>
  <c r="G25" i="165"/>
  <c r="F25" i="165"/>
  <c r="E25" i="165"/>
  <c r="D25" i="165"/>
  <c r="C25" i="165"/>
  <c r="AB24" i="165" a="1"/>
  <c r="AB24" i="165"/>
  <c r="AA24" i="165"/>
  <c r="Z24" i="165"/>
  <c r="Y24" i="165"/>
  <c r="X24" i="165"/>
  <c r="W24" i="165"/>
  <c r="V24" i="165"/>
  <c r="U24" i="165"/>
  <c r="T24" i="165"/>
  <c r="S24" i="165"/>
  <c r="R24" i="165"/>
  <c r="Q24" i="165"/>
  <c r="P24" i="165"/>
  <c r="O24" i="165"/>
  <c r="N24" i="165"/>
  <c r="M24" i="165"/>
  <c r="L24" i="165"/>
  <c r="K24" i="165"/>
  <c r="J24" i="165"/>
  <c r="I24" i="165"/>
  <c r="H24" i="165"/>
  <c r="G24" i="165"/>
  <c r="F24" i="165"/>
  <c r="E24" i="165"/>
  <c r="D24" i="165"/>
  <c r="C24" i="165"/>
  <c r="AB23" i="165" a="1"/>
  <c r="AB23" i="165"/>
  <c r="AA23" i="165"/>
  <c r="Z23" i="165"/>
  <c r="Y23" i="165"/>
  <c r="X23" i="165"/>
  <c r="W23" i="165"/>
  <c r="V23" i="165"/>
  <c r="U23" i="165"/>
  <c r="T23" i="165"/>
  <c r="S23" i="165"/>
  <c r="R23" i="165"/>
  <c r="Q23" i="165"/>
  <c r="P23" i="165"/>
  <c r="O23" i="165"/>
  <c r="N23" i="165"/>
  <c r="M23" i="165"/>
  <c r="L23" i="165"/>
  <c r="K23" i="165"/>
  <c r="J23" i="165"/>
  <c r="I23" i="165"/>
  <c r="H23" i="165"/>
  <c r="G23" i="165"/>
  <c r="F23" i="165"/>
  <c r="E23" i="165"/>
  <c r="D23" i="165"/>
  <c r="C23" i="165"/>
  <c r="AB22" i="165" a="1"/>
  <c r="AB22" i="165"/>
  <c r="AA22" i="165"/>
  <c r="Z22" i="165"/>
  <c r="Y22" i="165"/>
  <c r="X22" i="165"/>
  <c r="W22" i="165"/>
  <c r="V22" i="165"/>
  <c r="U22" i="165"/>
  <c r="T22" i="165"/>
  <c r="S22" i="165"/>
  <c r="R22" i="165"/>
  <c r="Q22" i="165"/>
  <c r="P22" i="165"/>
  <c r="O22" i="165"/>
  <c r="N22" i="165"/>
  <c r="M22" i="165"/>
  <c r="L22" i="165"/>
  <c r="K22" i="165"/>
  <c r="J22" i="165"/>
  <c r="I22" i="165"/>
  <c r="H22" i="165"/>
  <c r="G22" i="165"/>
  <c r="F22" i="165"/>
  <c r="E22" i="165"/>
  <c r="D22" i="165"/>
  <c r="C22" i="165"/>
  <c r="AB21" i="165" a="1"/>
  <c r="AB21" i="165"/>
  <c r="AA21" i="165"/>
  <c r="Z21" i="165"/>
  <c r="Y21" i="165"/>
  <c r="X21" i="165"/>
  <c r="W21" i="165"/>
  <c r="V21" i="165"/>
  <c r="U21" i="165"/>
  <c r="T21" i="165"/>
  <c r="S21" i="165"/>
  <c r="R21" i="165"/>
  <c r="Q21" i="165"/>
  <c r="P21" i="165"/>
  <c r="O21" i="165"/>
  <c r="N21" i="165"/>
  <c r="M21" i="165"/>
  <c r="L21" i="165"/>
  <c r="K21" i="165"/>
  <c r="J21" i="165"/>
  <c r="I21" i="165"/>
  <c r="H21" i="165"/>
  <c r="G21" i="165"/>
  <c r="F21" i="165"/>
  <c r="E21" i="165"/>
  <c r="D21" i="165"/>
  <c r="C21" i="165"/>
  <c r="AB20" i="165" a="1"/>
  <c r="AB20" i="165"/>
  <c r="AA20" i="165"/>
  <c r="Z20" i="165"/>
  <c r="Y20" i="165"/>
  <c r="X20" i="165"/>
  <c r="W20" i="165"/>
  <c r="V20" i="165"/>
  <c r="U20" i="165"/>
  <c r="T20" i="165"/>
  <c r="S20" i="165"/>
  <c r="R20" i="165"/>
  <c r="Q20" i="165"/>
  <c r="P20" i="165"/>
  <c r="O20" i="165"/>
  <c r="N20" i="165"/>
  <c r="M20" i="165"/>
  <c r="L20" i="165"/>
  <c r="K20" i="165"/>
  <c r="J20" i="165"/>
  <c r="I20" i="165"/>
  <c r="H20" i="165"/>
  <c r="G20" i="165"/>
  <c r="F20" i="165"/>
  <c r="E20" i="165"/>
  <c r="D20" i="165"/>
  <c r="C20" i="165"/>
  <c r="AB19" i="165" a="1"/>
  <c r="AB19" i="165"/>
  <c r="AA19" i="165"/>
  <c r="Z19" i="165"/>
  <c r="Y19" i="165"/>
  <c r="X19" i="165"/>
  <c r="W19" i="165"/>
  <c r="V19" i="165"/>
  <c r="U19" i="165"/>
  <c r="T19" i="165"/>
  <c r="S19" i="165"/>
  <c r="R19" i="165"/>
  <c r="Q19" i="165"/>
  <c r="P19" i="165"/>
  <c r="O19" i="165"/>
  <c r="N19" i="165"/>
  <c r="M19" i="165"/>
  <c r="L19" i="165"/>
  <c r="K19" i="165"/>
  <c r="J19" i="165"/>
  <c r="I19" i="165"/>
  <c r="H19" i="165"/>
  <c r="G19" i="165"/>
  <c r="F19" i="165"/>
  <c r="E19" i="165"/>
  <c r="D19" i="165"/>
  <c r="C19" i="165"/>
  <c r="AB18" i="165" a="1"/>
  <c r="AB18" i="165"/>
  <c r="AA18" i="165"/>
  <c r="Z18" i="165"/>
  <c r="Y18" i="165"/>
  <c r="X18" i="165"/>
  <c r="W18" i="165"/>
  <c r="V18" i="165"/>
  <c r="U18" i="165"/>
  <c r="T18" i="165"/>
  <c r="S18" i="165"/>
  <c r="R18" i="165"/>
  <c r="Q18" i="165"/>
  <c r="P18" i="165"/>
  <c r="O18" i="165"/>
  <c r="N18" i="165"/>
  <c r="M18" i="165"/>
  <c r="L18" i="165"/>
  <c r="K18" i="165"/>
  <c r="J18" i="165"/>
  <c r="I18" i="165"/>
  <c r="H18" i="165"/>
  <c r="G18" i="165"/>
  <c r="F18" i="165"/>
  <c r="E18" i="165"/>
  <c r="D18" i="165"/>
  <c r="C18" i="165"/>
  <c r="AB17" i="165" a="1"/>
  <c r="AB17" i="165"/>
  <c r="AA17" i="165"/>
  <c r="Z17" i="165"/>
  <c r="Y17" i="165"/>
  <c r="X17" i="165"/>
  <c r="W17" i="165"/>
  <c r="V17" i="165"/>
  <c r="U17" i="165"/>
  <c r="T17" i="165"/>
  <c r="S17" i="165"/>
  <c r="R17" i="165"/>
  <c r="Q17" i="165"/>
  <c r="P17" i="165"/>
  <c r="O17" i="165"/>
  <c r="N17" i="165"/>
  <c r="M17" i="165"/>
  <c r="L17" i="165"/>
  <c r="K17" i="165"/>
  <c r="J17" i="165"/>
  <c r="I17" i="165"/>
  <c r="H17" i="165"/>
  <c r="G17" i="165"/>
  <c r="F17" i="165"/>
  <c r="E17" i="165"/>
  <c r="D17" i="165"/>
  <c r="C17" i="165"/>
  <c r="AB16" i="165" a="1"/>
  <c r="AB16" i="165"/>
  <c r="AA16" i="165"/>
  <c r="Z16" i="165"/>
  <c r="Y16" i="165"/>
  <c r="X16" i="165"/>
  <c r="W16" i="165"/>
  <c r="V16" i="165"/>
  <c r="U16" i="165"/>
  <c r="T16" i="165"/>
  <c r="S16" i="165"/>
  <c r="R16" i="165"/>
  <c r="Q16" i="165"/>
  <c r="P16" i="165"/>
  <c r="O16" i="165"/>
  <c r="N16" i="165"/>
  <c r="M16" i="165"/>
  <c r="L16" i="165"/>
  <c r="K16" i="165"/>
  <c r="J16" i="165"/>
  <c r="I16" i="165"/>
  <c r="H16" i="165"/>
  <c r="G16" i="165"/>
  <c r="F16" i="165"/>
  <c r="E16" i="165"/>
  <c r="D16" i="165"/>
  <c r="C16" i="165"/>
  <c r="AB15" i="165" a="1"/>
  <c r="AB15" i="165"/>
  <c r="AA15" i="165"/>
  <c r="Z15" i="165"/>
  <c r="Y15" i="165"/>
  <c r="X15" i="165"/>
  <c r="W15" i="165"/>
  <c r="V15" i="165"/>
  <c r="U15" i="165"/>
  <c r="T15" i="165"/>
  <c r="S15" i="165"/>
  <c r="R15" i="165"/>
  <c r="Q15" i="165"/>
  <c r="P15" i="165"/>
  <c r="O15" i="165"/>
  <c r="N15" i="165"/>
  <c r="M15" i="165"/>
  <c r="L15" i="165"/>
  <c r="K15" i="165"/>
  <c r="J15" i="165"/>
  <c r="I15" i="165"/>
  <c r="H15" i="165"/>
  <c r="G15" i="165"/>
  <c r="F15" i="165"/>
  <c r="E15" i="165"/>
  <c r="D15" i="165"/>
  <c r="C15" i="165"/>
  <c r="AB14" i="165" a="1"/>
  <c r="AB14" i="165"/>
  <c r="AA14" i="165"/>
  <c r="Z14" i="165"/>
  <c r="Y14" i="165"/>
  <c r="X14" i="165"/>
  <c r="W14" i="165"/>
  <c r="V14" i="165"/>
  <c r="U14" i="165"/>
  <c r="T14" i="165"/>
  <c r="S14" i="165"/>
  <c r="R14" i="165"/>
  <c r="Q14" i="165"/>
  <c r="P14" i="165"/>
  <c r="O14" i="165"/>
  <c r="N14" i="165"/>
  <c r="M14" i="165"/>
  <c r="L14" i="165"/>
  <c r="K14" i="165"/>
  <c r="J14" i="165"/>
  <c r="I14" i="165"/>
  <c r="H14" i="165"/>
  <c r="G14" i="165"/>
  <c r="F14" i="165"/>
  <c r="E14" i="165"/>
  <c r="D14" i="165"/>
  <c r="C14" i="165"/>
  <c r="AB13" i="165" a="1"/>
  <c r="AB13" i="165"/>
  <c r="AA13" i="165"/>
  <c r="Z13" i="165"/>
  <c r="Y13" i="165"/>
  <c r="X13" i="165"/>
  <c r="W13" i="165"/>
  <c r="V13" i="165"/>
  <c r="U13" i="165"/>
  <c r="T13" i="165"/>
  <c r="S13" i="165"/>
  <c r="R13" i="165"/>
  <c r="Q13" i="165"/>
  <c r="P13" i="165"/>
  <c r="O13" i="165"/>
  <c r="N13" i="165"/>
  <c r="M13" i="165"/>
  <c r="L13" i="165"/>
  <c r="K13" i="165"/>
  <c r="J13" i="165"/>
  <c r="I13" i="165"/>
  <c r="H13" i="165"/>
  <c r="G13" i="165"/>
  <c r="F13" i="165"/>
  <c r="E13" i="165"/>
  <c r="D13" i="165"/>
  <c r="C13" i="165"/>
  <c r="AB12" i="165" a="1"/>
  <c r="AB12" i="165"/>
  <c r="AA12" i="165"/>
  <c r="Z12" i="165"/>
  <c r="Y12" i="165"/>
  <c r="X12" i="165"/>
  <c r="W12" i="165"/>
  <c r="V12" i="165"/>
  <c r="U12" i="165"/>
  <c r="T12" i="165"/>
  <c r="S12" i="165"/>
  <c r="R12" i="165"/>
  <c r="Q12" i="165"/>
  <c r="P12" i="165"/>
  <c r="O12" i="165"/>
  <c r="N12" i="165"/>
  <c r="M12" i="165"/>
  <c r="L12" i="165"/>
  <c r="K12" i="165"/>
  <c r="J12" i="165"/>
  <c r="I12" i="165"/>
  <c r="H12" i="165"/>
  <c r="G12" i="165"/>
  <c r="F12" i="165"/>
  <c r="E12" i="165"/>
  <c r="D12" i="165"/>
  <c r="C12" i="165"/>
  <c r="AB11" i="165" a="1"/>
  <c r="AB11" i="165"/>
  <c r="AA11" i="165"/>
  <c r="Z11" i="165"/>
  <c r="Y11" i="165"/>
  <c r="X11" i="165"/>
  <c r="W11" i="165"/>
  <c r="V11" i="165"/>
  <c r="U11" i="165"/>
  <c r="T11" i="165"/>
  <c r="S11" i="165"/>
  <c r="R11" i="165"/>
  <c r="Q11" i="165"/>
  <c r="P11" i="165"/>
  <c r="O11" i="165"/>
  <c r="N11" i="165"/>
  <c r="M11" i="165"/>
  <c r="L11" i="165"/>
  <c r="K11" i="165"/>
  <c r="J11" i="165"/>
  <c r="I11" i="165"/>
  <c r="H11" i="165"/>
  <c r="G11" i="165"/>
  <c r="F11" i="165"/>
  <c r="E11" i="165"/>
  <c r="D11" i="165"/>
  <c r="C11" i="165"/>
  <c r="AB10" i="165" a="1"/>
  <c r="AB10" i="165"/>
  <c r="AA10" i="165"/>
  <c r="Z10" i="165"/>
  <c r="Y10" i="165"/>
  <c r="X10" i="165"/>
  <c r="W10" i="165"/>
  <c r="V10" i="165"/>
  <c r="U10" i="165"/>
  <c r="T10" i="165"/>
  <c r="S10" i="165"/>
  <c r="R10" i="165"/>
  <c r="Q10" i="165"/>
  <c r="P10" i="165"/>
  <c r="O10" i="165"/>
  <c r="N10" i="165"/>
  <c r="M10" i="165"/>
  <c r="L10" i="165"/>
  <c r="K10" i="165"/>
  <c r="J10" i="165"/>
  <c r="I10" i="165"/>
  <c r="H10" i="165"/>
  <c r="G10" i="165"/>
  <c r="F10" i="165"/>
  <c r="E10" i="165"/>
  <c r="D10" i="165"/>
  <c r="C10" i="165"/>
  <c r="AB9" i="165" a="1"/>
  <c r="AB9" i="165"/>
  <c r="AA9" i="165"/>
  <c r="Z9" i="165"/>
  <c r="Y9" i="165"/>
  <c r="X9" i="165"/>
  <c r="W9" i="165"/>
  <c r="V9" i="165"/>
  <c r="U9" i="165"/>
  <c r="T9" i="165"/>
  <c r="S9" i="165"/>
  <c r="R9" i="165"/>
  <c r="Q9" i="165"/>
  <c r="P9" i="165"/>
  <c r="O9" i="165"/>
  <c r="N9" i="165"/>
  <c r="M9" i="165"/>
  <c r="L9" i="165"/>
  <c r="K9" i="165"/>
  <c r="J9" i="165"/>
  <c r="I9" i="165"/>
  <c r="H9" i="165"/>
  <c r="G9" i="165"/>
  <c r="F9" i="165"/>
  <c r="E9" i="165"/>
  <c r="D9" i="165"/>
  <c r="C9" i="165"/>
  <c r="AB8" i="165" a="1"/>
  <c r="AB8" i="165"/>
  <c r="AA8" i="165"/>
  <c r="Z8" i="165"/>
  <c r="Y8" i="165"/>
  <c r="X8" i="165"/>
  <c r="W8" i="165"/>
  <c r="V8" i="165"/>
  <c r="U8" i="165"/>
  <c r="T8" i="165"/>
  <c r="S8" i="165"/>
  <c r="R8" i="165"/>
  <c r="Q8" i="165"/>
  <c r="P8" i="165"/>
  <c r="O8" i="165"/>
  <c r="N8" i="165"/>
  <c r="M8" i="165"/>
  <c r="L8" i="165"/>
  <c r="K8" i="165"/>
  <c r="J8" i="165"/>
  <c r="I8" i="165"/>
  <c r="H8" i="165"/>
  <c r="G8" i="165"/>
  <c r="F8" i="165"/>
  <c r="E8" i="165"/>
  <c r="D8" i="165"/>
  <c r="C8" i="165"/>
  <c r="AB7" i="165" a="1"/>
  <c r="AB7" i="165"/>
  <c r="AA7" i="165"/>
  <c r="Z7" i="165"/>
  <c r="Y7" i="165"/>
  <c r="X7" i="165"/>
  <c r="W7" i="165"/>
  <c r="V7" i="165"/>
  <c r="U7" i="165"/>
  <c r="T7" i="165"/>
  <c r="S7" i="165"/>
  <c r="R7" i="165"/>
  <c r="Q7" i="165"/>
  <c r="P7" i="165"/>
  <c r="O7" i="165"/>
  <c r="N7" i="165"/>
  <c r="M7" i="165"/>
  <c r="L7" i="165"/>
  <c r="K7" i="165"/>
  <c r="J7" i="165"/>
  <c r="I7" i="165"/>
  <c r="H7" i="165"/>
  <c r="G7" i="165"/>
  <c r="F7" i="165"/>
  <c r="E7" i="165"/>
  <c r="D7" i="165"/>
  <c r="C7" i="165"/>
  <c r="AB6" i="165" a="1"/>
  <c r="AB6" i="165"/>
  <c r="AA6" i="165"/>
  <c r="Z6" i="165"/>
  <c r="Y6" i="165"/>
  <c r="X6" i="165"/>
  <c r="W6" i="165"/>
  <c r="V6" i="165"/>
  <c r="U6" i="165"/>
  <c r="T6" i="165"/>
  <c r="S6" i="165"/>
  <c r="R6" i="165"/>
  <c r="Q6" i="165"/>
  <c r="P6" i="165"/>
  <c r="O6" i="165"/>
  <c r="N6" i="165"/>
  <c r="M6" i="165"/>
  <c r="L6" i="165"/>
  <c r="K6" i="165"/>
  <c r="J6" i="165"/>
  <c r="I6" i="165"/>
  <c r="H6" i="165"/>
  <c r="G6" i="165"/>
  <c r="F6" i="165"/>
  <c r="E6" i="165"/>
  <c r="D6" i="165"/>
  <c r="C6" i="165"/>
  <c r="AB5" i="165" a="1"/>
  <c r="AB5" i="165"/>
  <c r="AA5" i="165"/>
  <c r="Z5" i="165"/>
  <c r="Y5" i="165"/>
  <c r="X5" i="165"/>
  <c r="W5" i="165"/>
  <c r="V5" i="165"/>
  <c r="U5" i="165"/>
  <c r="T5" i="165"/>
  <c r="S5" i="165"/>
  <c r="R5" i="165"/>
  <c r="Q5" i="165"/>
  <c r="P5" i="165"/>
  <c r="O5" i="165"/>
  <c r="N5" i="165"/>
  <c r="M5" i="165"/>
  <c r="L5" i="165"/>
  <c r="K5" i="165"/>
  <c r="J5" i="165"/>
  <c r="I5" i="165"/>
  <c r="H5" i="165"/>
  <c r="G5" i="165"/>
  <c r="F5" i="165"/>
  <c r="E5" i="165"/>
  <c r="D5" i="165"/>
  <c r="C5" i="165"/>
  <c r="AB4" i="165" a="1"/>
  <c r="AB4" i="165"/>
  <c r="AA4" i="165"/>
  <c r="Z4" i="165"/>
  <c r="Y4" i="165"/>
  <c r="X4" i="165"/>
  <c r="W4" i="165"/>
  <c r="V4" i="165"/>
  <c r="U4" i="165"/>
  <c r="T4" i="165"/>
  <c r="S4" i="165"/>
  <c r="R4" i="165"/>
  <c r="Q4" i="165"/>
  <c r="P4" i="165"/>
  <c r="O4" i="165"/>
  <c r="N4" i="165"/>
  <c r="M4" i="165"/>
  <c r="L4" i="165"/>
  <c r="K4" i="165"/>
  <c r="J4" i="165"/>
  <c r="I4" i="165"/>
  <c r="H4" i="165"/>
  <c r="G4" i="165"/>
  <c r="F4" i="165"/>
  <c r="E4" i="165"/>
  <c r="D4" i="165"/>
  <c r="C4" i="165"/>
  <c r="AB3" i="165" a="1"/>
  <c r="AB3" i="165"/>
  <c r="AA3" i="165"/>
  <c r="Z3" i="165"/>
  <c r="Y3" i="165"/>
  <c r="X3" i="165"/>
  <c r="W3" i="165"/>
  <c r="V3" i="165"/>
  <c r="U3" i="165"/>
  <c r="T3" i="165"/>
  <c r="S3" i="165"/>
  <c r="R3" i="165"/>
  <c r="Q3" i="165"/>
  <c r="P3" i="165"/>
  <c r="O3" i="165"/>
  <c r="N3" i="165"/>
  <c r="M3" i="165"/>
  <c r="L3" i="165"/>
  <c r="K3" i="165"/>
  <c r="J3" i="165"/>
  <c r="I3" i="165"/>
  <c r="H3" i="165"/>
  <c r="G3" i="165"/>
  <c r="F3" i="165"/>
  <c r="E3" i="165"/>
  <c r="D3" i="165"/>
  <c r="C3" i="165"/>
  <c r="AB2" i="165" a="1"/>
  <c r="AB2" i="165"/>
  <c r="AA2" i="165"/>
  <c r="Z2" i="165"/>
  <c r="Y2" i="165"/>
  <c r="X2" i="165"/>
  <c r="W2" i="165"/>
  <c r="V2" i="165"/>
  <c r="U2" i="165"/>
  <c r="T2" i="165"/>
  <c r="S2" i="165"/>
  <c r="R2" i="165"/>
  <c r="Q2" i="165"/>
  <c r="P2" i="165"/>
  <c r="O2" i="165"/>
  <c r="N2" i="165"/>
  <c r="M2" i="165"/>
  <c r="L2" i="165"/>
  <c r="K2" i="165"/>
  <c r="J2" i="165"/>
  <c r="I2" i="165"/>
  <c r="H2" i="165"/>
  <c r="G2" i="165"/>
  <c r="F2" i="165"/>
  <c r="E2" i="165"/>
  <c r="D2" i="165"/>
  <c r="C2" i="165"/>
  <c r="AA105" i="164"/>
  <c r="AA104" i="164"/>
  <c r="AA103" i="164"/>
  <c r="AA101" i="164"/>
  <c r="Z101" i="164"/>
  <c r="Y101" i="164"/>
  <c r="X101" i="164"/>
  <c r="W101" i="164"/>
  <c r="V101" i="164"/>
  <c r="U101" i="164"/>
  <c r="T101" i="164"/>
  <c r="S101" i="164"/>
  <c r="R101" i="164"/>
  <c r="Q101" i="164"/>
  <c r="P101" i="164"/>
  <c r="O101" i="164"/>
  <c r="N101" i="164"/>
  <c r="M101" i="164"/>
  <c r="L101" i="164"/>
  <c r="K101" i="164"/>
  <c r="J101" i="164"/>
  <c r="I101" i="164"/>
  <c r="H101" i="164"/>
  <c r="G101" i="164"/>
  <c r="F101" i="164"/>
  <c r="E101" i="164"/>
  <c r="D101" i="164"/>
  <c r="C101" i="164"/>
  <c r="AB45" i="164" a="1"/>
  <c r="AB45" i="164"/>
  <c r="AB44" i="164" a="1"/>
  <c r="AB44" i="164"/>
  <c r="AB43" i="164" a="1"/>
  <c r="AB43" i="164"/>
  <c r="AB42" i="164" a="1"/>
  <c r="AB42" i="164"/>
  <c r="AB41" i="164" a="1"/>
  <c r="AB41" i="164"/>
  <c r="AB40" i="164" a="1"/>
  <c r="AB40" i="164"/>
  <c r="AB39" i="164" a="1"/>
  <c r="AB39" i="164"/>
  <c r="AB38" i="164" a="1"/>
  <c r="AB38" i="164"/>
  <c r="AB37" i="164" a="1"/>
  <c r="AB37" i="164"/>
  <c r="Z37" i="164"/>
  <c r="Y37" i="164"/>
  <c r="X37" i="164"/>
  <c r="W37" i="164"/>
  <c r="V37" i="164"/>
  <c r="U37" i="164"/>
  <c r="T37" i="164"/>
  <c r="S37" i="164"/>
  <c r="R37" i="164"/>
  <c r="Q37" i="164"/>
  <c r="P37" i="164"/>
  <c r="O37" i="164"/>
  <c r="N37" i="164"/>
  <c r="M37" i="164"/>
  <c r="L37" i="164"/>
  <c r="K37" i="164"/>
  <c r="J37" i="164"/>
  <c r="I37" i="164"/>
  <c r="H37" i="164"/>
  <c r="G37" i="164"/>
  <c r="F37" i="164"/>
  <c r="E37" i="164"/>
  <c r="D37" i="164"/>
  <c r="C37" i="164"/>
  <c r="AB36" i="164" a="1"/>
  <c r="AB36" i="164"/>
  <c r="Z36" i="164"/>
  <c r="Y36" i="164"/>
  <c r="X36" i="164"/>
  <c r="W36" i="164"/>
  <c r="V36" i="164"/>
  <c r="U36" i="164"/>
  <c r="T36" i="164"/>
  <c r="S36" i="164"/>
  <c r="R36" i="164"/>
  <c r="Q36" i="164"/>
  <c r="P36" i="164"/>
  <c r="O36" i="164"/>
  <c r="N36" i="164"/>
  <c r="M36" i="164"/>
  <c r="L36" i="164"/>
  <c r="K36" i="164"/>
  <c r="J36" i="164"/>
  <c r="I36" i="164"/>
  <c r="H36" i="164"/>
  <c r="G36" i="164"/>
  <c r="F36" i="164"/>
  <c r="E36" i="164"/>
  <c r="D36" i="164"/>
  <c r="C36" i="164"/>
  <c r="AB35" i="164" a="1"/>
  <c r="AB35" i="164"/>
  <c r="Z35" i="164"/>
  <c r="Y35" i="164"/>
  <c r="X35" i="164"/>
  <c r="W35" i="164"/>
  <c r="V35" i="164"/>
  <c r="U35" i="164"/>
  <c r="T35" i="164"/>
  <c r="S35" i="164"/>
  <c r="R35" i="164"/>
  <c r="Q35" i="164"/>
  <c r="P35" i="164"/>
  <c r="O35" i="164"/>
  <c r="N35" i="164"/>
  <c r="M35" i="164"/>
  <c r="L35" i="164"/>
  <c r="K35" i="164"/>
  <c r="J35" i="164"/>
  <c r="I35" i="164"/>
  <c r="H35" i="164"/>
  <c r="G35" i="164"/>
  <c r="F35" i="164"/>
  <c r="E35" i="164"/>
  <c r="D35" i="164"/>
  <c r="C35" i="164"/>
  <c r="AB34" i="164" a="1"/>
  <c r="AB34" i="164"/>
  <c r="Z34" i="164"/>
  <c r="Y34" i="164"/>
  <c r="X34" i="164"/>
  <c r="W34" i="164"/>
  <c r="V34" i="164"/>
  <c r="U34" i="164"/>
  <c r="T34" i="164"/>
  <c r="S34" i="164"/>
  <c r="R34" i="164"/>
  <c r="Q34" i="164"/>
  <c r="P34" i="164"/>
  <c r="O34" i="164"/>
  <c r="N34" i="164"/>
  <c r="M34" i="164"/>
  <c r="L34" i="164"/>
  <c r="K34" i="164"/>
  <c r="J34" i="164"/>
  <c r="I34" i="164"/>
  <c r="H34" i="164"/>
  <c r="G34" i="164"/>
  <c r="F34" i="164"/>
  <c r="E34" i="164"/>
  <c r="D34" i="164"/>
  <c r="C34" i="164"/>
  <c r="AB33" i="164" a="1"/>
  <c r="AB33" i="164"/>
  <c r="Z33" i="164"/>
  <c r="Y33" i="164"/>
  <c r="X33" i="164"/>
  <c r="W33" i="164"/>
  <c r="V33" i="164"/>
  <c r="U33" i="164"/>
  <c r="T33" i="164"/>
  <c r="S33" i="164"/>
  <c r="R33" i="164"/>
  <c r="Q33" i="164"/>
  <c r="P33" i="164"/>
  <c r="O33" i="164"/>
  <c r="N33" i="164"/>
  <c r="M33" i="164"/>
  <c r="L33" i="164"/>
  <c r="K33" i="164"/>
  <c r="J33" i="164"/>
  <c r="I33" i="164"/>
  <c r="H33" i="164"/>
  <c r="G33" i="164"/>
  <c r="F33" i="164"/>
  <c r="E33" i="164"/>
  <c r="D33" i="164"/>
  <c r="C33" i="164"/>
  <c r="AB32" i="164" a="1"/>
  <c r="AB32" i="164"/>
  <c r="Z32" i="164"/>
  <c r="Y32" i="164"/>
  <c r="X32" i="164"/>
  <c r="W32" i="164"/>
  <c r="V32" i="164"/>
  <c r="U32" i="164"/>
  <c r="T32" i="164"/>
  <c r="S32" i="164"/>
  <c r="R32" i="164"/>
  <c r="Q32" i="164"/>
  <c r="P32" i="164"/>
  <c r="O32" i="164"/>
  <c r="N32" i="164"/>
  <c r="M32" i="164"/>
  <c r="L32" i="164"/>
  <c r="K32" i="164"/>
  <c r="J32" i="164"/>
  <c r="I32" i="164"/>
  <c r="H32" i="164"/>
  <c r="G32" i="164"/>
  <c r="F32" i="164"/>
  <c r="E32" i="164"/>
  <c r="D32" i="164"/>
  <c r="C32" i="164"/>
  <c r="AB31" i="164" a="1"/>
  <c r="AB31" i="164"/>
  <c r="Z31" i="164"/>
  <c r="Y31" i="164"/>
  <c r="X31" i="164"/>
  <c r="W31" i="164"/>
  <c r="V31" i="164"/>
  <c r="U31" i="164"/>
  <c r="T31" i="164"/>
  <c r="S31" i="164"/>
  <c r="R31" i="164"/>
  <c r="Q31" i="164"/>
  <c r="P31" i="164"/>
  <c r="O31" i="164"/>
  <c r="N31" i="164"/>
  <c r="M31" i="164"/>
  <c r="L31" i="164"/>
  <c r="K31" i="164"/>
  <c r="J31" i="164"/>
  <c r="I31" i="164"/>
  <c r="H31" i="164"/>
  <c r="G31" i="164"/>
  <c r="F31" i="164"/>
  <c r="E31" i="164"/>
  <c r="D31" i="164"/>
  <c r="C31" i="164"/>
  <c r="AB30" i="164" a="1"/>
  <c r="AB30" i="164"/>
  <c r="Z30" i="164"/>
  <c r="Y30" i="164"/>
  <c r="X30" i="164"/>
  <c r="W30" i="164"/>
  <c r="V30" i="164"/>
  <c r="U30" i="164"/>
  <c r="T30" i="164"/>
  <c r="S30" i="164"/>
  <c r="R30" i="164"/>
  <c r="Q30" i="164"/>
  <c r="P30" i="164"/>
  <c r="O30" i="164"/>
  <c r="N30" i="164"/>
  <c r="M30" i="164"/>
  <c r="L30" i="164"/>
  <c r="K30" i="164"/>
  <c r="J30" i="164"/>
  <c r="I30" i="164"/>
  <c r="H30" i="164"/>
  <c r="G30" i="164"/>
  <c r="F30" i="164"/>
  <c r="E30" i="164"/>
  <c r="D30" i="164"/>
  <c r="C30" i="164"/>
  <c r="AB29" i="164" a="1"/>
  <c r="AB29" i="164"/>
  <c r="AA29" i="164"/>
  <c r="Z29" i="164"/>
  <c r="Y29" i="164"/>
  <c r="X29" i="164"/>
  <c r="W29" i="164"/>
  <c r="V29" i="164"/>
  <c r="U29" i="164"/>
  <c r="T29" i="164"/>
  <c r="S29" i="164"/>
  <c r="R29" i="164"/>
  <c r="Q29" i="164"/>
  <c r="P29" i="164"/>
  <c r="O29" i="164"/>
  <c r="N29" i="164"/>
  <c r="M29" i="164"/>
  <c r="L29" i="164"/>
  <c r="K29" i="164"/>
  <c r="J29" i="164"/>
  <c r="I29" i="164"/>
  <c r="H29" i="164"/>
  <c r="G29" i="164"/>
  <c r="F29" i="164"/>
  <c r="E29" i="164"/>
  <c r="D29" i="164"/>
  <c r="C29" i="164"/>
  <c r="AB28" i="164" a="1"/>
  <c r="AB28" i="164"/>
  <c r="AA28" i="164"/>
  <c r="Z28" i="164"/>
  <c r="Y28" i="164"/>
  <c r="X28" i="164"/>
  <c r="W28" i="164"/>
  <c r="V28" i="164"/>
  <c r="U28" i="164"/>
  <c r="T28" i="164"/>
  <c r="S28" i="164"/>
  <c r="R28" i="164"/>
  <c r="Q28" i="164"/>
  <c r="P28" i="164"/>
  <c r="O28" i="164"/>
  <c r="N28" i="164"/>
  <c r="M28" i="164"/>
  <c r="L28" i="164"/>
  <c r="K28" i="164"/>
  <c r="J28" i="164"/>
  <c r="I28" i="164"/>
  <c r="H28" i="164"/>
  <c r="G28" i="164"/>
  <c r="F28" i="164"/>
  <c r="E28" i="164"/>
  <c r="D28" i="164"/>
  <c r="C28" i="164"/>
  <c r="AB27" i="164" a="1"/>
  <c r="AB27" i="164"/>
  <c r="AA27" i="164"/>
  <c r="Z27" i="164"/>
  <c r="Y27" i="164"/>
  <c r="X27" i="164"/>
  <c r="W27" i="164"/>
  <c r="V27" i="164"/>
  <c r="U27" i="164"/>
  <c r="T27" i="164"/>
  <c r="S27" i="164"/>
  <c r="R27" i="164"/>
  <c r="Q27" i="164"/>
  <c r="P27" i="164"/>
  <c r="O27" i="164"/>
  <c r="N27" i="164"/>
  <c r="M27" i="164"/>
  <c r="L27" i="164"/>
  <c r="K27" i="164"/>
  <c r="J27" i="164"/>
  <c r="I27" i="164"/>
  <c r="H27" i="164"/>
  <c r="G27" i="164"/>
  <c r="F27" i="164"/>
  <c r="E27" i="164"/>
  <c r="D27" i="164"/>
  <c r="C27" i="164"/>
  <c r="AB26" i="164" a="1"/>
  <c r="AB26" i="164"/>
  <c r="AA26" i="164"/>
  <c r="Z26" i="164"/>
  <c r="Y26" i="164"/>
  <c r="X26" i="164"/>
  <c r="W26" i="164"/>
  <c r="V26" i="164"/>
  <c r="U26" i="164"/>
  <c r="T26" i="164"/>
  <c r="S26" i="164"/>
  <c r="R26" i="164"/>
  <c r="Q26" i="164"/>
  <c r="P26" i="164"/>
  <c r="O26" i="164"/>
  <c r="N26" i="164"/>
  <c r="M26" i="164"/>
  <c r="L26" i="164"/>
  <c r="K26" i="164"/>
  <c r="J26" i="164"/>
  <c r="I26" i="164"/>
  <c r="H26" i="164"/>
  <c r="G26" i="164"/>
  <c r="F26" i="164"/>
  <c r="E26" i="164"/>
  <c r="D26" i="164"/>
  <c r="C26" i="164"/>
  <c r="AB25" i="164" a="1"/>
  <c r="AB25" i="164"/>
  <c r="Z25" i="164"/>
  <c r="Y25" i="164"/>
  <c r="X25" i="164"/>
  <c r="W25" i="164"/>
  <c r="V25" i="164"/>
  <c r="U25" i="164"/>
  <c r="T25" i="164"/>
  <c r="S25" i="164"/>
  <c r="R25" i="164"/>
  <c r="Q25" i="164"/>
  <c r="P25" i="164"/>
  <c r="O25" i="164"/>
  <c r="N25" i="164"/>
  <c r="M25" i="164"/>
  <c r="L25" i="164"/>
  <c r="K25" i="164"/>
  <c r="J25" i="164"/>
  <c r="I25" i="164"/>
  <c r="H25" i="164"/>
  <c r="G25" i="164"/>
  <c r="F25" i="164"/>
  <c r="E25" i="164"/>
  <c r="D25" i="164"/>
  <c r="C25" i="164"/>
  <c r="AB24" i="164" a="1"/>
  <c r="AB24" i="164"/>
  <c r="AA24" i="164"/>
  <c r="Z24" i="164"/>
  <c r="Y24" i="164"/>
  <c r="X24" i="164"/>
  <c r="W24" i="164"/>
  <c r="V24" i="164"/>
  <c r="U24" i="164"/>
  <c r="T24" i="164"/>
  <c r="S24" i="164"/>
  <c r="R24" i="164"/>
  <c r="Q24" i="164"/>
  <c r="P24" i="164"/>
  <c r="O24" i="164"/>
  <c r="N24" i="164"/>
  <c r="M24" i="164"/>
  <c r="L24" i="164"/>
  <c r="K24" i="164"/>
  <c r="J24" i="164"/>
  <c r="I24" i="164"/>
  <c r="H24" i="164"/>
  <c r="G24" i="164"/>
  <c r="F24" i="164"/>
  <c r="E24" i="164"/>
  <c r="D24" i="164"/>
  <c r="C24" i="164"/>
  <c r="AB23" i="164" a="1"/>
  <c r="AB23" i="164"/>
  <c r="AA23" i="164"/>
  <c r="Z23" i="164"/>
  <c r="Y23" i="164"/>
  <c r="X23" i="164"/>
  <c r="W23" i="164"/>
  <c r="V23" i="164"/>
  <c r="U23" i="164"/>
  <c r="T23" i="164"/>
  <c r="S23" i="164"/>
  <c r="R23" i="164"/>
  <c r="Q23" i="164"/>
  <c r="P23" i="164"/>
  <c r="O23" i="164"/>
  <c r="N23" i="164"/>
  <c r="M23" i="164"/>
  <c r="L23" i="164"/>
  <c r="K23" i="164"/>
  <c r="J23" i="164"/>
  <c r="I23" i="164"/>
  <c r="H23" i="164"/>
  <c r="G23" i="164"/>
  <c r="F23" i="164"/>
  <c r="E23" i="164"/>
  <c r="D23" i="164"/>
  <c r="C23" i="164"/>
  <c r="AB22" i="164" a="1"/>
  <c r="AB22" i="164"/>
  <c r="AA22" i="164"/>
  <c r="Z22" i="164"/>
  <c r="Y22" i="164"/>
  <c r="X22" i="164"/>
  <c r="W22" i="164"/>
  <c r="V22" i="164"/>
  <c r="U22" i="164"/>
  <c r="T22" i="164"/>
  <c r="S22" i="164"/>
  <c r="R22" i="164"/>
  <c r="Q22" i="164"/>
  <c r="P22" i="164"/>
  <c r="O22" i="164"/>
  <c r="N22" i="164"/>
  <c r="M22" i="164"/>
  <c r="L22" i="164"/>
  <c r="K22" i="164"/>
  <c r="J22" i="164"/>
  <c r="I22" i="164"/>
  <c r="H22" i="164"/>
  <c r="G22" i="164"/>
  <c r="F22" i="164"/>
  <c r="E22" i="164"/>
  <c r="D22" i="164"/>
  <c r="C22" i="164"/>
  <c r="AB21" i="164" a="1"/>
  <c r="AB21" i="164"/>
  <c r="AA21" i="164"/>
  <c r="Z21" i="164"/>
  <c r="Y21" i="164"/>
  <c r="X21" i="164"/>
  <c r="W21" i="164"/>
  <c r="V21" i="164"/>
  <c r="U21" i="164"/>
  <c r="T21" i="164"/>
  <c r="S21" i="164"/>
  <c r="R21" i="164"/>
  <c r="Q21" i="164"/>
  <c r="P21" i="164"/>
  <c r="O21" i="164"/>
  <c r="N21" i="164"/>
  <c r="M21" i="164"/>
  <c r="L21" i="164"/>
  <c r="K21" i="164"/>
  <c r="J21" i="164"/>
  <c r="I21" i="164"/>
  <c r="H21" i="164"/>
  <c r="G21" i="164"/>
  <c r="F21" i="164"/>
  <c r="E21" i="164"/>
  <c r="D21" i="164"/>
  <c r="C21" i="164"/>
  <c r="AB20" i="164" a="1"/>
  <c r="AB20" i="164"/>
  <c r="AA20" i="164"/>
  <c r="Z20" i="164"/>
  <c r="Y20" i="164"/>
  <c r="X20" i="164"/>
  <c r="W20" i="164"/>
  <c r="V20" i="164"/>
  <c r="U20" i="164"/>
  <c r="T20" i="164"/>
  <c r="S20" i="164"/>
  <c r="R20" i="164"/>
  <c r="Q20" i="164"/>
  <c r="P20" i="164"/>
  <c r="O20" i="164"/>
  <c r="N20" i="164"/>
  <c r="M20" i="164"/>
  <c r="L20" i="164"/>
  <c r="K20" i="164"/>
  <c r="J20" i="164"/>
  <c r="I20" i="164"/>
  <c r="H20" i="164"/>
  <c r="G20" i="164"/>
  <c r="F20" i="164"/>
  <c r="E20" i="164"/>
  <c r="D20" i="164"/>
  <c r="C20" i="164"/>
  <c r="AB19" i="164" a="1"/>
  <c r="AB19" i="164"/>
  <c r="AA19" i="164"/>
  <c r="Z19" i="164"/>
  <c r="Y19" i="164"/>
  <c r="X19" i="164"/>
  <c r="W19" i="164"/>
  <c r="V19" i="164"/>
  <c r="U19" i="164"/>
  <c r="T19" i="164"/>
  <c r="S19" i="164"/>
  <c r="R19" i="164"/>
  <c r="Q19" i="164"/>
  <c r="P19" i="164"/>
  <c r="O19" i="164"/>
  <c r="N19" i="164"/>
  <c r="M19" i="164"/>
  <c r="L19" i="164"/>
  <c r="K19" i="164"/>
  <c r="J19" i="164"/>
  <c r="I19" i="164"/>
  <c r="H19" i="164"/>
  <c r="G19" i="164"/>
  <c r="F19" i="164"/>
  <c r="E19" i="164"/>
  <c r="D19" i="164"/>
  <c r="C19" i="164"/>
  <c r="AB18" i="164" a="1"/>
  <c r="AB18" i="164"/>
  <c r="AA18" i="164"/>
  <c r="Z18" i="164"/>
  <c r="Y18" i="164"/>
  <c r="X18" i="164"/>
  <c r="W18" i="164"/>
  <c r="V18" i="164"/>
  <c r="U18" i="164"/>
  <c r="T18" i="164"/>
  <c r="S18" i="164"/>
  <c r="R18" i="164"/>
  <c r="Q18" i="164"/>
  <c r="P18" i="164"/>
  <c r="O18" i="164"/>
  <c r="N18" i="164"/>
  <c r="M18" i="164"/>
  <c r="L18" i="164"/>
  <c r="K18" i="164"/>
  <c r="J18" i="164"/>
  <c r="I18" i="164"/>
  <c r="H18" i="164"/>
  <c r="G18" i="164"/>
  <c r="F18" i="164"/>
  <c r="E18" i="164"/>
  <c r="D18" i="164"/>
  <c r="C18" i="164"/>
  <c r="AB17" i="164" a="1"/>
  <c r="AB17" i="164"/>
  <c r="AA17" i="164"/>
  <c r="Z17" i="164"/>
  <c r="Y17" i="164"/>
  <c r="X17" i="164"/>
  <c r="W17" i="164"/>
  <c r="V17" i="164"/>
  <c r="U17" i="164"/>
  <c r="T17" i="164"/>
  <c r="S17" i="164"/>
  <c r="R17" i="164"/>
  <c r="Q17" i="164"/>
  <c r="P17" i="164"/>
  <c r="O17" i="164"/>
  <c r="N17" i="164"/>
  <c r="M17" i="164"/>
  <c r="L17" i="164"/>
  <c r="K17" i="164"/>
  <c r="J17" i="164"/>
  <c r="I17" i="164"/>
  <c r="H17" i="164"/>
  <c r="G17" i="164"/>
  <c r="F17" i="164"/>
  <c r="E17" i="164"/>
  <c r="D17" i="164"/>
  <c r="C17" i="164"/>
  <c r="AB16" i="164" a="1"/>
  <c r="AB16" i="164"/>
  <c r="AA16" i="164"/>
  <c r="Z16" i="164"/>
  <c r="Y16" i="164"/>
  <c r="X16" i="164"/>
  <c r="W16" i="164"/>
  <c r="V16" i="164"/>
  <c r="U16" i="164"/>
  <c r="T16" i="164"/>
  <c r="S16" i="164"/>
  <c r="R16" i="164"/>
  <c r="Q16" i="164"/>
  <c r="P16" i="164"/>
  <c r="O16" i="164"/>
  <c r="N16" i="164"/>
  <c r="M16" i="164"/>
  <c r="L16" i="164"/>
  <c r="K16" i="164"/>
  <c r="J16" i="164"/>
  <c r="I16" i="164"/>
  <c r="H16" i="164"/>
  <c r="G16" i="164"/>
  <c r="F16" i="164"/>
  <c r="E16" i="164"/>
  <c r="D16" i="164"/>
  <c r="C16" i="164"/>
  <c r="AB15" i="164" a="1"/>
  <c r="AB15" i="164"/>
  <c r="AA15" i="164"/>
  <c r="Z15" i="164"/>
  <c r="Y15" i="164"/>
  <c r="X15" i="164"/>
  <c r="W15" i="164"/>
  <c r="V15" i="164"/>
  <c r="U15" i="164"/>
  <c r="T15" i="164"/>
  <c r="S15" i="164"/>
  <c r="R15" i="164"/>
  <c r="Q15" i="164"/>
  <c r="P15" i="164"/>
  <c r="O15" i="164"/>
  <c r="N15" i="164"/>
  <c r="M15" i="164"/>
  <c r="L15" i="164"/>
  <c r="K15" i="164"/>
  <c r="J15" i="164"/>
  <c r="I15" i="164"/>
  <c r="H15" i="164"/>
  <c r="G15" i="164"/>
  <c r="F15" i="164"/>
  <c r="E15" i="164"/>
  <c r="D15" i="164"/>
  <c r="C15" i="164"/>
  <c r="AB14" i="164" a="1"/>
  <c r="AB14" i="164"/>
  <c r="AA14" i="164"/>
  <c r="Z14" i="164"/>
  <c r="Y14" i="164"/>
  <c r="X14" i="164"/>
  <c r="W14" i="164"/>
  <c r="V14" i="164"/>
  <c r="U14" i="164"/>
  <c r="T14" i="164"/>
  <c r="S14" i="164"/>
  <c r="R14" i="164"/>
  <c r="Q14" i="164"/>
  <c r="P14" i="164"/>
  <c r="O14" i="164"/>
  <c r="N14" i="164"/>
  <c r="M14" i="164"/>
  <c r="L14" i="164"/>
  <c r="K14" i="164"/>
  <c r="J14" i="164"/>
  <c r="I14" i="164"/>
  <c r="H14" i="164"/>
  <c r="G14" i="164"/>
  <c r="F14" i="164"/>
  <c r="E14" i="164"/>
  <c r="D14" i="164"/>
  <c r="C14" i="164"/>
  <c r="AB13" i="164" a="1"/>
  <c r="AB13" i="164"/>
  <c r="AA13" i="164"/>
  <c r="Z13" i="164"/>
  <c r="Y13" i="164"/>
  <c r="X13" i="164"/>
  <c r="W13" i="164"/>
  <c r="V13" i="164"/>
  <c r="U13" i="164"/>
  <c r="T13" i="164"/>
  <c r="S13" i="164"/>
  <c r="R13" i="164"/>
  <c r="Q13" i="164"/>
  <c r="P13" i="164"/>
  <c r="O13" i="164"/>
  <c r="N13" i="164"/>
  <c r="M13" i="164"/>
  <c r="L13" i="164"/>
  <c r="K13" i="164"/>
  <c r="J13" i="164"/>
  <c r="I13" i="164"/>
  <c r="H13" i="164"/>
  <c r="G13" i="164"/>
  <c r="F13" i="164"/>
  <c r="E13" i="164"/>
  <c r="D13" i="164"/>
  <c r="C13" i="164"/>
  <c r="AB12" i="164" a="1"/>
  <c r="AB12" i="164"/>
  <c r="AA12" i="164"/>
  <c r="Z12" i="164"/>
  <c r="Y12" i="164"/>
  <c r="X12" i="164"/>
  <c r="W12" i="164"/>
  <c r="V12" i="164"/>
  <c r="U12" i="164"/>
  <c r="T12" i="164"/>
  <c r="S12" i="164"/>
  <c r="R12" i="164"/>
  <c r="Q12" i="164"/>
  <c r="P12" i="164"/>
  <c r="O12" i="164"/>
  <c r="N12" i="164"/>
  <c r="M12" i="164"/>
  <c r="L12" i="164"/>
  <c r="K12" i="164"/>
  <c r="J12" i="164"/>
  <c r="I12" i="164"/>
  <c r="H12" i="164"/>
  <c r="G12" i="164"/>
  <c r="F12" i="164"/>
  <c r="E12" i="164"/>
  <c r="D12" i="164"/>
  <c r="C12" i="164"/>
  <c r="AB11" i="164" a="1"/>
  <c r="AB11" i="164"/>
  <c r="AA11" i="164"/>
  <c r="Z11" i="164"/>
  <c r="Y11" i="164"/>
  <c r="X11" i="164"/>
  <c r="W11" i="164"/>
  <c r="V11" i="164"/>
  <c r="U11" i="164"/>
  <c r="T11" i="164"/>
  <c r="S11" i="164"/>
  <c r="R11" i="164"/>
  <c r="Q11" i="164"/>
  <c r="P11" i="164"/>
  <c r="O11" i="164"/>
  <c r="N11" i="164"/>
  <c r="M11" i="164"/>
  <c r="L11" i="164"/>
  <c r="K11" i="164"/>
  <c r="J11" i="164"/>
  <c r="I11" i="164"/>
  <c r="H11" i="164"/>
  <c r="G11" i="164"/>
  <c r="F11" i="164"/>
  <c r="E11" i="164"/>
  <c r="D11" i="164"/>
  <c r="C11" i="164"/>
  <c r="AB10" i="164" a="1"/>
  <c r="AB10" i="164"/>
  <c r="AA10" i="164"/>
  <c r="Z10" i="164"/>
  <c r="Y10" i="164"/>
  <c r="X10" i="164"/>
  <c r="W10" i="164"/>
  <c r="V10" i="164"/>
  <c r="U10" i="164"/>
  <c r="T10" i="164"/>
  <c r="S10" i="164"/>
  <c r="R10" i="164"/>
  <c r="Q10" i="164"/>
  <c r="P10" i="164"/>
  <c r="O10" i="164"/>
  <c r="N10" i="164"/>
  <c r="M10" i="164"/>
  <c r="L10" i="164"/>
  <c r="K10" i="164"/>
  <c r="J10" i="164"/>
  <c r="I10" i="164"/>
  <c r="H10" i="164"/>
  <c r="G10" i="164"/>
  <c r="F10" i="164"/>
  <c r="E10" i="164"/>
  <c r="D10" i="164"/>
  <c r="C10" i="164"/>
  <c r="AB9" i="164" a="1"/>
  <c r="AB9" i="164"/>
  <c r="AA9" i="164"/>
  <c r="Z9" i="164"/>
  <c r="Y9" i="164"/>
  <c r="X9" i="164"/>
  <c r="W9" i="164"/>
  <c r="V9" i="164"/>
  <c r="U9" i="164"/>
  <c r="T9" i="164"/>
  <c r="S9" i="164"/>
  <c r="R9" i="164"/>
  <c r="Q9" i="164"/>
  <c r="P9" i="164"/>
  <c r="O9" i="164"/>
  <c r="N9" i="164"/>
  <c r="M9" i="164"/>
  <c r="L9" i="164"/>
  <c r="K9" i="164"/>
  <c r="J9" i="164"/>
  <c r="I9" i="164"/>
  <c r="H9" i="164"/>
  <c r="G9" i="164"/>
  <c r="F9" i="164"/>
  <c r="E9" i="164"/>
  <c r="D9" i="164"/>
  <c r="C9" i="164"/>
  <c r="AB8" i="164" a="1"/>
  <c r="AB8" i="164"/>
  <c r="AA8" i="164"/>
  <c r="Z8" i="164"/>
  <c r="Y8" i="164"/>
  <c r="X8" i="164"/>
  <c r="W8" i="164"/>
  <c r="V8" i="164"/>
  <c r="U8" i="164"/>
  <c r="T8" i="164"/>
  <c r="S8" i="164"/>
  <c r="R8" i="164"/>
  <c r="Q8" i="164"/>
  <c r="P8" i="164"/>
  <c r="O8" i="164"/>
  <c r="N8" i="164"/>
  <c r="M8" i="164"/>
  <c r="L8" i="164"/>
  <c r="K8" i="164"/>
  <c r="J8" i="164"/>
  <c r="I8" i="164"/>
  <c r="H8" i="164"/>
  <c r="G8" i="164"/>
  <c r="F8" i="164"/>
  <c r="E8" i="164"/>
  <c r="D8" i="164"/>
  <c r="C8" i="164"/>
  <c r="AB7" i="164" a="1"/>
  <c r="AB7" i="164"/>
  <c r="AA7" i="164"/>
  <c r="Z7" i="164"/>
  <c r="Y7" i="164"/>
  <c r="X7" i="164"/>
  <c r="W7" i="164"/>
  <c r="V7" i="164"/>
  <c r="U7" i="164"/>
  <c r="T7" i="164"/>
  <c r="S7" i="164"/>
  <c r="R7" i="164"/>
  <c r="Q7" i="164"/>
  <c r="P7" i="164"/>
  <c r="O7" i="164"/>
  <c r="N7" i="164"/>
  <c r="M7" i="164"/>
  <c r="L7" i="164"/>
  <c r="K7" i="164"/>
  <c r="J7" i="164"/>
  <c r="I7" i="164"/>
  <c r="H7" i="164"/>
  <c r="G7" i="164"/>
  <c r="F7" i="164"/>
  <c r="E7" i="164"/>
  <c r="D7" i="164"/>
  <c r="C7" i="164"/>
  <c r="AB6" i="164" a="1"/>
  <c r="AB6" i="164"/>
  <c r="AA6" i="164"/>
  <c r="Z6" i="164"/>
  <c r="Y6" i="164"/>
  <c r="X6" i="164"/>
  <c r="W6" i="164"/>
  <c r="V6" i="164"/>
  <c r="U6" i="164"/>
  <c r="T6" i="164"/>
  <c r="S6" i="164"/>
  <c r="R6" i="164"/>
  <c r="Q6" i="164"/>
  <c r="P6" i="164"/>
  <c r="O6" i="164"/>
  <c r="N6" i="164"/>
  <c r="M6" i="164"/>
  <c r="L6" i="164"/>
  <c r="K6" i="164"/>
  <c r="J6" i="164"/>
  <c r="I6" i="164"/>
  <c r="H6" i="164"/>
  <c r="G6" i="164"/>
  <c r="F6" i="164"/>
  <c r="E6" i="164"/>
  <c r="D6" i="164"/>
  <c r="C6" i="164"/>
  <c r="AB5" i="164" a="1"/>
  <c r="AB5" i="164"/>
  <c r="AA5" i="164"/>
  <c r="Z5" i="164"/>
  <c r="Y5" i="164"/>
  <c r="X5" i="164"/>
  <c r="W5" i="164"/>
  <c r="V5" i="164"/>
  <c r="U5" i="164"/>
  <c r="T5" i="164"/>
  <c r="S5" i="164"/>
  <c r="R5" i="164"/>
  <c r="Q5" i="164"/>
  <c r="P5" i="164"/>
  <c r="O5" i="164"/>
  <c r="N5" i="164"/>
  <c r="M5" i="164"/>
  <c r="L5" i="164"/>
  <c r="K5" i="164"/>
  <c r="J5" i="164"/>
  <c r="I5" i="164"/>
  <c r="H5" i="164"/>
  <c r="G5" i="164"/>
  <c r="F5" i="164"/>
  <c r="E5" i="164"/>
  <c r="D5" i="164"/>
  <c r="C5" i="164"/>
  <c r="AB4" i="164" a="1"/>
  <c r="AB4" i="164"/>
  <c r="AA4" i="164"/>
  <c r="Z4" i="164"/>
  <c r="Y4" i="164"/>
  <c r="X4" i="164"/>
  <c r="W4" i="164"/>
  <c r="V4" i="164"/>
  <c r="U4" i="164"/>
  <c r="T4" i="164"/>
  <c r="S4" i="164"/>
  <c r="R4" i="164"/>
  <c r="Q4" i="164"/>
  <c r="P4" i="164"/>
  <c r="O4" i="164"/>
  <c r="N4" i="164"/>
  <c r="M4" i="164"/>
  <c r="L4" i="164"/>
  <c r="K4" i="164"/>
  <c r="J4" i="164"/>
  <c r="I4" i="164"/>
  <c r="H4" i="164"/>
  <c r="G4" i="164"/>
  <c r="F4" i="164"/>
  <c r="E4" i="164"/>
  <c r="D4" i="164"/>
  <c r="C4" i="164"/>
  <c r="AB3" i="164" a="1"/>
  <c r="AB3" i="164"/>
  <c r="AA3" i="164"/>
  <c r="Z3" i="164"/>
  <c r="Y3" i="164"/>
  <c r="X3" i="164"/>
  <c r="W3" i="164"/>
  <c r="V3" i="164"/>
  <c r="U3" i="164"/>
  <c r="T3" i="164"/>
  <c r="S3" i="164"/>
  <c r="R3" i="164"/>
  <c r="Q3" i="164"/>
  <c r="P3" i="164"/>
  <c r="O3" i="164"/>
  <c r="N3" i="164"/>
  <c r="M3" i="164"/>
  <c r="L3" i="164"/>
  <c r="K3" i="164"/>
  <c r="J3" i="164"/>
  <c r="I3" i="164"/>
  <c r="H3" i="164"/>
  <c r="G3" i="164"/>
  <c r="F3" i="164"/>
  <c r="E3" i="164"/>
  <c r="D3" i="164"/>
  <c r="C3" i="164"/>
  <c r="AB2" i="164" a="1"/>
  <c r="AB2" i="164"/>
  <c r="AA2" i="164"/>
  <c r="Z2" i="164"/>
  <c r="Y2" i="164"/>
  <c r="X2" i="164"/>
  <c r="W2" i="164"/>
  <c r="V2" i="164"/>
  <c r="U2" i="164"/>
  <c r="T2" i="164"/>
  <c r="S2" i="164"/>
  <c r="R2" i="164"/>
  <c r="Q2" i="164"/>
  <c r="P2" i="164"/>
  <c r="O2" i="164"/>
  <c r="N2" i="164"/>
  <c r="M2" i="164"/>
  <c r="L2" i="164"/>
  <c r="K2" i="164"/>
  <c r="J2" i="164"/>
  <c r="I2" i="164"/>
  <c r="H2" i="164"/>
  <c r="G2" i="164"/>
  <c r="F2" i="164"/>
  <c r="E2" i="164"/>
  <c r="D2" i="164"/>
  <c r="C2" i="164"/>
  <c r="AA105" i="163"/>
  <c r="AA104" i="163"/>
  <c r="AA103" i="163"/>
  <c r="AA101" i="163"/>
  <c r="Z101" i="163"/>
  <c r="Y101" i="163"/>
  <c r="X101" i="163"/>
  <c r="W101" i="163"/>
  <c r="V101" i="163"/>
  <c r="U101" i="163"/>
  <c r="T101" i="163"/>
  <c r="S101" i="163"/>
  <c r="R101" i="163"/>
  <c r="Q101" i="163"/>
  <c r="P101" i="163"/>
  <c r="O101" i="163"/>
  <c r="N101" i="163"/>
  <c r="M101" i="163"/>
  <c r="L101" i="163"/>
  <c r="K101" i="163"/>
  <c r="J101" i="163"/>
  <c r="I101" i="163"/>
  <c r="H101" i="163"/>
  <c r="G101" i="163"/>
  <c r="F101" i="163"/>
  <c r="E101" i="163"/>
  <c r="D101" i="163"/>
  <c r="C101" i="163"/>
  <c r="AB45" i="163" a="1"/>
  <c r="AB45" i="163"/>
  <c r="AB44" i="163" a="1"/>
  <c r="AB44" i="163"/>
  <c r="AB43" i="163" a="1"/>
  <c r="AB43" i="163"/>
  <c r="AB42" i="163" a="1"/>
  <c r="AB42" i="163"/>
  <c r="AB41" i="163" a="1"/>
  <c r="AB41" i="163"/>
  <c r="AB40" i="163" a="1"/>
  <c r="AB40" i="163"/>
  <c r="AB39" i="163" a="1"/>
  <c r="AB39" i="163"/>
  <c r="AB38" i="163" a="1"/>
  <c r="AB38" i="163"/>
  <c r="AB37" i="163" a="1"/>
  <c r="AB37" i="163"/>
  <c r="Z37" i="163"/>
  <c r="Y37" i="163"/>
  <c r="X37" i="163"/>
  <c r="W37" i="163"/>
  <c r="V37" i="163"/>
  <c r="U37" i="163"/>
  <c r="T37" i="163"/>
  <c r="S37" i="163"/>
  <c r="R37" i="163"/>
  <c r="Q37" i="163"/>
  <c r="P37" i="163"/>
  <c r="O37" i="163"/>
  <c r="N37" i="163"/>
  <c r="M37" i="163"/>
  <c r="L37" i="163"/>
  <c r="K37" i="163"/>
  <c r="J37" i="163"/>
  <c r="I37" i="163"/>
  <c r="H37" i="163"/>
  <c r="G37" i="163"/>
  <c r="F37" i="163"/>
  <c r="E37" i="163"/>
  <c r="D37" i="163"/>
  <c r="C37" i="163"/>
  <c r="AB36" i="163" a="1"/>
  <c r="AB36" i="163"/>
  <c r="Z36" i="163"/>
  <c r="Y36" i="163"/>
  <c r="X36" i="163"/>
  <c r="W36" i="163"/>
  <c r="V36" i="163"/>
  <c r="U36" i="163"/>
  <c r="T36" i="163"/>
  <c r="S36" i="163"/>
  <c r="R36" i="163"/>
  <c r="Q36" i="163"/>
  <c r="P36" i="163"/>
  <c r="O36" i="163"/>
  <c r="N36" i="163"/>
  <c r="M36" i="163"/>
  <c r="L36" i="163"/>
  <c r="K36" i="163"/>
  <c r="J36" i="163"/>
  <c r="I36" i="163"/>
  <c r="H36" i="163"/>
  <c r="G36" i="163"/>
  <c r="F36" i="163"/>
  <c r="E36" i="163"/>
  <c r="D36" i="163"/>
  <c r="C36" i="163"/>
  <c r="AB35" i="163" a="1"/>
  <c r="AB35" i="163"/>
  <c r="Z35" i="163"/>
  <c r="Y35" i="163"/>
  <c r="X35" i="163"/>
  <c r="W35" i="163"/>
  <c r="V35" i="163"/>
  <c r="U35" i="163"/>
  <c r="T35" i="163"/>
  <c r="S35" i="163"/>
  <c r="R35" i="163"/>
  <c r="Q35" i="163"/>
  <c r="P35" i="163"/>
  <c r="O35" i="163"/>
  <c r="N35" i="163"/>
  <c r="M35" i="163"/>
  <c r="L35" i="163"/>
  <c r="K35" i="163"/>
  <c r="J35" i="163"/>
  <c r="I35" i="163"/>
  <c r="H35" i="163"/>
  <c r="G35" i="163"/>
  <c r="F35" i="163"/>
  <c r="E35" i="163"/>
  <c r="D35" i="163"/>
  <c r="C35" i="163"/>
  <c r="AB34" i="163" a="1"/>
  <c r="AB34" i="163"/>
  <c r="Z34" i="163"/>
  <c r="Y34" i="163"/>
  <c r="X34" i="163"/>
  <c r="W34" i="163"/>
  <c r="V34" i="163"/>
  <c r="U34" i="163"/>
  <c r="T34" i="163"/>
  <c r="S34" i="163"/>
  <c r="R34" i="163"/>
  <c r="Q34" i="163"/>
  <c r="P34" i="163"/>
  <c r="O34" i="163"/>
  <c r="N34" i="163"/>
  <c r="M34" i="163"/>
  <c r="L34" i="163"/>
  <c r="K34" i="163"/>
  <c r="J34" i="163"/>
  <c r="I34" i="163"/>
  <c r="H34" i="163"/>
  <c r="G34" i="163"/>
  <c r="F34" i="163"/>
  <c r="E34" i="163"/>
  <c r="D34" i="163"/>
  <c r="C34" i="163"/>
  <c r="AB33" i="163" a="1"/>
  <c r="AB33" i="163"/>
  <c r="Z33" i="163"/>
  <c r="Y33" i="163"/>
  <c r="X33" i="163"/>
  <c r="W33" i="163"/>
  <c r="V33" i="163"/>
  <c r="U33" i="163"/>
  <c r="T33" i="163"/>
  <c r="S33" i="163"/>
  <c r="R33" i="163"/>
  <c r="Q33" i="163"/>
  <c r="P33" i="163"/>
  <c r="O33" i="163"/>
  <c r="N33" i="163"/>
  <c r="M33" i="163"/>
  <c r="L33" i="163"/>
  <c r="K33" i="163"/>
  <c r="J33" i="163"/>
  <c r="I33" i="163"/>
  <c r="H33" i="163"/>
  <c r="G33" i="163"/>
  <c r="F33" i="163"/>
  <c r="E33" i="163"/>
  <c r="D33" i="163"/>
  <c r="C33" i="163"/>
  <c r="AB32" i="163" a="1"/>
  <c r="AB32" i="163"/>
  <c r="Z32" i="163"/>
  <c r="Y32" i="163"/>
  <c r="X32" i="163"/>
  <c r="W32" i="163"/>
  <c r="V32" i="163"/>
  <c r="U32" i="163"/>
  <c r="T32" i="163"/>
  <c r="S32" i="163"/>
  <c r="R32" i="163"/>
  <c r="Q32" i="163"/>
  <c r="P32" i="163"/>
  <c r="O32" i="163"/>
  <c r="N32" i="163"/>
  <c r="M32" i="163"/>
  <c r="L32" i="163"/>
  <c r="K32" i="163"/>
  <c r="J32" i="163"/>
  <c r="I32" i="163"/>
  <c r="H32" i="163"/>
  <c r="G32" i="163"/>
  <c r="F32" i="163"/>
  <c r="E32" i="163"/>
  <c r="D32" i="163"/>
  <c r="C32" i="163"/>
  <c r="AB31" i="163" a="1"/>
  <c r="AB31" i="163"/>
  <c r="Z31" i="163"/>
  <c r="Y31" i="163"/>
  <c r="X31" i="163"/>
  <c r="W31" i="163"/>
  <c r="V31" i="163"/>
  <c r="U31" i="163"/>
  <c r="T31" i="163"/>
  <c r="S31" i="163"/>
  <c r="R31" i="163"/>
  <c r="Q31" i="163"/>
  <c r="P31" i="163"/>
  <c r="O31" i="163"/>
  <c r="N31" i="163"/>
  <c r="M31" i="163"/>
  <c r="L31" i="163"/>
  <c r="K31" i="163"/>
  <c r="J31" i="163"/>
  <c r="I31" i="163"/>
  <c r="H31" i="163"/>
  <c r="G31" i="163"/>
  <c r="F31" i="163"/>
  <c r="E31" i="163"/>
  <c r="D31" i="163"/>
  <c r="C31" i="163"/>
  <c r="AB30" i="163" a="1"/>
  <c r="AB30" i="163"/>
  <c r="Z30" i="163"/>
  <c r="Y30" i="163"/>
  <c r="X30" i="163"/>
  <c r="W30" i="163"/>
  <c r="V30" i="163"/>
  <c r="U30" i="163"/>
  <c r="T30" i="163"/>
  <c r="S30" i="163"/>
  <c r="R30" i="163"/>
  <c r="Q30" i="163"/>
  <c r="P30" i="163"/>
  <c r="O30" i="163"/>
  <c r="N30" i="163"/>
  <c r="M30" i="163"/>
  <c r="L30" i="163"/>
  <c r="K30" i="163"/>
  <c r="J30" i="163"/>
  <c r="I30" i="163"/>
  <c r="H30" i="163"/>
  <c r="G30" i="163"/>
  <c r="F30" i="163"/>
  <c r="E30" i="163"/>
  <c r="D30" i="163"/>
  <c r="C30" i="163"/>
  <c r="AB29" i="163" a="1"/>
  <c r="AB29" i="163"/>
  <c r="AA29" i="163"/>
  <c r="Z29" i="163"/>
  <c r="Y29" i="163"/>
  <c r="X29" i="163"/>
  <c r="W29" i="163"/>
  <c r="V29" i="163"/>
  <c r="U29" i="163"/>
  <c r="T29" i="163"/>
  <c r="S29" i="163"/>
  <c r="R29" i="163"/>
  <c r="Q29" i="163"/>
  <c r="P29" i="163"/>
  <c r="O29" i="163"/>
  <c r="N29" i="163"/>
  <c r="M29" i="163"/>
  <c r="L29" i="163"/>
  <c r="K29" i="163"/>
  <c r="J29" i="163"/>
  <c r="I29" i="163"/>
  <c r="H29" i="163"/>
  <c r="G29" i="163"/>
  <c r="F29" i="163"/>
  <c r="E29" i="163"/>
  <c r="D29" i="163"/>
  <c r="C29" i="163"/>
  <c r="AB28" i="163" a="1"/>
  <c r="AB28" i="163"/>
  <c r="AA28" i="163"/>
  <c r="Z28" i="163"/>
  <c r="Y28" i="163"/>
  <c r="X28" i="163"/>
  <c r="W28" i="163"/>
  <c r="V28" i="163"/>
  <c r="U28" i="163"/>
  <c r="T28" i="163"/>
  <c r="S28" i="163"/>
  <c r="R28" i="163"/>
  <c r="Q28" i="163"/>
  <c r="P28" i="163"/>
  <c r="O28" i="163"/>
  <c r="N28" i="163"/>
  <c r="M28" i="163"/>
  <c r="L28" i="163"/>
  <c r="K28" i="163"/>
  <c r="J28" i="163"/>
  <c r="I28" i="163"/>
  <c r="H28" i="163"/>
  <c r="G28" i="163"/>
  <c r="F28" i="163"/>
  <c r="E28" i="163"/>
  <c r="D28" i="163"/>
  <c r="C28" i="163"/>
  <c r="AB27" i="163" a="1"/>
  <c r="AB27" i="163"/>
  <c r="AA27" i="163"/>
  <c r="Z27" i="163"/>
  <c r="Y27" i="163"/>
  <c r="X27" i="163"/>
  <c r="W27" i="163"/>
  <c r="V27" i="163"/>
  <c r="U27" i="163"/>
  <c r="T27" i="163"/>
  <c r="S27" i="163"/>
  <c r="R27" i="163"/>
  <c r="Q27" i="163"/>
  <c r="P27" i="163"/>
  <c r="O27" i="163"/>
  <c r="N27" i="163"/>
  <c r="M27" i="163"/>
  <c r="L27" i="163"/>
  <c r="K27" i="163"/>
  <c r="J27" i="163"/>
  <c r="I27" i="163"/>
  <c r="H27" i="163"/>
  <c r="G27" i="163"/>
  <c r="F27" i="163"/>
  <c r="E27" i="163"/>
  <c r="D27" i="163"/>
  <c r="C27" i="163"/>
  <c r="AB26" i="163" a="1"/>
  <c r="AB26" i="163"/>
  <c r="AA26" i="163"/>
  <c r="Z26" i="163"/>
  <c r="Y26" i="163"/>
  <c r="X26" i="163"/>
  <c r="W26" i="163"/>
  <c r="V26" i="163"/>
  <c r="U26" i="163"/>
  <c r="T26" i="163"/>
  <c r="S26" i="163"/>
  <c r="R26" i="163"/>
  <c r="Q26" i="163"/>
  <c r="P26" i="163"/>
  <c r="O26" i="163"/>
  <c r="N26" i="163"/>
  <c r="M26" i="163"/>
  <c r="L26" i="163"/>
  <c r="K26" i="163"/>
  <c r="J26" i="163"/>
  <c r="I26" i="163"/>
  <c r="H26" i="163"/>
  <c r="G26" i="163"/>
  <c r="F26" i="163"/>
  <c r="E26" i="163"/>
  <c r="D26" i="163"/>
  <c r="C26" i="163"/>
  <c r="AB25" i="163" a="1"/>
  <c r="AB25" i="163"/>
  <c r="Z25" i="163"/>
  <c r="Y25" i="163"/>
  <c r="X25" i="163"/>
  <c r="W25" i="163"/>
  <c r="V25" i="163"/>
  <c r="U25" i="163"/>
  <c r="T25" i="163"/>
  <c r="S25" i="163"/>
  <c r="R25" i="163"/>
  <c r="Q25" i="163"/>
  <c r="P25" i="163"/>
  <c r="O25" i="163"/>
  <c r="N25" i="163"/>
  <c r="M25" i="163"/>
  <c r="L25" i="163"/>
  <c r="K25" i="163"/>
  <c r="J25" i="163"/>
  <c r="I25" i="163"/>
  <c r="H25" i="163"/>
  <c r="G25" i="163"/>
  <c r="F25" i="163"/>
  <c r="E25" i="163"/>
  <c r="D25" i="163"/>
  <c r="C25" i="163"/>
  <c r="AB24" i="163" a="1"/>
  <c r="AB24" i="163"/>
  <c r="AA24" i="163"/>
  <c r="Z24" i="163"/>
  <c r="Y24" i="163"/>
  <c r="X24" i="163"/>
  <c r="W24" i="163"/>
  <c r="V24" i="163"/>
  <c r="U24" i="163"/>
  <c r="T24" i="163"/>
  <c r="S24" i="163"/>
  <c r="R24" i="163"/>
  <c r="Q24" i="163"/>
  <c r="P24" i="163"/>
  <c r="O24" i="163"/>
  <c r="N24" i="163"/>
  <c r="M24" i="163"/>
  <c r="L24" i="163"/>
  <c r="K24" i="163"/>
  <c r="J24" i="163"/>
  <c r="I24" i="163"/>
  <c r="H24" i="163"/>
  <c r="G24" i="163"/>
  <c r="F24" i="163"/>
  <c r="E24" i="163"/>
  <c r="D24" i="163"/>
  <c r="C24" i="163"/>
  <c r="AB23" i="163" a="1"/>
  <c r="AB23" i="163"/>
  <c r="AA23" i="163"/>
  <c r="Z23" i="163"/>
  <c r="Y23" i="163"/>
  <c r="X23" i="163"/>
  <c r="W23" i="163"/>
  <c r="V23" i="163"/>
  <c r="U23" i="163"/>
  <c r="T23" i="163"/>
  <c r="S23" i="163"/>
  <c r="R23" i="163"/>
  <c r="Q23" i="163"/>
  <c r="P23" i="163"/>
  <c r="O23" i="163"/>
  <c r="N23" i="163"/>
  <c r="M23" i="163"/>
  <c r="L23" i="163"/>
  <c r="K23" i="163"/>
  <c r="J23" i="163"/>
  <c r="I23" i="163"/>
  <c r="H23" i="163"/>
  <c r="G23" i="163"/>
  <c r="F23" i="163"/>
  <c r="E23" i="163"/>
  <c r="D23" i="163"/>
  <c r="C23" i="163"/>
  <c r="AB22" i="163" a="1"/>
  <c r="AB22" i="163"/>
  <c r="AA22" i="163"/>
  <c r="Z22" i="163"/>
  <c r="Y22" i="163"/>
  <c r="X22" i="163"/>
  <c r="W22" i="163"/>
  <c r="V22" i="163"/>
  <c r="U22" i="163"/>
  <c r="T22" i="163"/>
  <c r="S22" i="163"/>
  <c r="R22" i="163"/>
  <c r="Q22" i="163"/>
  <c r="P22" i="163"/>
  <c r="O22" i="163"/>
  <c r="N22" i="163"/>
  <c r="M22" i="163"/>
  <c r="L22" i="163"/>
  <c r="K22" i="163"/>
  <c r="J22" i="163"/>
  <c r="I22" i="163"/>
  <c r="H22" i="163"/>
  <c r="G22" i="163"/>
  <c r="F22" i="163"/>
  <c r="E22" i="163"/>
  <c r="D22" i="163"/>
  <c r="C22" i="163"/>
  <c r="AB21" i="163" a="1"/>
  <c r="AB21" i="163"/>
  <c r="AA21" i="163"/>
  <c r="Z21" i="163"/>
  <c r="Y21" i="163"/>
  <c r="X21" i="163"/>
  <c r="W21" i="163"/>
  <c r="V21" i="163"/>
  <c r="U21" i="163"/>
  <c r="T21" i="163"/>
  <c r="S21" i="163"/>
  <c r="R21" i="163"/>
  <c r="Q21" i="163"/>
  <c r="P21" i="163"/>
  <c r="O21" i="163"/>
  <c r="N21" i="163"/>
  <c r="M21" i="163"/>
  <c r="L21" i="163"/>
  <c r="K21" i="163"/>
  <c r="J21" i="163"/>
  <c r="I21" i="163"/>
  <c r="H21" i="163"/>
  <c r="G21" i="163"/>
  <c r="F21" i="163"/>
  <c r="E21" i="163"/>
  <c r="D21" i="163"/>
  <c r="C21" i="163"/>
  <c r="AB20" i="163" a="1"/>
  <c r="AB20" i="163"/>
  <c r="AA20" i="163"/>
  <c r="Z20" i="163"/>
  <c r="Y20" i="163"/>
  <c r="X20" i="163"/>
  <c r="W20" i="163"/>
  <c r="V20" i="163"/>
  <c r="U20" i="163"/>
  <c r="T20" i="163"/>
  <c r="S20" i="163"/>
  <c r="R20" i="163"/>
  <c r="Q20" i="163"/>
  <c r="P20" i="163"/>
  <c r="O20" i="163"/>
  <c r="N20" i="163"/>
  <c r="M20" i="163"/>
  <c r="L20" i="163"/>
  <c r="K20" i="163"/>
  <c r="J20" i="163"/>
  <c r="I20" i="163"/>
  <c r="H20" i="163"/>
  <c r="G20" i="163"/>
  <c r="F20" i="163"/>
  <c r="E20" i="163"/>
  <c r="D20" i="163"/>
  <c r="C20" i="163"/>
  <c r="AB19" i="163" a="1"/>
  <c r="AB19" i="163"/>
  <c r="AA19" i="163"/>
  <c r="Z19" i="163"/>
  <c r="Y19" i="163"/>
  <c r="X19" i="163"/>
  <c r="W19" i="163"/>
  <c r="V19" i="163"/>
  <c r="U19" i="163"/>
  <c r="T19" i="163"/>
  <c r="S19" i="163"/>
  <c r="R19" i="163"/>
  <c r="Q19" i="163"/>
  <c r="P19" i="163"/>
  <c r="O19" i="163"/>
  <c r="N19" i="163"/>
  <c r="M19" i="163"/>
  <c r="L19" i="163"/>
  <c r="K19" i="163"/>
  <c r="J19" i="163"/>
  <c r="I19" i="163"/>
  <c r="H19" i="163"/>
  <c r="G19" i="163"/>
  <c r="F19" i="163"/>
  <c r="E19" i="163"/>
  <c r="D19" i="163"/>
  <c r="C19" i="163"/>
  <c r="AB18" i="163" a="1"/>
  <c r="AB18" i="163"/>
  <c r="AA18" i="163"/>
  <c r="Z18" i="163"/>
  <c r="Y18" i="163"/>
  <c r="X18" i="163"/>
  <c r="W18" i="163"/>
  <c r="V18" i="163"/>
  <c r="U18" i="163"/>
  <c r="T18" i="163"/>
  <c r="S18" i="163"/>
  <c r="R18" i="163"/>
  <c r="Q18" i="163"/>
  <c r="P18" i="163"/>
  <c r="O18" i="163"/>
  <c r="N18" i="163"/>
  <c r="M18" i="163"/>
  <c r="L18" i="163"/>
  <c r="K18" i="163"/>
  <c r="J18" i="163"/>
  <c r="I18" i="163"/>
  <c r="H18" i="163"/>
  <c r="G18" i="163"/>
  <c r="F18" i="163"/>
  <c r="E18" i="163"/>
  <c r="D18" i="163"/>
  <c r="C18" i="163"/>
  <c r="AB17" i="163" a="1"/>
  <c r="AB17" i="163"/>
  <c r="AA17" i="163"/>
  <c r="Z17" i="163"/>
  <c r="Y17" i="163"/>
  <c r="X17" i="163"/>
  <c r="W17" i="163"/>
  <c r="V17" i="163"/>
  <c r="U17" i="163"/>
  <c r="T17" i="163"/>
  <c r="S17" i="163"/>
  <c r="R17" i="163"/>
  <c r="Q17" i="163"/>
  <c r="P17" i="163"/>
  <c r="O17" i="163"/>
  <c r="N17" i="163"/>
  <c r="M17" i="163"/>
  <c r="L17" i="163"/>
  <c r="K17" i="163"/>
  <c r="J17" i="163"/>
  <c r="I17" i="163"/>
  <c r="H17" i="163"/>
  <c r="G17" i="163"/>
  <c r="F17" i="163"/>
  <c r="E17" i="163"/>
  <c r="D17" i="163"/>
  <c r="C17" i="163"/>
  <c r="AB16" i="163" a="1"/>
  <c r="AB16" i="163"/>
  <c r="AA16" i="163"/>
  <c r="Z16" i="163"/>
  <c r="Y16" i="163"/>
  <c r="X16" i="163"/>
  <c r="W16" i="163"/>
  <c r="V16" i="163"/>
  <c r="U16" i="163"/>
  <c r="T16" i="163"/>
  <c r="S16" i="163"/>
  <c r="R16" i="163"/>
  <c r="Q16" i="163"/>
  <c r="P16" i="163"/>
  <c r="O16" i="163"/>
  <c r="N16" i="163"/>
  <c r="M16" i="163"/>
  <c r="L16" i="163"/>
  <c r="K16" i="163"/>
  <c r="J16" i="163"/>
  <c r="I16" i="163"/>
  <c r="H16" i="163"/>
  <c r="G16" i="163"/>
  <c r="F16" i="163"/>
  <c r="E16" i="163"/>
  <c r="D16" i="163"/>
  <c r="C16" i="163"/>
  <c r="AB15" i="163" a="1"/>
  <c r="AB15" i="163"/>
  <c r="AA15" i="163"/>
  <c r="Z15" i="163"/>
  <c r="Y15" i="163"/>
  <c r="X15" i="163"/>
  <c r="W15" i="163"/>
  <c r="V15" i="163"/>
  <c r="U15" i="163"/>
  <c r="T15" i="163"/>
  <c r="S15" i="163"/>
  <c r="R15" i="163"/>
  <c r="Q15" i="163"/>
  <c r="P15" i="163"/>
  <c r="O15" i="163"/>
  <c r="N15" i="163"/>
  <c r="M15" i="163"/>
  <c r="L15" i="163"/>
  <c r="K15" i="163"/>
  <c r="J15" i="163"/>
  <c r="I15" i="163"/>
  <c r="H15" i="163"/>
  <c r="G15" i="163"/>
  <c r="F15" i="163"/>
  <c r="E15" i="163"/>
  <c r="D15" i="163"/>
  <c r="C15" i="163"/>
  <c r="AB14" i="163" a="1"/>
  <c r="AB14" i="163"/>
  <c r="AA14" i="163"/>
  <c r="Z14" i="163"/>
  <c r="Y14" i="163"/>
  <c r="X14" i="163"/>
  <c r="W14" i="163"/>
  <c r="V14" i="163"/>
  <c r="U14" i="163"/>
  <c r="T14" i="163"/>
  <c r="S14" i="163"/>
  <c r="R14" i="163"/>
  <c r="Q14" i="163"/>
  <c r="P14" i="163"/>
  <c r="O14" i="163"/>
  <c r="N14" i="163"/>
  <c r="M14" i="163"/>
  <c r="L14" i="163"/>
  <c r="K14" i="163"/>
  <c r="J14" i="163"/>
  <c r="I14" i="163"/>
  <c r="H14" i="163"/>
  <c r="G14" i="163"/>
  <c r="F14" i="163"/>
  <c r="E14" i="163"/>
  <c r="D14" i="163"/>
  <c r="C14" i="163"/>
  <c r="AB13" i="163" a="1"/>
  <c r="AB13" i="163"/>
  <c r="AA13" i="163"/>
  <c r="Z13" i="163"/>
  <c r="Y13" i="163"/>
  <c r="X13" i="163"/>
  <c r="W13" i="163"/>
  <c r="V13" i="163"/>
  <c r="U13" i="163"/>
  <c r="T13" i="163"/>
  <c r="S13" i="163"/>
  <c r="R13" i="163"/>
  <c r="Q13" i="163"/>
  <c r="P13" i="163"/>
  <c r="O13" i="163"/>
  <c r="N13" i="163"/>
  <c r="M13" i="163"/>
  <c r="L13" i="163"/>
  <c r="K13" i="163"/>
  <c r="J13" i="163"/>
  <c r="I13" i="163"/>
  <c r="H13" i="163"/>
  <c r="G13" i="163"/>
  <c r="F13" i="163"/>
  <c r="E13" i="163"/>
  <c r="D13" i="163"/>
  <c r="C13" i="163"/>
  <c r="AB12" i="163" a="1"/>
  <c r="AB12" i="163"/>
  <c r="AA12" i="163"/>
  <c r="Z12" i="163"/>
  <c r="Y12" i="163"/>
  <c r="X12" i="163"/>
  <c r="W12" i="163"/>
  <c r="V12" i="163"/>
  <c r="U12" i="163"/>
  <c r="T12" i="163"/>
  <c r="S12" i="163"/>
  <c r="R12" i="163"/>
  <c r="Q12" i="163"/>
  <c r="P12" i="163"/>
  <c r="O12" i="163"/>
  <c r="N12" i="163"/>
  <c r="M12" i="163"/>
  <c r="L12" i="163"/>
  <c r="K12" i="163"/>
  <c r="J12" i="163"/>
  <c r="I12" i="163"/>
  <c r="H12" i="163"/>
  <c r="G12" i="163"/>
  <c r="F12" i="163"/>
  <c r="E12" i="163"/>
  <c r="D12" i="163"/>
  <c r="C12" i="163"/>
  <c r="AB11" i="163" a="1"/>
  <c r="AB11" i="163"/>
  <c r="AA11" i="163"/>
  <c r="Z11" i="163"/>
  <c r="Y11" i="163"/>
  <c r="X11" i="163"/>
  <c r="W11" i="163"/>
  <c r="V11" i="163"/>
  <c r="U11" i="163"/>
  <c r="T11" i="163"/>
  <c r="S11" i="163"/>
  <c r="R11" i="163"/>
  <c r="Q11" i="163"/>
  <c r="P11" i="163"/>
  <c r="O11" i="163"/>
  <c r="N11" i="163"/>
  <c r="M11" i="163"/>
  <c r="L11" i="163"/>
  <c r="K11" i="163"/>
  <c r="J11" i="163"/>
  <c r="I11" i="163"/>
  <c r="H11" i="163"/>
  <c r="G11" i="163"/>
  <c r="F11" i="163"/>
  <c r="E11" i="163"/>
  <c r="D11" i="163"/>
  <c r="C11" i="163"/>
  <c r="AB10" i="163" a="1"/>
  <c r="AB10" i="163"/>
  <c r="AA10" i="163"/>
  <c r="Z10" i="163"/>
  <c r="Y10" i="163"/>
  <c r="X10" i="163"/>
  <c r="W10" i="163"/>
  <c r="V10" i="163"/>
  <c r="U10" i="163"/>
  <c r="T10" i="163"/>
  <c r="S10" i="163"/>
  <c r="R10" i="163"/>
  <c r="Q10" i="163"/>
  <c r="P10" i="163"/>
  <c r="O10" i="163"/>
  <c r="N10" i="163"/>
  <c r="M10" i="163"/>
  <c r="L10" i="163"/>
  <c r="K10" i="163"/>
  <c r="J10" i="163"/>
  <c r="I10" i="163"/>
  <c r="H10" i="163"/>
  <c r="G10" i="163"/>
  <c r="F10" i="163"/>
  <c r="E10" i="163"/>
  <c r="D10" i="163"/>
  <c r="C10" i="163"/>
  <c r="AB9" i="163" a="1"/>
  <c r="AB9" i="163"/>
  <c r="AA9" i="163"/>
  <c r="Z9" i="163"/>
  <c r="Y9" i="163"/>
  <c r="X9" i="163"/>
  <c r="W9" i="163"/>
  <c r="V9" i="163"/>
  <c r="U9" i="163"/>
  <c r="T9" i="163"/>
  <c r="S9" i="163"/>
  <c r="R9" i="163"/>
  <c r="Q9" i="163"/>
  <c r="P9" i="163"/>
  <c r="O9" i="163"/>
  <c r="N9" i="163"/>
  <c r="M9" i="163"/>
  <c r="L9" i="163"/>
  <c r="K9" i="163"/>
  <c r="J9" i="163"/>
  <c r="I9" i="163"/>
  <c r="H9" i="163"/>
  <c r="G9" i="163"/>
  <c r="F9" i="163"/>
  <c r="E9" i="163"/>
  <c r="D9" i="163"/>
  <c r="C9" i="163"/>
  <c r="AB8" i="163" a="1"/>
  <c r="AB8" i="163"/>
  <c r="AA8" i="163"/>
  <c r="Z8" i="163"/>
  <c r="Y8" i="163"/>
  <c r="X8" i="163"/>
  <c r="W8" i="163"/>
  <c r="V8" i="163"/>
  <c r="U8" i="163"/>
  <c r="T8" i="163"/>
  <c r="S8" i="163"/>
  <c r="R8" i="163"/>
  <c r="Q8" i="163"/>
  <c r="P8" i="163"/>
  <c r="O8" i="163"/>
  <c r="N8" i="163"/>
  <c r="M8" i="163"/>
  <c r="L8" i="163"/>
  <c r="K8" i="163"/>
  <c r="J8" i="163"/>
  <c r="I8" i="163"/>
  <c r="H8" i="163"/>
  <c r="G8" i="163"/>
  <c r="F8" i="163"/>
  <c r="E8" i="163"/>
  <c r="D8" i="163"/>
  <c r="C8" i="163"/>
  <c r="AB7" i="163" a="1"/>
  <c r="AB7" i="163"/>
  <c r="AA7" i="163"/>
  <c r="Z7" i="163"/>
  <c r="Y7" i="163"/>
  <c r="X7" i="163"/>
  <c r="W7" i="163"/>
  <c r="V7" i="163"/>
  <c r="U7" i="163"/>
  <c r="T7" i="163"/>
  <c r="S7" i="163"/>
  <c r="R7" i="163"/>
  <c r="Q7" i="163"/>
  <c r="P7" i="163"/>
  <c r="O7" i="163"/>
  <c r="N7" i="163"/>
  <c r="M7" i="163"/>
  <c r="L7" i="163"/>
  <c r="K7" i="163"/>
  <c r="J7" i="163"/>
  <c r="I7" i="163"/>
  <c r="H7" i="163"/>
  <c r="G7" i="163"/>
  <c r="F7" i="163"/>
  <c r="E7" i="163"/>
  <c r="D7" i="163"/>
  <c r="C7" i="163"/>
  <c r="AA6" i="163"/>
  <c r="Z6" i="163"/>
  <c r="Y6" i="163"/>
  <c r="X6" i="163"/>
  <c r="W6" i="163"/>
  <c r="V6" i="163"/>
  <c r="U6" i="163"/>
  <c r="T6" i="163"/>
  <c r="S6" i="163"/>
  <c r="R6" i="163"/>
  <c r="Q6" i="163"/>
  <c r="P6" i="163"/>
  <c r="O6" i="163"/>
  <c r="N6" i="163"/>
  <c r="M6" i="163"/>
  <c r="L6" i="163"/>
  <c r="K6" i="163"/>
  <c r="J6" i="163"/>
  <c r="I6" i="163"/>
  <c r="H6" i="163"/>
  <c r="G6" i="163"/>
  <c r="F6" i="163"/>
  <c r="E6" i="163"/>
  <c r="D6" i="163"/>
  <c r="C6" i="163"/>
  <c r="AB5" i="163" a="1"/>
  <c r="AB5" i="163"/>
  <c r="AA5" i="163"/>
  <c r="Z5" i="163"/>
  <c r="Y5" i="163"/>
  <c r="X5" i="163"/>
  <c r="W5" i="163"/>
  <c r="V5" i="163"/>
  <c r="U5" i="163"/>
  <c r="T5" i="163"/>
  <c r="S5" i="163"/>
  <c r="R5" i="163"/>
  <c r="Q5" i="163"/>
  <c r="P5" i="163"/>
  <c r="O5" i="163"/>
  <c r="N5" i="163"/>
  <c r="M5" i="163"/>
  <c r="L5" i="163"/>
  <c r="K5" i="163"/>
  <c r="J5" i="163"/>
  <c r="I5" i="163"/>
  <c r="H5" i="163"/>
  <c r="G5" i="163"/>
  <c r="F5" i="163"/>
  <c r="E5" i="163"/>
  <c r="D5" i="163"/>
  <c r="C5" i="163"/>
  <c r="AB4" i="163" a="1"/>
  <c r="AB4" i="163"/>
  <c r="AA4" i="163"/>
  <c r="Z4" i="163"/>
  <c r="Y4" i="163"/>
  <c r="X4" i="163"/>
  <c r="W4" i="163"/>
  <c r="V4" i="163"/>
  <c r="U4" i="163"/>
  <c r="T4" i="163"/>
  <c r="S4" i="163"/>
  <c r="R4" i="163"/>
  <c r="Q4" i="163"/>
  <c r="P4" i="163"/>
  <c r="O4" i="163"/>
  <c r="N4" i="163"/>
  <c r="M4" i="163"/>
  <c r="L4" i="163"/>
  <c r="K4" i="163"/>
  <c r="J4" i="163"/>
  <c r="I4" i="163"/>
  <c r="H4" i="163"/>
  <c r="G4" i="163"/>
  <c r="F4" i="163"/>
  <c r="E4" i="163"/>
  <c r="D4" i="163"/>
  <c r="C4" i="163"/>
  <c r="AB3" i="163" a="1"/>
  <c r="AB3" i="163"/>
  <c r="AA3" i="163"/>
  <c r="Z3" i="163"/>
  <c r="Y3" i="163"/>
  <c r="X3" i="163"/>
  <c r="W3" i="163"/>
  <c r="V3" i="163"/>
  <c r="U3" i="163"/>
  <c r="T3" i="163"/>
  <c r="S3" i="163"/>
  <c r="R3" i="163"/>
  <c r="Q3" i="163"/>
  <c r="P3" i="163"/>
  <c r="O3" i="163"/>
  <c r="N3" i="163"/>
  <c r="M3" i="163"/>
  <c r="L3" i="163"/>
  <c r="K3" i="163"/>
  <c r="J3" i="163"/>
  <c r="I3" i="163"/>
  <c r="H3" i="163"/>
  <c r="G3" i="163"/>
  <c r="F3" i="163"/>
  <c r="E3" i="163"/>
  <c r="D3" i="163"/>
  <c r="C3" i="163"/>
  <c r="AB2" i="163" a="1"/>
  <c r="AB2" i="163"/>
  <c r="AA2" i="163"/>
  <c r="Z2" i="163"/>
  <c r="Y2" i="163"/>
  <c r="X2" i="163"/>
  <c r="W2" i="163"/>
  <c r="V2" i="163"/>
  <c r="U2" i="163"/>
  <c r="T2" i="163"/>
  <c r="S2" i="163"/>
  <c r="R2" i="163"/>
  <c r="Q2" i="163"/>
  <c r="P2" i="163"/>
  <c r="O2" i="163"/>
  <c r="N2" i="163"/>
  <c r="M2" i="163"/>
  <c r="L2" i="163"/>
  <c r="K2" i="163"/>
  <c r="J2" i="163"/>
  <c r="I2" i="163"/>
  <c r="H2" i="163"/>
  <c r="G2" i="163"/>
  <c r="F2" i="163"/>
  <c r="E2" i="163"/>
  <c r="D2" i="163"/>
  <c r="C2" i="163"/>
  <c r="AA117" i="175"/>
  <c r="X117" i="175"/>
  <c r="AA116" i="175"/>
  <c r="Y116" i="175"/>
  <c r="Y115" i="175"/>
  <c r="Y114" i="175"/>
  <c r="Y113" i="175"/>
  <c r="Y112" i="175"/>
  <c r="Y111" i="175"/>
  <c r="Y110" i="175"/>
  <c r="AD109" i="175"/>
  <c r="AC109" i="175"/>
  <c r="AA109" i="175"/>
  <c r="Y109" i="175"/>
  <c r="Y108" i="175"/>
  <c r="Y107" i="175"/>
  <c r="AA105" i="175"/>
  <c r="AA104" i="175"/>
  <c r="AA103" i="175"/>
  <c r="AA101" i="175"/>
  <c r="Z101" i="175"/>
  <c r="Y101" i="175"/>
  <c r="X101" i="175"/>
  <c r="W101" i="175"/>
  <c r="V101" i="175"/>
  <c r="U101" i="175"/>
  <c r="T101" i="175"/>
  <c r="S101" i="175"/>
  <c r="R101" i="175"/>
  <c r="Q101" i="175"/>
  <c r="P101" i="175"/>
  <c r="O101" i="175"/>
  <c r="N101" i="175"/>
  <c r="M101" i="175"/>
  <c r="L101" i="175"/>
  <c r="K101" i="175"/>
  <c r="J101" i="175"/>
  <c r="I101" i="175"/>
  <c r="H101" i="175"/>
  <c r="G101" i="175"/>
  <c r="F101" i="175"/>
  <c r="E101" i="175"/>
  <c r="D101" i="175"/>
  <c r="C101" i="175"/>
  <c r="AB45" i="175" a="1"/>
  <c r="AB45" i="175"/>
  <c r="AB44" i="175" a="1"/>
  <c r="AB44" i="175"/>
  <c r="AB43" i="175" a="1"/>
  <c r="AB43" i="175"/>
  <c r="AB42" i="175" a="1"/>
  <c r="AB42" i="175"/>
  <c r="AB41" i="175" a="1"/>
  <c r="AB41" i="175"/>
  <c r="AB40" i="175" a="1"/>
  <c r="AB40" i="175"/>
  <c r="AB39" i="175" a="1"/>
  <c r="AB39" i="175"/>
  <c r="AB38" i="175" a="1"/>
  <c r="AB38" i="175"/>
  <c r="AB37" i="175" a="1"/>
  <c r="AB37" i="175"/>
  <c r="AA37" i="175"/>
  <c r="Z37" i="175"/>
  <c r="Y37" i="175"/>
  <c r="X37" i="175"/>
  <c r="W37" i="175"/>
  <c r="V37" i="175"/>
  <c r="U37" i="175"/>
  <c r="T37" i="175"/>
  <c r="S37" i="175"/>
  <c r="R37" i="175"/>
  <c r="Q37" i="175"/>
  <c r="P37" i="175"/>
  <c r="O37" i="175"/>
  <c r="N37" i="175"/>
  <c r="M37" i="175"/>
  <c r="L37" i="175"/>
  <c r="K37" i="175"/>
  <c r="J37" i="175"/>
  <c r="I37" i="175"/>
  <c r="H37" i="175"/>
  <c r="G37" i="175"/>
  <c r="F37" i="175"/>
  <c r="E37" i="175"/>
  <c r="D37" i="175"/>
  <c r="C37" i="175"/>
  <c r="AB36" i="175" a="1"/>
  <c r="AB36" i="175"/>
  <c r="AA36" i="175"/>
  <c r="Z36" i="175"/>
  <c r="Y36" i="175"/>
  <c r="X36" i="175"/>
  <c r="W36" i="175"/>
  <c r="V36" i="175"/>
  <c r="U36" i="175"/>
  <c r="T36" i="175"/>
  <c r="S36" i="175"/>
  <c r="R36" i="175"/>
  <c r="Q36" i="175"/>
  <c r="P36" i="175"/>
  <c r="O36" i="175"/>
  <c r="N36" i="175"/>
  <c r="M36" i="175"/>
  <c r="L36" i="175"/>
  <c r="K36" i="175"/>
  <c r="J36" i="175"/>
  <c r="I36" i="175"/>
  <c r="H36" i="175"/>
  <c r="G36" i="175"/>
  <c r="F36" i="175"/>
  <c r="E36" i="175"/>
  <c r="D36" i="175"/>
  <c r="C36" i="175"/>
  <c r="AB35" i="175" a="1"/>
  <c r="AB35" i="175"/>
  <c r="AA35" i="175"/>
  <c r="Z35" i="175"/>
  <c r="Y35" i="175"/>
  <c r="X35" i="175"/>
  <c r="W35" i="175"/>
  <c r="V35" i="175"/>
  <c r="U35" i="175"/>
  <c r="T35" i="175"/>
  <c r="S35" i="175"/>
  <c r="R35" i="175"/>
  <c r="Q35" i="175"/>
  <c r="P35" i="175"/>
  <c r="O35" i="175"/>
  <c r="N35" i="175"/>
  <c r="M35" i="175"/>
  <c r="L35" i="175"/>
  <c r="K35" i="175"/>
  <c r="J35" i="175"/>
  <c r="I35" i="175"/>
  <c r="H35" i="175"/>
  <c r="G35" i="175"/>
  <c r="F35" i="175"/>
  <c r="E35" i="175"/>
  <c r="D35" i="175"/>
  <c r="C35" i="175"/>
  <c r="AB34" i="175" a="1"/>
  <c r="AB34" i="175"/>
  <c r="AA34" i="175"/>
  <c r="Z34" i="175"/>
  <c r="Y34" i="175"/>
  <c r="X34" i="175"/>
  <c r="W34" i="175"/>
  <c r="V34" i="175"/>
  <c r="U34" i="175"/>
  <c r="T34" i="175"/>
  <c r="S34" i="175"/>
  <c r="R34" i="175"/>
  <c r="Q34" i="175"/>
  <c r="P34" i="175"/>
  <c r="O34" i="175"/>
  <c r="N34" i="175"/>
  <c r="M34" i="175"/>
  <c r="L34" i="175"/>
  <c r="K34" i="175"/>
  <c r="J34" i="175"/>
  <c r="I34" i="175"/>
  <c r="H34" i="175"/>
  <c r="G34" i="175"/>
  <c r="F34" i="175"/>
  <c r="E34" i="175"/>
  <c r="D34" i="175"/>
  <c r="C34" i="175"/>
  <c r="AB33" i="175" a="1"/>
  <c r="AB33" i="175"/>
  <c r="AA33" i="175"/>
  <c r="Z33" i="175"/>
  <c r="Y33" i="175"/>
  <c r="X33" i="175"/>
  <c r="W33" i="175"/>
  <c r="V33" i="175"/>
  <c r="U33" i="175"/>
  <c r="T33" i="175"/>
  <c r="S33" i="175"/>
  <c r="R33" i="175"/>
  <c r="Q33" i="175"/>
  <c r="P33" i="175"/>
  <c r="O33" i="175"/>
  <c r="N33" i="175"/>
  <c r="M33" i="175"/>
  <c r="L33" i="175"/>
  <c r="K33" i="175"/>
  <c r="J33" i="175"/>
  <c r="I33" i="175"/>
  <c r="H33" i="175"/>
  <c r="G33" i="175"/>
  <c r="F33" i="175"/>
  <c r="E33" i="175"/>
  <c r="D33" i="175"/>
  <c r="C33" i="175"/>
  <c r="AB32" i="175" a="1"/>
  <c r="AB32" i="175"/>
  <c r="AA32" i="175"/>
  <c r="Z32" i="175"/>
  <c r="Y32" i="175"/>
  <c r="X32" i="175"/>
  <c r="W32" i="175"/>
  <c r="V32" i="175"/>
  <c r="U32" i="175"/>
  <c r="T32" i="175"/>
  <c r="S32" i="175"/>
  <c r="R32" i="175"/>
  <c r="Q32" i="175"/>
  <c r="P32" i="175"/>
  <c r="O32" i="175"/>
  <c r="N32" i="175"/>
  <c r="M32" i="175"/>
  <c r="L32" i="175"/>
  <c r="K32" i="175"/>
  <c r="J32" i="175"/>
  <c r="I32" i="175"/>
  <c r="H32" i="175"/>
  <c r="G32" i="175"/>
  <c r="F32" i="175"/>
  <c r="E32" i="175"/>
  <c r="D32" i="175"/>
  <c r="C32" i="175"/>
  <c r="AB31" i="175" a="1"/>
  <c r="AB31" i="175"/>
  <c r="AA31" i="175"/>
  <c r="Z31" i="175"/>
  <c r="Y31" i="175"/>
  <c r="X31" i="175"/>
  <c r="W31" i="175"/>
  <c r="V31" i="175"/>
  <c r="U31" i="175"/>
  <c r="T31" i="175"/>
  <c r="S31" i="175"/>
  <c r="R31" i="175"/>
  <c r="Q31" i="175"/>
  <c r="P31" i="175"/>
  <c r="O31" i="175"/>
  <c r="N31" i="175"/>
  <c r="M31" i="175"/>
  <c r="L31" i="175"/>
  <c r="K31" i="175"/>
  <c r="J31" i="175"/>
  <c r="I31" i="175"/>
  <c r="H31" i="175"/>
  <c r="G31" i="175"/>
  <c r="F31" i="175"/>
  <c r="E31" i="175"/>
  <c r="D31" i="175"/>
  <c r="C31" i="175"/>
  <c r="AB30" i="175" a="1"/>
  <c r="AB30" i="175"/>
  <c r="AA30" i="175"/>
  <c r="Z30" i="175"/>
  <c r="Y30" i="175"/>
  <c r="X30" i="175"/>
  <c r="W30" i="175"/>
  <c r="V30" i="175"/>
  <c r="U30" i="175"/>
  <c r="T30" i="175"/>
  <c r="S30" i="175"/>
  <c r="R30" i="175"/>
  <c r="Q30" i="175"/>
  <c r="P30" i="175"/>
  <c r="O30" i="175"/>
  <c r="N30" i="175"/>
  <c r="M30" i="175"/>
  <c r="L30" i="175"/>
  <c r="K30" i="175"/>
  <c r="J30" i="175"/>
  <c r="I30" i="175"/>
  <c r="H30" i="175"/>
  <c r="G30" i="175"/>
  <c r="F30" i="175"/>
  <c r="E30" i="175"/>
  <c r="D30" i="175"/>
  <c r="C30" i="175"/>
  <c r="AB29" i="175" a="1"/>
  <c r="AB29" i="175"/>
  <c r="AA29" i="175"/>
  <c r="Z29" i="175"/>
  <c r="Y29" i="175"/>
  <c r="X29" i="175"/>
  <c r="W29" i="175"/>
  <c r="V29" i="175"/>
  <c r="U29" i="175"/>
  <c r="T29" i="175"/>
  <c r="S29" i="175"/>
  <c r="R29" i="175"/>
  <c r="Q29" i="175"/>
  <c r="P29" i="175"/>
  <c r="O29" i="175"/>
  <c r="N29" i="175"/>
  <c r="M29" i="175"/>
  <c r="L29" i="175"/>
  <c r="K29" i="175"/>
  <c r="J29" i="175"/>
  <c r="I29" i="175"/>
  <c r="H29" i="175"/>
  <c r="G29" i="175"/>
  <c r="F29" i="175"/>
  <c r="E29" i="175"/>
  <c r="D29" i="175"/>
  <c r="C29" i="175"/>
  <c r="AB28" i="175" a="1"/>
  <c r="AB28" i="175"/>
  <c r="AA28" i="175"/>
  <c r="Z28" i="175"/>
  <c r="Y28" i="175"/>
  <c r="X28" i="175"/>
  <c r="W28" i="175"/>
  <c r="V28" i="175"/>
  <c r="U28" i="175"/>
  <c r="T28" i="175"/>
  <c r="S28" i="175"/>
  <c r="R28" i="175"/>
  <c r="Q28" i="175"/>
  <c r="P28" i="175"/>
  <c r="O28" i="175"/>
  <c r="N28" i="175"/>
  <c r="M28" i="175"/>
  <c r="L28" i="175"/>
  <c r="K28" i="175"/>
  <c r="J28" i="175"/>
  <c r="I28" i="175"/>
  <c r="H28" i="175"/>
  <c r="G28" i="175"/>
  <c r="F28" i="175"/>
  <c r="E28" i="175"/>
  <c r="D28" i="175"/>
  <c r="C28" i="175"/>
  <c r="AB27" i="175" a="1"/>
  <c r="AB27" i="175"/>
  <c r="AA27" i="175"/>
  <c r="Z27" i="175"/>
  <c r="Y27" i="175"/>
  <c r="X27" i="175"/>
  <c r="W27" i="175"/>
  <c r="V27" i="175"/>
  <c r="U27" i="175"/>
  <c r="T27" i="175"/>
  <c r="S27" i="175"/>
  <c r="R27" i="175"/>
  <c r="Q27" i="175"/>
  <c r="P27" i="175"/>
  <c r="O27" i="175"/>
  <c r="N27" i="175"/>
  <c r="M27" i="175"/>
  <c r="L27" i="175"/>
  <c r="K27" i="175"/>
  <c r="J27" i="175"/>
  <c r="I27" i="175"/>
  <c r="H27" i="175"/>
  <c r="G27" i="175"/>
  <c r="F27" i="175"/>
  <c r="E27" i="175"/>
  <c r="D27" i="175"/>
  <c r="C27" i="175"/>
  <c r="AB26" i="175" a="1"/>
  <c r="AB26" i="175"/>
  <c r="AA26" i="175"/>
  <c r="Z26" i="175"/>
  <c r="Y26" i="175"/>
  <c r="X26" i="175"/>
  <c r="W26" i="175"/>
  <c r="V26" i="175"/>
  <c r="U26" i="175"/>
  <c r="T26" i="175"/>
  <c r="S26" i="175"/>
  <c r="R26" i="175"/>
  <c r="Q26" i="175"/>
  <c r="P26" i="175"/>
  <c r="O26" i="175"/>
  <c r="N26" i="175"/>
  <c r="M26" i="175"/>
  <c r="L26" i="175"/>
  <c r="K26" i="175"/>
  <c r="J26" i="175"/>
  <c r="I26" i="175"/>
  <c r="H26" i="175"/>
  <c r="G26" i="175"/>
  <c r="F26" i="175"/>
  <c r="E26" i="175"/>
  <c r="D26" i="175"/>
  <c r="C26" i="175"/>
  <c r="AB25" i="175" a="1"/>
  <c r="AB25" i="175"/>
  <c r="Z25" i="175"/>
  <c r="Y25" i="175"/>
  <c r="X25" i="175"/>
  <c r="W25" i="175"/>
  <c r="V25" i="175"/>
  <c r="U25" i="175"/>
  <c r="T25" i="175"/>
  <c r="S25" i="175"/>
  <c r="R25" i="175"/>
  <c r="Q25" i="175"/>
  <c r="P25" i="175"/>
  <c r="O25" i="175"/>
  <c r="N25" i="175"/>
  <c r="M25" i="175"/>
  <c r="L25" i="175"/>
  <c r="K25" i="175"/>
  <c r="J25" i="175"/>
  <c r="I25" i="175"/>
  <c r="H25" i="175"/>
  <c r="G25" i="175"/>
  <c r="F25" i="175"/>
  <c r="E25" i="175"/>
  <c r="D25" i="175"/>
  <c r="C25" i="175"/>
  <c r="AB24" i="175" a="1"/>
  <c r="AB24" i="175"/>
  <c r="AA24" i="175"/>
  <c r="Z24" i="175"/>
  <c r="Y24" i="175"/>
  <c r="X24" i="175"/>
  <c r="W24" i="175"/>
  <c r="V24" i="175"/>
  <c r="U24" i="175"/>
  <c r="T24" i="175"/>
  <c r="S24" i="175"/>
  <c r="R24" i="175"/>
  <c r="Q24" i="175"/>
  <c r="P24" i="175"/>
  <c r="O24" i="175"/>
  <c r="N24" i="175"/>
  <c r="M24" i="175"/>
  <c r="L24" i="175"/>
  <c r="K24" i="175"/>
  <c r="J24" i="175"/>
  <c r="I24" i="175"/>
  <c r="H24" i="175"/>
  <c r="G24" i="175"/>
  <c r="F24" i="175"/>
  <c r="E24" i="175"/>
  <c r="D24" i="175"/>
  <c r="C24" i="175"/>
  <c r="AB23" i="175" a="1"/>
  <c r="AB23" i="175"/>
  <c r="AA23" i="175"/>
  <c r="Z23" i="175"/>
  <c r="Y23" i="175"/>
  <c r="X23" i="175"/>
  <c r="W23" i="175"/>
  <c r="V23" i="175"/>
  <c r="U23" i="175"/>
  <c r="T23" i="175"/>
  <c r="S23" i="175"/>
  <c r="R23" i="175"/>
  <c r="Q23" i="175"/>
  <c r="P23" i="175"/>
  <c r="O23" i="175"/>
  <c r="N23" i="175"/>
  <c r="M23" i="175"/>
  <c r="L23" i="175"/>
  <c r="K23" i="175"/>
  <c r="J23" i="175"/>
  <c r="I23" i="175"/>
  <c r="H23" i="175"/>
  <c r="G23" i="175"/>
  <c r="F23" i="175"/>
  <c r="E23" i="175"/>
  <c r="D23" i="175"/>
  <c r="C23" i="175"/>
  <c r="AB22" i="175" a="1"/>
  <c r="AB22" i="175"/>
  <c r="AA22" i="175"/>
  <c r="Z22" i="175"/>
  <c r="Y22" i="175"/>
  <c r="X22" i="175"/>
  <c r="W22" i="175"/>
  <c r="V22" i="175"/>
  <c r="U22" i="175"/>
  <c r="T22" i="175"/>
  <c r="S22" i="175"/>
  <c r="R22" i="175"/>
  <c r="Q22" i="175"/>
  <c r="P22" i="175"/>
  <c r="O22" i="175"/>
  <c r="N22" i="175"/>
  <c r="M22" i="175"/>
  <c r="L22" i="175"/>
  <c r="K22" i="175"/>
  <c r="J22" i="175"/>
  <c r="I22" i="175"/>
  <c r="H22" i="175"/>
  <c r="G22" i="175"/>
  <c r="F22" i="175"/>
  <c r="E22" i="175"/>
  <c r="D22" i="175"/>
  <c r="C22" i="175"/>
  <c r="AB21" i="175" a="1"/>
  <c r="AB21" i="175"/>
  <c r="AA21" i="175"/>
  <c r="Z21" i="175"/>
  <c r="Y21" i="175"/>
  <c r="X21" i="175"/>
  <c r="W21" i="175"/>
  <c r="V21" i="175"/>
  <c r="U21" i="175"/>
  <c r="T21" i="175"/>
  <c r="S21" i="175"/>
  <c r="R21" i="175"/>
  <c r="Q21" i="175"/>
  <c r="P21" i="175"/>
  <c r="O21" i="175"/>
  <c r="N21" i="175"/>
  <c r="M21" i="175"/>
  <c r="L21" i="175"/>
  <c r="K21" i="175"/>
  <c r="J21" i="175"/>
  <c r="I21" i="175"/>
  <c r="H21" i="175"/>
  <c r="G21" i="175"/>
  <c r="F21" i="175"/>
  <c r="E21" i="175"/>
  <c r="D21" i="175"/>
  <c r="C21" i="175"/>
  <c r="AB20" i="175" a="1"/>
  <c r="AB20" i="175"/>
  <c r="AA20" i="175"/>
  <c r="Z20" i="175"/>
  <c r="Y20" i="175"/>
  <c r="X20" i="175"/>
  <c r="W20" i="175"/>
  <c r="V20" i="175"/>
  <c r="U20" i="175"/>
  <c r="T20" i="175"/>
  <c r="S20" i="175"/>
  <c r="R20" i="175"/>
  <c r="Q20" i="175"/>
  <c r="P20" i="175"/>
  <c r="O20" i="175"/>
  <c r="N20" i="175"/>
  <c r="M20" i="175"/>
  <c r="L20" i="175"/>
  <c r="K20" i="175"/>
  <c r="J20" i="175"/>
  <c r="I20" i="175"/>
  <c r="H20" i="175"/>
  <c r="G20" i="175"/>
  <c r="F20" i="175"/>
  <c r="E20" i="175"/>
  <c r="D20" i="175"/>
  <c r="C20" i="175"/>
  <c r="AB19" i="175" a="1"/>
  <c r="AB19" i="175"/>
  <c r="AA19" i="175"/>
  <c r="Z19" i="175"/>
  <c r="Y19" i="175"/>
  <c r="X19" i="175"/>
  <c r="W19" i="175"/>
  <c r="V19" i="175"/>
  <c r="U19" i="175"/>
  <c r="T19" i="175"/>
  <c r="S19" i="175"/>
  <c r="R19" i="175"/>
  <c r="Q19" i="175"/>
  <c r="P19" i="175"/>
  <c r="O19" i="175"/>
  <c r="N19" i="175"/>
  <c r="M19" i="175"/>
  <c r="L19" i="175"/>
  <c r="K19" i="175"/>
  <c r="J19" i="175"/>
  <c r="I19" i="175"/>
  <c r="H19" i="175"/>
  <c r="G19" i="175"/>
  <c r="F19" i="175"/>
  <c r="E19" i="175"/>
  <c r="D19" i="175"/>
  <c r="C19" i="175"/>
  <c r="AB18" i="175" a="1"/>
  <c r="AB18" i="175"/>
  <c r="AA18" i="175"/>
  <c r="Z18" i="175"/>
  <c r="Y18" i="175"/>
  <c r="X18" i="175"/>
  <c r="W18" i="175"/>
  <c r="V18" i="175"/>
  <c r="U18" i="175"/>
  <c r="T18" i="175"/>
  <c r="S18" i="175"/>
  <c r="R18" i="175"/>
  <c r="Q18" i="175"/>
  <c r="P18" i="175"/>
  <c r="O18" i="175"/>
  <c r="N18" i="175"/>
  <c r="M18" i="175"/>
  <c r="L18" i="175"/>
  <c r="K18" i="175"/>
  <c r="J18" i="175"/>
  <c r="I18" i="175"/>
  <c r="H18" i="175"/>
  <c r="G18" i="175"/>
  <c r="F18" i="175"/>
  <c r="E18" i="175"/>
  <c r="D18" i="175"/>
  <c r="C18" i="175"/>
  <c r="AB17" i="175" a="1"/>
  <c r="AB17" i="175"/>
  <c r="AA17" i="175"/>
  <c r="Z17" i="175"/>
  <c r="Y17" i="175"/>
  <c r="X17" i="175"/>
  <c r="W17" i="175"/>
  <c r="V17" i="175"/>
  <c r="U17" i="175"/>
  <c r="T17" i="175"/>
  <c r="S17" i="175"/>
  <c r="R17" i="175"/>
  <c r="Q17" i="175"/>
  <c r="P17" i="175"/>
  <c r="O17" i="175"/>
  <c r="N17" i="175"/>
  <c r="M17" i="175"/>
  <c r="L17" i="175"/>
  <c r="K17" i="175"/>
  <c r="J17" i="175"/>
  <c r="I17" i="175"/>
  <c r="H17" i="175"/>
  <c r="G17" i="175"/>
  <c r="F17" i="175"/>
  <c r="E17" i="175"/>
  <c r="D17" i="175"/>
  <c r="C17" i="175"/>
  <c r="AB16" i="175" a="1"/>
  <c r="AB16" i="175"/>
  <c r="AA16" i="175"/>
  <c r="Z16" i="175"/>
  <c r="Y16" i="175"/>
  <c r="X16" i="175"/>
  <c r="W16" i="175"/>
  <c r="V16" i="175"/>
  <c r="U16" i="175"/>
  <c r="T16" i="175"/>
  <c r="S16" i="175"/>
  <c r="R16" i="175"/>
  <c r="Q16" i="175"/>
  <c r="P16" i="175"/>
  <c r="O16" i="175"/>
  <c r="N16" i="175"/>
  <c r="M16" i="175"/>
  <c r="L16" i="175"/>
  <c r="K16" i="175"/>
  <c r="J16" i="175"/>
  <c r="I16" i="175"/>
  <c r="H16" i="175"/>
  <c r="G16" i="175"/>
  <c r="F16" i="175"/>
  <c r="E16" i="175"/>
  <c r="D16" i="175"/>
  <c r="C16" i="175"/>
  <c r="AB15" i="175" a="1"/>
  <c r="AB15" i="175"/>
  <c r="AA15" i="175"/>
  <c r="Z15" i="175"/>
  <c r="Y15" i="175"/>
  <c r="X15" i="175"/>
  <c r="W15" i="175"/>
  <c r="V15" i="175"/>
  <c r="U15" i="175"/>
  <c r="T15" i="175"/>
  <c r="S15" i="175"/>
  <c r="R15" i="175"/>
  <c r="Q15" i="175"/>
  <c r="P15" i="175"/>
  <c r="O15" i="175"/>
  <c r="N15" i="175"/>
  <c r="M15" i="175"/>
  <c r="L15" i="175"/>
  <c r="K15" i="175"/>
  <c r="J15" i="175"/>
  <c r="I15" i="175"/>
  <c r="H15" i="175"/>
  <c r="G15" i="175"/>
  <c r="F15" i="175"/>
  <c r="E15" i="175"/>
  <c r="D15" i="175"/>
  <c r="C15" i="175"/>
  <c r="AB14" i="175" a="1"/>
  <c r="AB14" i="175"/>
  <c r="AA14" i="175"/>
  <c r="Z14" i="175"/>
  <c r="Y14" i="175"/>
  <c r="X14" i="175"/>
  <c r="W14" i="175"/>
  <c r="V14" i="175"/>
  <c r="U14" i="175"/>
  <c r="T14" i="175"/>
  <c r="S14" i="175"/>
  <c r="R14" i="175"/>
  <c r="Q14" i="175"/>
  <c r="P14" i="175"/>
  <c r="O14" i="175"/>
  <c r="N14" i="175"/>
  <c r="M14" i="175"/>
  <c r="L14" i="175"/>
  <c r="K14" i="175"/>
  <c r="J14" i="175"/>
  <c r="I14" i="175"/>
  <c r="H14" i="175"/>
  <c r="G14" i="175"/>
  <c r="F14" i="175"/>
  <c r="E14" i="175"/>
  <c r="D14" i="175"/>
  <c r="C14" i="175"/>
  <c r="AB13" i="175" a="1"/>
  <c r="AB13" i="175"/>
  <c r="AA13" i="175"/>
  <c r="Z13" i="175"/>
  <c r="Y13" i="175"/>
  <c r="X13" i="175"/>
  <c r="W13" i="175"/>
  <c r="V13" i="175"/>
  <c r="U13" i="175"/>
  <c r="T13" i="175"/>
  <c r="S13" i="175"/>
  <c r="R13" i="175"/>
  <c r="Q13" i="175"/>
  <c r="P13" i="175"/>
  <c r="O13" i="175"/>
  <c r="N13" i="175"/>
  <c r="M13" i="175"/>
  <c r="L13" i="175"/>
  <c r="K13" i="175"/>
  <c r="J13" i="175"/>
  <c r="I13" i="175"/>
  <c r="H13" i="175"/>
  <c r="G13" i="175"/>
  <c r="F13" i="175"/>
  <c r="E13" i="175"/>
  <c r="D13" i="175"/>
  <c r="C13" i="175"/>
  <c r="AB12" i="175" a="1"/>
  <c r="AB12" i="175"/>
  <c r="AA12" i="175"/>
  <c r="Z12" i="175"/>
  <c r="Y12" i="175"/>
  <c r="X12" i="175"/>
  <c r="W12" i="175"/>
  <c r="V12" i="175"/>
  <c r="U12" i="175"/>
  <c r="T12" i="175"/>
  <c r="S12" i="175"/>
  <c r="R12" i="175"/>
  <c r="Q12" i="175"/>
  <c r="P12" i="175"/>
  <c r="O12" i="175"/>
  <c r="N12" i="175"/>
  <c r="M12" i="175"/>
  <c r="L12" i="175"/>
  <c r="K12" i="175"/>
  <c r="J12" i="175"/>
  <c r="I12" i="175"/>
  <c r="H12" i="175"/>
  <c r="G12" i="175"/>
  <c r="F12" i="175"/>
  <c r="E12" i="175"/>
  <c r="D12" i="175"/>
  <c r="C12" i="175"/>
  <c r="AB11" i="175" a="1"/>
  <c r="AB11" i="175"/>
  <c r="AA11" i="175"/>
  <c r="Z11" i="175"/>
  <c r="Y11" i="175"/>
  <c r="X11" i="175"/>
  <c r="W11" i="175"/>
  <c r="V11" i="175"/>
  <c r="U11" i="175"/>
  <c r="T11" i="175"/>
  <c r="S11" i="175"/>
  <c r="R11" i="175"/>
  <c r="Q11" i="175"/>
  <c r="P11" i="175"/>
  <c r="O11" i="175"/>
  <c r="N11" i="175"/>
  <c r="M11" i="175"/>
  <c r="L11" i="175"/>
  <c r="K11" i="175"/>
  <c r="J11" i="175"/>
  <c r="I11" i="175"/>
  <c r="H11" i="175"/>
  <c r="G11" i="175"/>
  <c r="F11" i="175"/>
  <c r="E11" i="175"/>
  <c r="D11" i="175"/>
  <c r="C11" i="175"/>
  <c r="AB10" i="175" a="1"/>
  <c r="AB10" i="175"/>
  <c r="AA10" i="175"/>
  <c r="Z10" i="175"/>
  <c r="Y10" i="175"/>
  <c r="X10" i="175"/>
  <c r="W10" i="175"/>
  <c r="V10" i="175"/>
  <c r="U10" i="175"/>
  <c r="T10" i="175"/>
  <c r="S10" i="175"/>
  <c r="R10" i="175"/>
  <c r="Q10" i="175"/>
  <c r="P10" i="175"/>
  <c r="O10" i="175"/>
  <c r="N10" i="175"/>
  <c r="M10" i="175"/>
  <c r="L10" i="175"/>
  <c r="K10" i="175"/>
  <c r="J10" i="175"/>
  <c r="I10" i="175"/>
  <c r="H10" i="175"/>
  <c r="G10" i="175"/>
  <c r="F10" i="175"/>
  <c r="E10" i="175"/>
  <c r="D10" i="175"/>
  <c r="C10" i="175"/>
  <c r="AB9" i="175" a="1"/>
  <c r="AB9" i="175"/>
  <c r="AA9" i="175"/>
  <c r="Z9" i="175"/>
  <c r="Y9" i="175"/>
  <c r="X9" i="175"/>
  <c r="W9" i="175"/>
  <c r="V9" i="175"/>
  <c r="U9" i="175"/>
  <c r="T9" i="175"/>
  <c r="S9" i="175"/>
  <c r="R9" i="175"/>
  <c r="Q9" i="175"/>
  <c r="P9" i="175"/>
  <c r="O9" i="175"/>
  <c r="N9" i="175"/>
  <c r="M9" i="175"/>
  <c r="L9" i="175"/>
  <c r="K9" i="175"/>
  <c r="J9" i="175"/>
  <c r="I9" i="175"/>
  <c r="H9" i="175"/>
  <c r="G9" i="175"/>
  <c r="F9" i="175"/>
  <c r="E9" i="175"/>
  <c r="D9" i="175"/>
  <c r="C9" i="175"/>
  <c r="AB8" i="175" a="1"/>
  <c r="AB8" i="175"/>
  <c r="AA8" i="175"/>
  <c r="Z8" i="175"/>
  <c r="Y8" i="175"/>
  <c r="X8" i="175"/>
  <c r="W8" i="175"/>
  <c r="V8" i="175"/>
  <c r="U8" i="175"/>
  <c r="T8" i="175"/>
  <c r="S8" i="175"/>
  <c r="R8" i="175"/>
  <c r="Q8" i="175"/>
  <c r="P8" i="175"/>
  <c r="O8" i="175"/>
  <c r="N8" i="175"/>
  <c r="M8" i="175"/>
  <c r="L8" i="175"/>
  <c r="K8" i="175"/>
  <c r="J8" i="175"/>
  <c r="I8" i="175"/>
  <c r="H8" i="175"/>
  <c r="G8" i="175"/>
  <c r="F8" i="175"/>
  <c r="E8" i="175"/>
  <c r="D8" i="175"/>
  <c r="C8" i="175"/>
  <c r="AB7" i="175" a="1"/>
  <c r="AB7" i="175"/>
  <c r="AA7" i="175"/>
  <c r="Z7" i="175"/>
  <c r="Y7" i="175"/>
  <c r="X7" i="175"/>
  <c r="W7" i="175"/>
  <c r="V7" i="175"/>
  <c r="U7" i="175"/>
  <c r="T7" i="175"/>
  <c r="S7" i="175"/>
  <c r="R7" i="175"/>
  <c r="Q7" i="175"/>
  <c r="P7" i="175"/>
  <c r="O7" i="175"/>
  <c r="N7" i="175"/>
  <c r="M7" i="175"/>
  <c r="L7" i="175"/>
  <c r="K7" i="175"/>
  <c r="J7" i="175"/>
  <c r="I7" i="175"/>
  <c r="H7" i="175"/>
  <c r="G7" i="175"/>
  <c r="F7" i="175"/>
  <c r="E7" i="175"/>
  <c r="D7" i="175"/>
  <c r="C7" i="175"/>
  <c r="AB6" i="175" a="1"/>
  <c r="AB6" i="175"/>
  <c r="AA6" i="175"/>
  <c r="Z6" i="175"/>
  <c r="Y6" i="175"/>
  <c r="X6" i="175"/>
  <c r="W6" i="175"/>
  <c r="V6" i="175"/>
  <c r="U6" i="175"/>
  <c r="T6" i="175"/>
  <c r="S6" i="175"/>
  <c r="R6" i="175"/>
  <c r="Q6" i="175"/>
  <c r="P6" i="175"/>
  <c r="O6" i="175"/>
  <c r="N6" i="175"/>
  <c r="M6" i="175"/>
  <c r="L6" i="175"/>
  <c r="K6" i="175"/>
  <c r="J6" i="175"/>
  <c r="I6" i="175"/>
  <c r="H6" i="175"/>
  <c r="G6" i="175"/>
  <c r="F6" i="175"/>
  <c r="E6" i="175"/>
  <c r="D6" i="175"/>
  <c r="C6" i="175"/>
  <c r="AB5" i="175" a="1"/>
  <c r="AB5" i="175"/>
  <c r="AA5" i="175"/>
  <c r="Z5" i="175"/>
  <c r="Y5" i="175"/>
  <c r="X5" i="175"/>
  <c r="W5" i="175"/>
  <c r="V5" i="175"/>
  <c r="U5" i="175"/>
  <c r="T5" i="175"/>
  <c r="S5" i="175"/>
  <c r="R5" i="175"/>
  <c r="Q5" i="175"/>
  <c r="P5" i="175"/>
  <c r="O5" i="175"/>
  <c r="N5" i="175"/>
  <c r="M5" i="175"/>
  <c r="L5" i="175"/>
  <c r="K5" i="175"/>
  <c r="J5" i="175"/>
  <c r="I5" i="175"/>
  <c r="H5" i="175"/>
  <c r="G5" i="175"/>
  <c r="F5" i="175"/>
  <c r="E5" i="175"/>
  <c r="D5" i="175"/>
  <c r="C5" i="175"/>
  <c r="AB4" i="175" a="1"/>
  <c r="AB4" i="175"/>
  <c r="AA4" i="175"/>
  <c r="Z4" i="175"/>
  <c r="Y4" i="175"/>
  <c r="X4" i="175"/>
  <c r="W4" i="175"/>
  <c r="V4" i="175"/>
  <c r="U4" i="175"/>
  <c r="T4" i="175"/>
  <c r="S4" i="175"/>
  <c r="R4" i="175"/>
  <c r="Q4" i="175"/>
  <c r="P4" i="175"/>
  <c r="O4" i="175"/>
  <c r="N4" i="175"/>
  <c r="M4" i="175"/>
  <c r="L4" i="175"/>
  <c r="K4" i="175"/>
  <c r="J4" i="175"/>
  <c r="I4" i="175"/>
  <c r="H4" i="175"/>
  <c r="G4" i="175"/>
  <c r="F4" i="175"/>
  <c r="E4" i="175"/>
  <c r="D4" i="175"/>
  <c r="C4" i="175"/>
  <c r="AB3" i="175" a="1"/>
  <c r="AB3" i="175"/>
  <c r="AA3" i="175"/>
  <c r="Z3" i="175"/>
  <c r="Y3" i="175"/>
  <c r="X3" i="175"/>
  <c r="W3" i="175"/>
  <c r="V3" i="175"/>
  <c r="U3" i="175"/>
  <c r="T3" i="175"/>
  <c r="S3" i="175"/>
  <c r="R3" i="175"/>
  <c r="Q3" i="175"/>
  <c r="P3" i="175"/>
  <c r="O3" i="175"/>
  <c r="N3" i="175"/>
  <c r="M3" i="175"/>
  <c r="L3" i="175"/>
  <c r="K3" i="175"/>
  <c r="J3" i="175"/>
  <c r="I3" i="175"/>
  <c r="H3" i="175"/>
  <c r="G3" i="175"/>
  <c r="F3" i="175"/>
  <c r="E3" i="175"/>
  <c r="D3" i="175"/>
  <c r="C3" i="175"/>
  <c r="AB2" i="175" a="1"/>
  <c r="AB2" i="175"/>
  <c r="AA2" i="175"/>
  <c r="Z2" i="175"/>
  <c r="Y2" i="175"/>
  <c r="X2" i="175"/>
  <c r="W2" i="175"/>
  <c r="V2" i="175"/>
  <c r="U2" i="175"/>
  <c r="T2" i="175"/>
  <c r="S2" i="175"/>
  <c r="R2" i="175"/>
  <c r="Q2" i="175"/>
  <c r="P2" i="175"/>
  <c r="O2" i="175"/>
  <c r="N2" i="175"/>
  <c r="M2" i="175"/>
  <c r="L2" i="175"/>
  <c r="K2" i="175"/>
  <c r="J2" i="175"/>
  <c r="I2" i="175"/>
  <c r="H2" i="175"/>
  <c r="G2" i="175"/>
  <c r="F2" i="175"/>
  <c r="E2" i="175"/>
  <c r="D2" i="175"/>
  <c r="C2" i="175"/>
  <c r="AA117" i="174"/>
  <c r="X117" i="174"/>
  <c r="AA116" i="174"/>
  <c r="Y116" i="174"/>
  <c r="Y115" i="174"/>
  <c r="Y114" i="174"/>
  <c r="Y113" i="174"/>
  <c r="Y112" i="174"/>
  <c r="Y111" i="174"/>
  <c r="Y110" i="174"/>
  <c r="AD109" i="174"/>
  <c r="AC109" i="174"/>
  <c r="AA109" i="174"/>
  <c r="Y109" i="174"/>
  <c r="Y108" i="174"/>
  <c r="Y107" i="174"/>
  <c r="AA105" i="174"/>
  <c r="AA104" i="174"/>
  <c r="AA103" i="174"/>
  <c r="AA101" i="174"/>
  <c r="Z101" i="174"/>
  <c r="Y101" i="174"/>
  <c r="X101" i="174"/>
  <c r="W101" i="174"/>
  <c r="V101" i="174"/>
  <c r="U101" i="174"/>
  <c r="T101" i="174"/>
  <c r="S101" i="174"/>
  <c r="R101" i="174"/>
  <c r="Q101" i="174"/>
  <c r="P101" i="174"/>
  <c r="O101" i="174"/>
  <c r="N101" i="174"/>
  <c r="M101" i="174"/>
  <c r="L101" i="174"/>
  <c r="K101" i="174"/>
  <c r="J101" i="174"/>
  <c r="I101" i="174"/>
  <c r="H101" i="174"/>
  <c r="G101" i="174"/>
  <c r="F101" i="174"/>
  <c r="E101" i="174"/>
  <c r="D101" i="174"/>
  <c r="C101" i="174"/>
  <c r="AB45" i="174" a="1"/>
  <c r="AB45" i="174"/>
  <c r="AB44" i="174" a="1"/>
  <c r="AB44" i="174"/>
  <c r="AB43" i="174" a="1"/>
  <c r="AB43" i="174"/>
  <c r="AB42" i="174" a="1"/>
  <c r="AB42" i="174"/>
  <c r="AB41" i="174" a="1"/>
  <c r="AB41" i="174"/>
  <c r="AB40" i="174" a="1"/>
  <c r="AB40" i="174"/>
  <c r="AB39" i="174" a="1"/>
  <c r="AB39" i="174"/>
  <c r="AB38" i="174" a="1"/>
  <c r="AB38" i="174"/>
  <c r="AB37" i="174" a="1"/>
  <c r="AB37" i="174"/>
  <c r="AA37" i="174"/>
  <c r="Z37" i="174"/>
  <c r="Y37" i="174"/>
  <c r="X37" i="174"/>
  <c r="W37" i="174"/>
  <c r="V37" i="174"/>
  <c r="U37" i="174"/>
  <c r="T37" i="174"/>
  <c r="S37" i="174"/>
  <c r="R37" i="174"/>
  <c r="Q37" i="174"/>
  <c r="P37" i="174"/>
  <c r="O37" i="174"/>
  <c r="N37" i="174"/>
  <c r="M37" i="174"/>
  <c r="L37" i="174"/>
  <c r="K37" i="174"/>
  <c r="J37" i="174"/>
  <c r="I37" i="174"/>
  <c r="H37" i="174"/>
  <c r="G37" i="174"/>
  <c r="F37" i="174"/>
  <c r="E37" i="174"/>
  <c r="D37" i="174"/>
  <c r="C37" i="174"/>
  <c r="AB36" i="174" a="1"/>
  <c r="AB36" i="174"/>
  <c r="AA36" i="174"/>
  <c r="Z36" i="174"/>
  <c r="Y36" i="174"/>
  <c r="X36" i="174"/>
  <c r="W36" i="174"/>
  <c r="V36" i="174"/>
  <c r="U36" i="174"/>
  <c r="T36" i="174"/>
  <c r="S36" i="174"/>
  <c r="R36" i="174"/>
  <c r="Q36" i="174"/>
  <c r="P36" i="174"/>
  <c r="O36" i="174"/>
  <c r="N36" i="174"/>
  <c r="M36" i="174"/>
  <c r="L36" i="174"/>
  <c r="K36" i="174"/>
  <c r="J36" i="174"/>
  <c r="I36" i="174"/>
  <c r="H36" i="174"/>
  <c r="G36" i="174"/>
  <c r="F36" i="174"/>
  <c r="E36" i="174"/>
  <c r="D36" i="174"/>
  <c r="C36" i="174"/>
  <c r="AB35" i="174" a="1"/>
  <c r="AB35" i="174"/>
  <c r="AA35" i="174"/>
  <c r="Z35" i="174"/>
  <c r="Y35" i="174"/>
  <c r="X35" i="174"/>
  <c r="W35" i="174"/>
  <c r="V35" i="174"/>
  <c r="U35" i="174"/>
  <c r="T35" i="174"/>
  <c r="S35" i="174"/>
  <c r="R35" i="174"/>
  <c r="Q35" i="174"/>
  <c r="P35" i="174"/>
  <c r="O35" i="174"/>
  <c r="N35" i="174"/>
  <c r="M35" i="174"/>
  <c r="L35" i="174"/>
  <c r="K35" i="174"/>
  <c r="J35" i="174"/>
  <c r="I35" i="174"/>
  <c r="H35" i="174"/>
  <c r="G35" i="174"/>
  <c r="F35" i="174"/>
  <c r="E35" i="174"/>
  <c r="D35" i="174"/>
  <c r="C35" i="174"/>
  <c r="AB34" i="174" a="1"/>
  <c r="AB34" i="174"/>
  <c r="AA34" i="174"/>
  <c r="Z34" i="174"/>
  <c r="Y34" i="174"/>
  <c r="X34" i="174"/>
  <c r="W34" i="174"/>
  <c r="V34" i="174"/>
  <c r="U34" i="174"/>
  <c r="T34" i="174"/>
  <c r="S34" i="174"/>
  <c r="R34" i="174"/>
  <c r="Q34" i="174"/>
  <c r="P34" i="174"/>
  <c r="O34" i="174"/>
  <c r="N34" i="174"/>
  <c r="M34" i="174"/>
  <c r="L34" i="174"/>
  <c r="K34" i="174"/>
  <c r="J34" i="174"/>
  <c r="I34" i="174"/>
  <c r="H34" i="174"/>
  <c r="G34" i="174"/>
  <c r="F34" i="174"/>
  <c r="E34" i="174"/>
  <c r="D34" i="174"/>
  <c r="C34" i="174"/>
  <c r="AB33" i="174" a="1"/>
  <c r="AB33" i="174"/>
  <c r="AA33" i="174"/>
  <c r="Z33" i="174"/>
  <c r="Y33" i="174"/>
  <c r="X33" i="174"/>
  <c r="W33" i="174"/>
  <c r="V33" i="174"/>
  <c r="U33" i="174"/>
  <c r="T33" i="174"/>
  <c r="S33" i="174"/>
  <c r="R33" i="174"/>
  <c r="Q33" i="174"/>
  <c r="P33" i="174"/>
  <c r="O33" i="174"/>
  <c r="N33" i="174"/>
  <c r="M33" i="174"/>
  <c r="L33" i="174"/>
  <c r="K33" i="174"/>
  <c r="J33" i="174"/>
  <c r="I33" i="174"/>
  <c r="H33" i="174"/>
  <c r="G33" i="174"/>
  <c r="F33" i="174"/>
  <c r="E33" i="174"/>
  <c r="D33" i="174"/>
  <c r="C33" i="174"/>
  <c r="AB32" i="174" a="1"/>
  <c r="AB32" i="174"/>
  <c r="AA32" i="174"/>
  <c r="Z32" i="174"/>
  <c r="Y32" i="174"/>
  <c r="X32" i="174"/>
  <c r="W32" i="174"/>
  <c r="V32" i="174"/>
  <c r="U32" i="174"/>
  <c r="T32" i="174"/>
  <c r="S32" i="174"/>
  <c r="R32" i="174"/>
  <c r="Q32" i="174"/>
  <c r="P32" i="174"/>
  <c r="O32" i="174"/>
  <c r="N32" i="174"/>
  <c r="M32" i="174"/>
  <c r="L32" i="174"/>
  <c r="K32" i="174"/>
  <c r="J32" i="174"/>
  <c r="I32" i="174"/>
  <c r="H32" i="174"/>
  <c r="G32" i="174"/>
  <c r="F32" i="174"/>
  <c r="E32" i="174"/>
  <c r="D32" i="174"/>
  <c r="C32" i="174"/>
  <c r="AB31" i="174" a="1"/>
  <c r="AB31" i="174"/>
  <c r="AA31" i="174"/>
  <c r="Z31" i="174"/>
  <c r="Y31" i="174"/>
  <c r="X31" i="174"/>
  <c r="W31" i="174"/>
  <c r="V31" i="174"/>
  <c r="U31" i="174"/>
  <c r="T31" i="174"/>
  <c r="S31" i="174"/>
  <c r="R31" i="174"/>
  <c r="Q31" i="174"/>
  <c r="P31" i="174"/>
  <c r="O31" i="174"/>
  <c r="N31" i="174"/>
  <c r="M31" i="174"/>
  <c r="L31" i="174"/>
  <c r="K31" i="174"/>
  <c r="J31" i="174"/>
  <c r="I31" i="174"/>
  <c r="H31" i="174"/>
  <c r="G31" i="174"/>
  <c r="F31" i="174"/>
  <c r="E31" i="174"/>
  <c r="D31" i="174"/>
  <c r="C31" i="174"/>
  <c r="AB30" i="174" a="1"/>
  <c r="AB30" i="174"/>
  <c r="AA30" i="174"/>
  <c r="Z30" i="174"/>
  <c r="Y30" i="174"/>
  <c r="X30" i="174"/>
  <c r="W30" i="174"/>
  <c r="V30" i="174"/>
  <c r="U30" i="174"/>
  <c r="T30" i="174"/>
  <c r="S30" i="174"/>
  <c r="R30" i="174"/>
  <c r="Q30" i="174"/>
  <c r="P30" i="174"/>
  <c r="O30" i="174"/>
  <c r="N30" i="174"/>
  <c r="M30" i="174"/>
  <c r="L30" i="174"/>
  <c r="K30" i="174"/>
  <c r="J30" i="174"/>
  <c r="I30" i="174"/>
  <c r="H30" i="174"/>
  <c r="G30" i="174"/>
  <c r="F30" i="174"/>
  <c r="E30" i="174"/>
  <c r="D30" i="174"/>
  <c r="C30" i="174"/>
  <c r="AB29" i="174" a="1"/>
  <c r="AB29" i="174"/>
  <c r="AA29" i="174"/>
  <c r="Z29" i="174"/>
  <c r="Y29" i="174"/>
  <c r="X29" i="174"/>
  <c r="W29" i="174"/>
  <c r="V29" i="174"/>
  <c r="U29" i="174"/>
  <c r="T29" i="174"/>
  <c r="S29" i="174"/>
  <c r="R29" i="174"/>
  <c r="Q29" i="174"/>
  <c r="P29" i="174"/>
  <c r="O29" i="174"/>
  <c r="N29" i="174"/>
  <c r="M29" i="174"/>
  <c r="L29" i="174"/>
  <c r="K29" i="174"/>
  <c r="J29" i="174"/>
  <c r="I29" i="174"/>
  <c r="H29" i="174"/>
  <c r="G29" i="174"/>
  <c r="F29" i="174"/>
  <c r="E29" i="174"/>
  <c r="D29" i="174"/>
  <c r="C29" i="174"/>
  <c r="AB28" i="174" a="1"/>
  <c r="AB28" i="174"/>
  <c r="AA28" i="174"/>
  <c r="Z28" i="174"/>
  <c r="Y28" i="174"/>
  <c r="X28" i="174"/>
  <c r="W28" i="174"/>
  <c r="V28" i="174"/>
  <c r="U28" i="174"/>
  <c r="T28" i="174"/>
  <c r="S28" i="174"/>
  <c r="R28" i="174"/>
  <c r="Q28" i="174"/>
  <c r="P28" i="174"/>
  <c r="O28" i="174"/>
  <c r="N28" i="174"/>
  <c r="M28" i="174"/>
  <c r="L28" i="174"/>
  <c r="K28" i="174"/>
  <c r="J28" i="174"/>
  <c r="I28" i="174"/>
  <c r="H28" i="174"/>
  <c r="G28" i="174"/>
  <c r="F28" i="174"/>
  <c r="E28" i="174"/>
  <c r="D28" i="174"/>
  <c r="C28" i="174"/>
  <c r="AB27" i="174" a="1"/>
  <c r="AB27" i="174"/>
  <c r="AA27" i="174"/>
  <c r="Z27" i="174"/>
  <c r="Y27" i="174"/>
  <c r="X27" i="174"/>
  <c r="W27" i="174"/>
  <c r="V27" i="174"/>
  <c r="U27" i="174"/>
  <c r="T27" i="174"/>
  <c r="S27" i="174"/>
  <c r="R27" i="174"/>
  <c r="Q27" i="174"/>
  <c r="P27" i="174"/>
  <c r="O27" i="174"/>
  <c r="N27" i="174"/>
  <c r="M27" i="174"/>
  <c r="L27" i="174"/>
  <c r="K27" i="174"/>
  <c r="J27" i="174"/>
  <c r="I27" i="174"/>
  <c r="H27" i="174"/>
  <c r="G27" i="174"/>
  <c r="F27" i="174"/>
  <c r="E27" i="174"/>
  <c r="D27" i="174"/>
  <c r="C27" i="174"/>
  <c r="AB26" i="174" a="1"/>
  <c r="AB26" i="174"/>
  <c r="AA26" i="174"/>
  <c r="Z26" i="174"/>
  <c r="Y26" i="174"/>
  <c r="X26" i="174"/>
  <c r="W26" i="174"/>
  <c r="V26" i="174"/>
  <c r="U26" i="174"/>
  <c r="T26" i="174"/>
  <c r="S26" i="174"/>
  <c r="R26" i="174"/>
  <c r="Q26" i="174"/>
  <c r="P26" i="174"/>
  <c r="O26" i="174"/>
  <c r="N26" i="174"/>
  <c r="M26" i="174"/>
  <c r="L26" i="174"/>
  <c r="K26" i="174"/>
  <c r="J26" i="174"/>
  <c r="I26" i="174"/>
  <c r="H26" i="174"/>
  <c r="G26" i="174"/>
  <c r="F26" i="174"/>
  <c r="E26" i="174"/>
  <c r="D26" i="174"/>
  <c r="C26" i="174"/>
  <c r="AB25" i="174" a="1"/>
  <c r="AB25" i="174"/>
  <c r="Z25" i="174"/>
  <c r="Y25" i="174"/>
  <c r="X25" i="174"/>
  <c r="W25" i="174"/>
  <c r="V25" i="174"/>
  <c r="U25" i="174"/>
  <c r="T25" i="174"/>
  <c r="S25" i="174"/>
  <c r="R25" i="174"/>
  <c r="Q25" i="174"/>
  <c r="P25" i="174"/>
  <c r="O25" i="174"/>
  <c r="N25" i="174"/>
  <c r="M25" i="174"/>
  <c r="L25" i="174"/>
  <c r="K25" i="174"/>
  <c r="J25" i="174"/>
  <c r="I25" i="174"/>
  <c r="H25" i="174"/>
  <c r="G25" i="174"/>
  <c r="F25" i="174"/>
  <c r="E25" i="174"/>
  <c r="D25" i="174"/>
  <c r="C25" i="174"/>
  <c r="AB24" i="174" a="1"/>
  <c r="AB24" i="174"/>
  <c r="AA24" i="174"/>
  <c r="Z24" i="174"/>
  <c r="Y24" i="174"/>
  <c r="X24" i="174"/>
  <c r="W24" i="174"/>
  <c r="V24" i="174"/>
  <c r="U24" i="174"/>
  <c r="T24" i="174"/>
  <c r="S24" i="174"/>
  <c r="R24" i="174"/>
  <c r="Q24" i="174"/>
  <c r="P24" i="174"/>
  <c r="O24" i="174"/>
  <c r="N24" i="174"/>
  <c r="M24" i="174"/>
  <c r="L24" i="174"/>
  <c r="K24" i="174"/>
  <c r="J24" i="174"/>
  <c r="I24" i="174"/>
  <c r="H24" i="174"/>
  <c r="G24" i="174"/>
  <c r="F24" i="174"/>
  <c r="E24" i="174"/>
  <c r="D24" i="174"/>
  <c r="C24" i="174"/>
  <c r="AB23" i="174" a="1"/>
  <c r="AB23" i="174"/>
  <c r="AA23" i="174"/>
  <c r="Z23" i="174"/>
  <c r="Y23" i="174"/>
  <c r="X23" i="174"/>
  <c r="W23" i="174"/>
  <c r="V23" i="174"/>
  <c r="U23" i="174"/>
  <c r="T23" i="174"/>
  <c r="S23" i="174"/>
  <c r="R23" i="174"/>
  <c r="Q23" i="174"/>
  <c r="P23" i="174"/>
  <c r="O23" i="174"/>
  <c r="N23" i="174"/>
  <c r="M23" i="174"/>
  <c r="L23" i="174"/>
  <c r="K23" i="174"/>
  <c r="J23" i="174"/>
  <c r="I23" i="174"/>
  <c r="H23" i="174"/>
  <c r="G23" i="174"/>
  <c r="F23" i="174"/>
  <c r="E23" i="174"/>
  <c r="D23" i="174"/>
  <c r="C23" i="174"/>
  <c r="AB22" i="174" a="1"/>
  <c r="AB22" i="174"/>
  <c r="AA22" i="174"/>
  <c r="Z22" i="174"/>
  <c r="Y22" i="174"/>
  <c r="X22" i="174"/>
  <c r="W22" i="174"/>
  <c r="V22" i="174"/>
  <c r="U22" i="174"/>
  <c r="T22" i="174"/>
  <c r="S22" i="174"/>
  <c r="R22" i="174"/>
  <c r="Q22" i="174"/>
  <c r="P22" i="174"/>
  <c r="O22" i="174"/>
  <c r="N22" i="174"/>
  <c r="M22" i="174"/>
  <c r="L22" i="174"/>
  <c r="K22" i="174"/>
  <c r="J22" i="174"/>
  <c r="I22" i="174"/>
  <c r="H22" i="174"/>
  <c r="G22" i="174"/>
  <c r="F22" i="174"/>
  <c r="E22" i="174"/>
  <c r="D22" i="174"/>
  <c r="C22" i="174"/>
  <c r="AB21" i="174" a="1"/>
  <c r="AB21" i="174"/>
  <c r="AA21" i="174"/>
  <c r="Z21" i="174"/>
  <c r="Y21" i="174"/>
  <c r="X21" i="174"/>
  <c r="W21" i="174"/>
  <c r="V21" i="174"/>
  <c r="U21" i="174"/>
  <c r="T21" i="174"/>
  <c r="S21" i="174"/>
  <c r="R21" i="174"/>
  <c r="Q21" i="174"/>
  <c r="P21" i="174"/>
  <c r="O21" i="174"/>
  <c r="N21" i="174"/>
  <c r="M21" i="174"/>
  <c r="L21" i="174"/>
  <c r="K21" i="174"/>
  <c r="J21" i="174"/>
  <c r="I21" i="174"/>
  <c r="H21" i="174"/>
  <c r="G21" i="174"/>
  <c r="F21" i="174"/>
  <c r="E21" i="174"/>
  <c r="D21" i="174"/>
  <c r="C21" i="174"/>
  <c r="AB20" i="174" a="1"/>
  <c r="AB20" i="174"/>
  <c r="AA20" i="174"/>
  <c r="Z20" i="174"/>
  <c r="Y20" i="174"/>
  <c r="X20" i="174"/>
  <c r="W20" i="174"/>
  <c r="V20" i="174"/>
  <c r="U20" i="174"/>
  <c r="T20" i="174"/>
  <c r="S20" i="174"/>
  <c r="R20" i="174"/>
  <c r="Q20" i="174"/>
  <c r="P20" i="174"/>
  <c r="O20" i="174"/>
  <c r="N20" i="174"/>
  <c r="M20" i="174"/>
  <c r="L20" i="174"/>
  <c r="K20" i="174"/>
  <c r="J20" i="174"/>
  <c r="I20" i="174"/>
  <c r="H20" i="174"/>
  <c r="G20" i="174"/>
  <c r="F20" i="174"/>
  <c r="E20" i="174"/>
  <c r="D20" i="174"/>
  <c r="C20" i="174"/>
  <c r="AB19" i="174" a="1"/>
  <c r="AB19" i="174"/>
  <c r="AA19" i="174"/>
  <c r="Z19" i="174"/>
  <c r="Y19" i="174"/>
  <c r="X19" i="174"/>
  <c r="W19" i="174"/>
  <c r="V19" i="174"/>
  <c r="U19" i="174"/>
  <c r="T19" i="174"/>
  <c r="S19" i="174"/>
  <c r="R19" i="174"/>
  <c r="Q19" i="174"/>
  <c r="P19" i="174"/>
  <c r="O19" i="174"/>
  <c r="N19" i="174"/>
  <c r="M19" i="174"/>
  <c r="L19" i="174"/>
  <c r="K19" i="174"/>
  <c r="J19" i="174"/>
  <c r="I19" i="174"/>
  <c r="H19" i="174"/>
  <c r="G19" i="174"/>
  <c r="F19" i="174"/>
  <c r="E19" i="174"/>
  <c r="D19" i="174"/>
  <c r="C19" i="174"/>
  <c r="AB18" i="174" a="1"/>
  <c r="AB18" i="174"/>
  <c r="AA18" i="174"/>
  <c r="Z18" i="174"/>
  <c r="Y18" i="174"/>
  <c r="X18" i="174"/>
  <c r="W18" i="174"/>
  <c r="V18" i="174"/>
  <c r="U18" i="174"/>
  <c r="T18" i="174"/>
  <c r="S18" i="174"/>
  <c r="R18" i="174"/>
  <c r="Q18" i="174"/>
  <c r="P18" i="174"/>
  <c r="O18" i="174"/>
  <c r="N18" i="174"/>
  <c r="M18" i="174"/>
  <c r="L18" i="174"/>
  <c r="K18" i="174"/>
  <c r="J18" i="174"/>
  <c r="I18" i="174"/>
  <c r="H18" i="174"/>
  <c r="G18" i="174"/>
  <c r="F18" i="174"/>
  <c r="E18" i="174"/>
  <c r="D18" i="174"/>
  <c r="C18" i="174"/>
  <c r="AB17" i="174" a="1"/>
  <c r="AB17" i="174"/>
  <c r="AA17" i="174"/>
  <c r="Z17" i="174"/>
  <c r="Y17" i="174"/>
  <c r="X17" i="174"/>
  <c r="W17" i="174"/>
  <c r="V17" i="174"/>
  <c r="U17" i="174"/>
  <c r="T17" i="174"/>
  <c r="S17" i="174"/>
  <c r="R17" i="174"/>
  <c r="Q17" i="174"/>
  <c r="P17" i="174"/>
  <c r="O17" i="174"/>
  <c r="N17" i="174"/>
  <c r="M17" i="174"/>
  <c r="L17" i="174"/>
  <c r="K17" i="174"/>
  <c r="J17" i="174"/>
  <c r="I17" i="174"/>
  <c r="H17" i="174"/>
  <c r="G17" i="174"/>
  <c r="F17" i="174"/>
  <c r="E17" i="174"/>
  <c r="D17" i="174"/>
  <c r="C17" i="174"/>
  <c r="AB16" i="174" a="1"/>
  <c r="AB16" i="174"/>
  <c r="AA16" i="174"/>
  <c r="Z16" i="174"/>
  <c r="Y16" i="174"/>
  <c r="X16" i="174"/>
  <c r="W16" i="174"/>
  <c r="V16" i="174"/>
  <c r="U16" i="174"/>
  <c r="T16" i="174"/>
  <c r="S16" i="174"/>
  <c r="R16" i="174"/>
  <c r="Q16" i="174"/>
  <c r="P16" i="174"/>
  <c r="O16" i="174"/>
  <c r="N16" i="174"/>
  <c r="M16" i="174"/>
  <c r="L16" i="174"/>
  <c r="K16" i="174"/>
  <c r="J16" i="174"/>
  <c r="I16" i="174"/>
  <c r="H16" i="174"/>
  <c r="G16" i="174"/>
  <c r="F16" i="174"/>
  <c r="E16" i="174"/>
  <c r="D16" i="174"/>
  <c r="C16" i="174"/>
  <c r="AB15" i="174" a="1"/>
  <c r="AB15" i="174"/>
  <c r="AA15" i="174"/>
  <c r="Z15" i="174"/>
  <c r="Y15" i="174"/>
  <c r="X15" i="174"/>
  <c r="W15" i="174"/>
  <c r="V15" i="174"/>
  <c r="U15" i="174"/>
  <c r="T15" i="174"/>
  <c r="S15" i="174"/>
  <c r="R15" i="174"/>
  <c r="Q15" i="174"/>
  <c r="P15" i="174"/>
  <c r="O15" i="174"/>
  <c r="N15" i="174"/>
  <c r="M15" i="174"/>
  <c r="L15" i="174"/>
  <c r="K15" i="174"/>
  <c r="J15" i="174"/>
  <c r="I15" i="174"/>
  <c r="H15" i="174"/>
  <c r="G15" i="174"/>
  <c r="F15" i="174"/>
  <c r="E15" i="174"/>
  <c r="D15" i="174"/>
  <c r="C15" i="174"/>
  <c r="AB14" i="174" a="1"/>
  <c r="AB14" i="174"/>
  <c r="AA14" i="174"/>
  <c r="Z14" i="174"/>
  <c r="Y14" i="174"/>
  <c r="X14" i="174"/>
  <c r="W14" i="174"/>
  <c r="V14" i="174"/>
  <c r="U14" i="174"/>
  <c r="T14" i="174"/>
  <c r="S14" i="174"/>
  <c r="R14" i="174"/>
  <c r="Q14" i="174"/>
  <c r="P14" i="174"/>
  <c r="O14" i="174"/>
  <c r="N14" i="174"/>
  <c r="M14" i="174"/>
  <c r="L14" i="174"/>
  <c r="K14" i="174"/>
  <c r="J14" i="174"/>
  <c r="I14" i="174"/>
  <c r="H14" i="174"/>
  <c r="G14" i="174"/>
  <c r="F14" i="174"/>
  <c r="E14" i="174"/>
  <c r="D14" i="174"/>
  <c r="C14" i="174"/>
  <c r="AB13" i="174" a="1"/>
  <c r="AB13" i="174"/>
  <c r="AA13" i="174"/>
  <c r="Z13" i="174"/>
  <c r="Y13" i="174"/>
  <c r="X13" i="174"/>
  <c r="W13" i="174"/>
  <c r="V13" i="174"/>
  <c r="U13" i="174"/>
  <c r="T13" i="174"/>
  <c r="S13" i="174"/>
  <c r="R13" i="174"/>
  <c r="Q13" i="174"/>
  <c r="P13" i="174"/>
  <c r="O13" i="174"/>
  <c r="N13" i="174"/>
  <c r="M13" i="174"/>
  <c r="L13" i="174"/>
  <c r="K13" i="174"/>
  <c r="J13" i="174"/>
  <c r="I13" i="174"/>
  <c r="H13" i="174"/>
  <c r="G13" i="174"/>
  <c r="F13" i="174"/>
  <c r="E13" i="174"/>
  <c r="D13" i="174"/>
  <c r="C13" i="174"/>
  <c r="AB12" i="174" a="1"/>
  <c r="AB12" i="174"/>
  <c r="AA12" i="174"/>
  <c r="Z12" i="174"/>
  <c r="Y12" i="174"/>
  <c r="X12" i="174"/>
  <c r="W12" i="174"/>
  <c r="V12" i="174"/>
  <c r="U12" i="174"/>
  <c r="T12" i="174"/>
  <c r="S12" i="174"/>
  <c r="R12" i="174"/>
  <c r="Q12" i="174"/>
  <c r="P12" i="174"/>
  <c r="O12" i="174"/>
  <c r="N12" i="174"/>
  <c r="M12" i="174"/>
  <c r="L12" i="174"/>
  <c r="K12" i="174"/>
  <c r="J12" i="174"/>
  <c r="I12" i="174"/>
  <c r="H12" i="174"/>
  <c r="G12" i="174"/>
  <c r="F12" i="174"/>
  <c r="E12" i="174"/>
  <c r="D12" i="174"/>
  <c r="C12" i="174"/>
  <c r="AB11" i="174" a="1"/>
  <c r="AB11" i="174"/>
  <c r="AA11" i="174"/>
  <c r="Z11" i="174"/>
  <c r="Y11" i="174"/>
  <c r="X11" i="174"/>
  <c r="W11" i="174"/>
  <c r="V11" i="174"/>
  <c r="U11" i="174"/>
  <c r="T11" i="174"/>
  <c r="S11" i="174"/>
  <c r="R11" i="174"/>
  <c r="Q11" i="174"/>
  <c r="P11" i="174"/>
  <c r="O11" i="174"/>
  <c r="N11" i="174"/>
  <c r="M11" i="174"/>
  <c r="L11" i="174"/>
  <c r="K11" i="174"/>
  <c r="J11" i="174"/>
  <c r="I11" i="174"/>
  <c r="H11" i="174"/>
  <c r="G11" i="174"/>
  <c r="F11" i="174"/>
  <c r="E11" i="174"/>
  <c r="D11" i="174"/>
  <c r="C11" i="174"/>
  <c r="AB10" i="174" a="1"/>
  <c r="AB10" i="174"/>
  <c r="AA10" i="174"/>
  <c r="Z10" i="174"/>
  <c r="Y10" i="174"/>
  <c r="X10" i="174"/>
  <c r="W10" i="174"/>
  <c r="V10" i="174"/>
  <c r="U10" i="174"/>
  <c r="T10" i="174"/>
  <c r="S10" i="174"/>
  <c r="R10" i="174"/>
  <c r="Q10" i="174"/>
  <c r="P10" i="174"/>
  <c r="O10" i="174"/>
  <c r="N10" i="174"/>
  <c r="M10" i="174"/>
  <c r="L10" i="174"/>
  <c r="K10" i="174"/>
  <c r="J10" i="174"/>
  <c r="I10" i="174"/>
  <c r="H10" i="174"/>
  <c r="G10" i="174"/>
  <c r="F10" i="174"/>
  <c r="E10" i="174"/>
  <c r="D10" i="174"/>
  <c r="C10" i="174"/>
  <c r="AB9" i="174" a="1"/>
  <c r="AB9" i="174"/>
  <c r="AA9" i="174"/>
  <c r="Z9" i="174"/>
  <c r="Y9" i="174"/>
  <c r="X9" i="174"/>
  <c r="W9" i="174"/>
  <c r="V9" i="174"/>
  <c r="U9" i="174"/>
  <c r="T9" i="174"/>
  <c r="S9" i="174"/>
  <c r="R9" i="174"/>
  <c r="Q9" i="174"/>
  <c r="P9" i="174"/>
  <c r="O9" i="174"/>
  <c r="N9" i="174"/>
  <c r="M9" i="174"/>
  <c r="L9" i="174"/>
  <c r="K9" i="174"/>
  <c r="J9" i="174"/>
  <c r="I9" i="174"/>
  <c r="H9" i="174"/>
  <c r="G9" i="174"/>
  <c r="F9" i="174"/>
  <c r="E9" i="174"/>
  <c r="D9" i="174"/>
  <c r="C9" i="174"/>
  <c r="AB8" i="174" a="1"/>
  <c r="AB8" i="174"/>
  <c r="AA8" i="174"/>
  <c r="Z8" i="174"/>
  <c r="Y8" i="174"/>
  <c r="X8" i="174"/>
  <c r="W8" i="174"/>
  <c r="V8" i="174"/>
  <c r="U8" i="174"/>
  <c r="T8" i="174"/>
  <c r="S8" i="174"/>
  <c r="R8" i="174"/>
  <c r="Q8" i="174"/>
  <c r="P8" i="174"/>
  <c r="O8" i="174"/>
  <c r="N8" i="174"/>
  <c r="M8" i="174"/>
  <c r="L8" i="174"/>
  <c r="K8" i="174"/>
  <c r="J8" i="174"/>
  <c r="I8" i="174"/>
  <c r="H8" i="174"/>
  <c r="G8" i="174"/>
  <c r="F8" i="174"/>
  <c r="E8" i="174"/>
  <c r="D8" i="174"/>
  <c r="C8" i="174"/>
  <c r="AB7" i="174" a="1"/>
  <c r="AB7" i="174"/>
  <c r="AA7" i="174"/>
  <c r="Z7" i="174"/>
  <c r="Y7" i="174"/>
  <c r="X7" i="174"/>
  <c r="W7" i="174"/>
  <c r="V7" i="174"/>
  <c r="U7" i="174"/>
  <c r="T7" i="174"/>
  <c r="S7" i="174"/>
  <c r="R7" i="174"/>
  <c r="Q7" i="174"/>
  <c r="P7" i="174"/>
  <c r="O7" i="174"/>
  <c r="N7" i="174"/>
  <c r="M7" i="174"/>
  <c r="L7" i="174"/>
  <c r="K7" i="174"/>
  <c r="J7" i="174"/>
  <c r="I7" i="174"/>
  <c r="H7" i="174"/>
  <c r="G7" i="174"/>
  <c r="F7" i="174"/>
  <c r="E7" i="174"/>
  <c r="D7" i="174"/>
  <c r="C7" i="174"/>
  <c r="AB6" i="174" a="1"/>
  <c r="AB6" i="174"/>
  <c r="AA6" i="174"/>
  <c r="Z6" i="174"/>
  <c r="Y6" i="174"/>
  <c r="X6" i="174"/>
  <c r="W6" i="174"/>
  <c r="V6" i="174"/>
  <c r="U6" i="174"/>
  <c r="T6" i="174"/>
  <c r="S6" i="174"/>
  <c r="R6" i="174"/>
  <c r="Q6" i="174"/>
  <c r="P6" i="174"/>
  <c r="O6" i="174"/>
  <c r="N6" i="174"/>
  <c r="M6" i="174"/>
  <c r="L6" i="174"/>
  <c r="K6" i="174"/>
  <c r="J6" i="174"/>
  <c r="I6" i="174"/>
  <c r="H6" i="174"/>
  <c r="G6" i="174"/>
  <c r="F6" i="174"/>
  <c r="E6" i="174"/>
  <c r="D6" i="174"/>
  <c r="C6" i="174"/>
  <c r="AB5" i="174" a="1"/>
  <c r="AB5" i="174"/>
  <c r="AA5" i="174"/>
  <c r="Z5" i="174"/>
  <c r="Y5" i="174"/>
  <c r="X5" i="174"/>
  <c r="W5" i="174"/>
  <c r="V5" i="174"/>
  <c r="U5" i="174"/>
  <c r="T5" i="174"/>
  <c r="S5" i="174"/>
  <c r="R5" i="174"/>
  <c r="Q5" i="174"/>
  <c r="P5" i="174"/>
  <c r="O5" i="174"/>
  <c r="N5" i="174"/>
  <c r="M5" i="174"/>
  <c r="L5" i="174"/>
  <c r="K5" i="174"/>
  <c r="J5" i="174"/>
  <c r="I5" i="174"/>
  <c r="H5" i="174"/>
  <c r="G5" i="174"/>
  <c r="F5" i="174"/>
  <c r="E5" i="174"/>
  <c r="D5" i="174"/>
  <c r="C5" i="174"/>
  <c r="AB4" i="174" a="1"/>
  <c r="AB4" i="174"/>
  <c r="AA4" i="174"/>
  <c r="Z4" i="174"/>
  <c r="Y4" i="174"/>
  <c r="X4" i="174"/>
  <c r="W4" i="174"/>
  <c r="V4" i="174"/>
  <c r="U4" i="174"/>
  <c r="T4" i="174"/>
  <c r="S4" i="174"/>
  <c r="R4" i="174"/>
  <c r="Q4" i="174"/>
  <c r="P4" i="174"/>
  <c r="O4" i="174"/>
  <c r="N4" i="174"/>
  <c r="M4" i="174"/>
  <c r="L4" i="174"/>
  <c r="K4" i="174"/>
  <c r="J4" i="174"/>
  <c r="I4" i="174"/>
  <c r="H4" i="174"/>
  <c r="G4" i="174"/>
  <c r="F4" i="174"/>
  <c r="E4" i="174"/>
  <c r="D4" i="174"/>
  <c r="C4" i="174"/>
  <c r="AB3" i="174" a="1"/>
  <c r="AB3" i="174"/>
  <c r="AA3" i="174"/>
  <c r="Z3" i="174"/>
  <c r="Y3" i="174"/>
  <c r="X3" i="174"/>
  <c r="W3" i="174"/>
  <c r="V3" i="174"/>
  <c r="U3" i="174"/>
  <c r="T3" i="174"/>
  <c r="S3" i="174"/>
  <c r="R3" i="174"/>
  <c r="Q3" i="174"/>
  <c r="P3" i="174"/>
  <c r="O3" i="174"/>
  <c r="N3" i="174"/>
  <c r="M3" i="174"/>
  <c r="L3" i="174"/>
  <c r="K3" i="174"/>
  <c r="J3" i="174"/>
  <c r="I3" i="174"/>
  <c r="H3" i="174"/>
  <c r="G3" i="174"/>
  <c r="F3" i="174"/>
  <c r="E3" i="174"/>
  <c r="D3" i="174"/>
  <c r="C3" i="174"/>
  <c r="AB2" i="174" a="1"/>
  <c r="AB2" i="174"/>
  <c r="AA2" i="174"/>
  <c r="Z2" i="174"/>
  <c r="Y2" i="174"/>
  <c r="X2" i="174"/>
  <c r="W2" i="174"/>
  <c r="V2" i="174"/>
  <c r="U2" i="174"/>
  <c r="T2" i="174"/>
  <c r="S2" i="174"/>
  <c r="R2" i="174"/>
  <c r="Q2" i="174"/>
  <c r="P2" i="174"/>
  <c r="O2" i="174"/>
  <c r="N2" i="174"/>
  <c r="M2" i="174"/>
  <c r="L2" i="174"/>
  <c r="K2" i="174"/>
  <c r="J2" i="174"/>
  <c r="I2" i="174"/>
  <c r="H2" i="174"/>
  <c r="G2" i="174"/>
  <c r="F2" i="174"/>
  <c r="E2" i="174"/>
  <c r="D2" i="174"/>
  <c r="C2" i="174"/>
  <c r="AA105" i="162"/>
  <c r="AA104" i="162"/>
  <c r="AA103" i="162"/>
  <c r="AA101" i="162"/>
  <c r="Z101" i="162"/>
  <c r="Y101" i="162"/>
  <c r="X101" i="162"/>
  <c r="W101" i="162"/>
  <c r="V101" i="162"/>
  <c r="U101" i="162"/>
  <c r="T101" i="162"/>
  <c r="S101" i="162"/>
  <c r="R101" i="162"/>
  <c r="Q101" i="162"/>
  <c r="P101" i="162"/>
  <c r="O101" i="162"/>
  <c r="N101" i="162"/>
  <c r="M101" i="162"/>
  <c r="L101" i="162"/>
  <c r="K101" i="162"/>
  <c r="J101" i="162"/>
  <c r="I101" i="162"/>
  <c r="H101" i="162"/>
  <c r="G101" i="162"/>
  <c r="F101" i="162"/>
  <c r="E101" i="162"/>
  <c r="D101" i="162"/>
  <c r="C101" i="162"/>
  <c r="AB45" i="162" a="1"/>
  <c r="AB45" i="162"/>
  <c r="AB44" i="162" a="1"/>
  <c r="AB44" i="162"/>
  <c r="AB43" i="162" a="1"/>
  <c r="AB43" i="162"/>
  <c r="AB42" i="162" a="1"/>
  <c r="AB42" i="162"/>
  <c r="AB41" i="162" a="1"/>
  <c r="AB41" i="162"/>
  <c r="AB40" i="162" a="1"/>
  <c r="AB40" i="162"/>
  <c r="AB39" i="162" a="1"/>
  <c r="AB39" i="162"/>
  <c r="AB38" i="162" a="1"/>
  <c r="AB38" i="162"/>
  <c r="AB37" i="162" a="1"/>
  <c r="AB37" i="162"/>
  <c r="Z37" i="162"/>
  <c r="Y37" i="162"/>
  <c r="X37" i="162"/>
  <c r="W37" i="162"/>
  <c r="V37" i="162"/>
  <c r="U37" i="162"/>
  <c r="T37" i="162"/>
  <c r="S37" i="162"/>
  <c r="R37" i="162"/>
  <c r="Q37" i="162"/>
  <c r="P37" i="162"/>
  <c r="O37" i="162"/>
  <c r="N37" i="162"/>
  <c r="M37" i="162"/>
  <c r="L37" i="162"/>
  <c r="K37" i="162"/>
  <c r="J37" i="162"/>
  <c r="I37" i="162"/>
  <c r="H37" i="162"/>
  <c r="G37" i="162"/>
  <c r="F37" i="162"/>
  <c r="E37" i="162"/>
  <c r="D37" i="162"/>
  <c r="C37" i="162"/>
  <c r="AB36" i="162" a="1"/>
  <c r="AB36" i="162"/>
  <c r="Z36" i="162"/>
  <c r="Y36" i="162"/>
  <c r="X36" i="162"/>
  <c r="W36" i="162"/>
  <c r="V36" i="162"/>
  <c r="U36" i="162"/>
  <c r="T36" i="162"/>
  <c r="S36" i="162"/>
  <c r="R36" i="162"/>
  <c r="Q36" i="162"/>
  <c r="P36" i="162"/>
  <c r="O36" i="162"/>
  <c r="N36" i="162"/>
  <c r="M36" i="162"/>
  <c r="L36" i="162"/>
  <c r="K36" i="162"/>
  <c r="J36" i="162"/>
  <c r="I36" i="162"/>
  <c r="H36" i="162"/>
  <c r="G36" i="162"/>
  <c r="F36" i="162"/>
  <c r="E36" i="162"/>
  <c r="D36" i="162"/>
  <c r="C36" i="162"/>
  <c r="AB35" i="162" a="1"/>
  <c r="AB35" i="162"/>
  <c r="Z35" i="162"/>
  <c r="Y35" i="162"/>
  <c r="X35" i="162"/>
  <c r="W35" i="162"/>
  <c r="V35" i="162"/>
  <c r="U35" i="162"/>
  <c r="T35" i="162"/>
  <c r="S35" i="162"/>
  <c r="R35" i="162"/>
  <c r="Q35" i="162"/>
  <c r="P35" i="162"/>
  <c r="O35" i="162"/>
  <c r="N35" i="162"/>
  <c r="M35" i="162"/>
  <c r="L35" i="162"/>
  <c r="K35" i="162"/>
  <c r="J35" i="162"/>
  <c r="I35" i="162"/>
  <c r="H35" i="162"/>
  <c r="G35" i="162"/>
  <c r="F35" i="162"/>
  <c r="E35" i="162"/>
  <c r="D35" i="162"/>
  <c r="C35" i="162"/>
  <c r="AB34" i="162" a="1"/>
  <c r="AB34" i="162"/>
  <c r="Z34" i="162"/>
  <c r="Y34" i="162"/>
  <c r="X34" i="162"/>
  <c r="W34" i="162"/>
  <c r="V34" i="162"/>
  <c r="U34" i="162"/>
  <c r="T34" i="162"/>
  <c r="S34" i="162"/>
  <c r="R34" i="162"/>
  <c r="Q34" i="162"/>
  <c r="P34" i="162"/>
  <c r="O34" i="162"/>
  <c r="N34" i="162"/>
  <c r="M34" i="162"/>
  <c r="L34" i="162"/>
  <c r="K34" i="162"/>
  <c r="J34" i="162"/>
  <c r="I34" i="162"/>
  <c r="H34" i="162"/>
  <c r="G34" i="162"/>
  <c r="F34" i="162"/>
  <c r="E34" i="162"/>
  <c r="D34" i="162"/>
  <c r="C34" i="162"/>
  <c r="AB33" i="162" a="1"/>
  <c r="AB33" i="162"/>
  <c r="Z33" i="162"/>
  <c r="Y33" i="162"/>
  <c r="X33" i="162"/>
  <c r="W33" i="162"/>
  <c r="V33" i="162"/>
  <c r="U33" i="162"/>
  <c r="T33" i="162"/>
  <c r="S33" i="162"/>
  <c r="R33" i="162"/>
  <c r="Q33" i="162"/>
  <c r="P33" i="162"/>
  <c r="O33" i="162"/>
  <c r="N33" i="162"/>
  <c r="M33" i="162"/>
  <c r="L33" i="162"/>
  <c r="K33" i="162"/>
  <c r="J33" i="162"/>
  <c r="I33" i="162"/>
  <c r="H33" i="162"/>
  <c r="G33" i="162"/>
  <c r="F33" i="162"/>
  <c r="E33" i="162"/>
  <c r="D33" i="162"/>
  <c r="C33" i="162"/>
  <c r="AB32" i="162" a="1"/>
  <c r="AB32" i="162"/>
  <c r="Z32" i="162"/>
  <c r="Y32" i="162"/>
  <c r="X32" i="162"/>
  <c r="W32" i="162"/>
  <c r="V32" i="162"/>
  <c r="U32" i="162"/>
  <c r="T32" i="162"/>
  <c r="S32" i="162"/>
  <c r="R32" i="162"/>
  <c r="Q32" i="162"/>
  <c r="P32" i="162"/>
  <c r="O32" i="162"/>
  <c r="N32" i="162"/>
  <c r="M32" i="162"/>
  <c r="L32" i="162"/>
  <c r="K32" i="162"/>
  <c r="J32" i="162"/>
  <c r="I32" i="162"/>
  <c r="H32" i="162"/>
  <c r="G32" i="162"/>
  <c r="F32" i="162"/>
  <c r="E32" i="162"/>
  <c r="D32" i="162"/>
  <c r="C32" i="162"/>
  <c r="AB31" i="162" a="1"/>
  <c r="AB31" i="162"/>
  <c r="Z31" i="162"/>
  <c r="Y31" i="162"/>
  <c r="X31" i="162"/>
  <c r="W31" i="162"/>
  <c r="V31" i="162"/>
  <c r="U31" i="162"/>
  <c r="T31" i="162"/>
  <c r="S31" i="162"/>
  <c r="R31" i="162"/>
  <c r="Q31" i="162"/>
  <c r="P31" i="162"/>
  <c r="O31" i="162"/>
  <c r="N31" i="162"/>
  <c r="M31" i="162"/>
  <c r="L31" i="162"/>
  <c r="K31" i="162"/>
  <c r="J31" i="162"/>
  <c r="I31" i="162"/>
  <c r="H31" i="162"/>
  <c r="G31" i="162"/>
  <c r="F31" i="162"/>
  <c r="E31" i="162"/>
  <c r="D31" i="162"/>
  <c r="C31" i="162"/>
  <c r="AB30" i="162" a="1"/>
  <c r="AB30" i="162"/>
  <c r="Z30" i="162"/>
  <c r="Y30" i="162"/>
  <c r="X30" i="162"/>
  <c r="W30" i="162"/>
  <c r="V30" i="162"/>
  <c r="U30" i="162"/>
  <c r="T30" i="162"/>
  <c r="S30" i="162"/>
  <c r="R30" i="162"/>
  <c r="Q30" i="162"/>
  <c r="P30" i="162"/>
  <c r="O30" i="162"/>
  <c r="N30" i="162"/>
  <c r="M30" i="162"/>
  <c r="L30" i="162"/>
  <c r="K30" i="162"/>
  <c r="J30" i="162"/>
  <c r="I30" i="162"/>
  <c r="H30" i="162"/>
  <c r="G30" i="162"/>
  <c r="F30" i="162"/>
  <c r="E30" i="162"/>
  <c r="D30" i="162"/>
  <c r="C30" i="162"/>
  <c r="AB29" i="162" a="1"/>
  <c r="AB29" i="162"/>
  <c r="AA29" i="162"/>
  <c r="Z29" i="162"/>
  <c r="Y29" i="162"/>
  <c r="X29" i="162"/>
  <c r="W29" i="162"/>
  <c r="V29" i="162"/>
  <c r="U29" i="162"/>
  <c r="T29" i="162"/>
  <c r="S29" i="162"/>
  <c r="R29" i="162"/>
  <c r="Q29" i="162"/>
  <c r="P29" i="162"/>
  <c r="O29" i="162"/>
  <c r="N29" i="162"/>
  <c r="M29" i="162"/>
  <c r="L29" i="162"/>
  <c r="K29" i="162"/>
  <c r="J29" i="162"/>
  <c r="I29" i="162"/>
  <c r="H29" i="162"/>
  <c r="G29" i="162"/>
  <c r="F29" i="162"/>
  <c r="E29" i="162"/>
  <c r="D29" i="162"/>
  <c r="C29" i="162"/>
  <c r="AB28" i="162" a="1"/>
  <c r="AB28" i="162"/>
  <c r="AA28" i="162"/>
  <c r="Z28" i="162"/>
  <c r="Y28" i="162"/>
  <c r="X28" i="162"/>
  <c r="W28" i="162"/>
  <c r="V28" i="162"/>
  <c r="U28" i="162"/>
  <c r="T28" i="162"/>
  <c r="S28" i="162"/>
  <c r="R28" i="162"/>
  <c r="Q28" i="162"/>
  <c r="P28" i="162"/>
  <c r="O28" i="162"/>
  <c r="N28" i="162"/>
  <c r="M28" i="162"/>
  <c r="L28" i="162"/>
  <c r="K28" i="162"/>
  <c r="J28" i="162"/>
  <c r="I28" i="162"/>
  <c r="H28" i="162"/>
  <c r="G28" i="162"/>
  <c r="F28" i="162"/>
  <c r="E28" i="162"/>
  <c r="D28" i="162"/>
  <c r="C28" i="162"/>
  <c r="AB27" i="162" a="1"/>
  <c r="AB27" i="162"/>
  <c r="AA27" i="162"/>
  <c r="Z27" i="162"/>
  <c r="Y27" i="162"/>
  <c r="X27" i="162"/>
  <c r="W27" i="162"/>
  <c r="V27" i="162"/>
  <c r="U27" i="162"/>
  <c r="T27" i="162"/>
  <c r="S27" i="162"/>
  <c r="R27" i="162"/>
  <c r="Q27" i="162"/>
  <c r="P27" i="162"/>
  <c r="O27" i="162"/>
  <c r="N27" i="162"/>
  <c r="M27" i="162"/>
  <c r="L27" i="162"/>
  <c r="K27" i="162"/>
  <c r="J27" i="162"/>
  <c r="I27" i="162"/>
  <c r="H27" i="162"/>
  <c r="G27" i="162"/>
  <c r="F27" i="162"/>
  <c r="E27" i="162"/>
  <c r="D27" i="162"/>
  <c r="C27" i="162"/>
  <c r="AB26" i="162" a="1"/>
  <c r="AB26" i="162"/>
  <c r="AA26" i="162"/>
  <c r="Z26" i="162"/>
  <c r="Y26" i="162"/>
  <c r="X26" i="162"/>
  <c r="W26" i="162"/>
  <c r="V26" i="162"/>
  <c r="U26" i="162"/>
  <c r="T26" i="162"/>
  <c r="S26" i="162"/>
  <c r="R26" i="162"/>
  <c r="Q26" i="162"/>
  <c r="P26" i="162"/>
  <c r="O26" i="162"/>
  <c r="N26" i="162"/>
  <c r="M26" i="162"/>
  <c r="L26" i="162"/>
  <c r="K26" i="162"/>
  <c r="J26" i="162"/>
  <c r="I26" i="162"/>
  <c r="H26" i="162"/>
  <c r="G26" i="162"/>
  <c r="F26" i="162"/>
  <c r="E26" i="162"/>
  <c r="D26" i="162"/>
  <c r="C26" i="162"/>
  <c r="AB25" i="162" a="1"/>
  <c r="AB25" i="162"/>
  <c r="Z25" i="162"/>
  <c r="Y25" i="162"/>
  <c r="X25" i="162"/>
  <c r="W25" i="162"/>
  <c r="V25" i="162"/>
  <c r="U25" i="162"/>
  <c r="T25" i="162"/>
  <c r="S25" i="162"/>
  <c r="R25" i="162"/>
  <c r="Q25" i="162"/>
  <c r="P25" i="162"/>
  <c r="O25" i="162"/>
  <c r="N25" i="162"/>
  <c r="M25" i="162"/>
  <c r="L25" i="162"/>
  <c r="K25" i="162"/>
  <c r="J25" i="162"/>
  <c r="I25" i="162"/>
  <c r="H25" i="162"/>
  <c r="G25" i="162"/>
  <c r="F25" i="162"/>
  <c r="E25" i="162"/>
  <c r="D25" i="162"/>
  <c r="C25" i="162"/>
  <c r="AB24" i="162" a="1"/>
  <c r="AB24" i="162"/>
  <c r="AA24" i="162"/>
  <c r="Z24" i="162"/>
  <c r="Y24" i="162"/>
  <c r="X24" i="162"/>
  <c r="W24" i="162"/>
  <c r="V24" i="162"/>
  <c r="U24" i="162"/>
  <c r="T24" i="162"/>
  <c r="S24" i="162"/>
  <c r="R24" i="162"/>
  <c r="Q24" i="162"/>
  <c r="P24" i="162"/>
  <c r="O24" i="162"/>
  <c r="N24" i="162"/>
  <c r="M24" i="162"/>
  <c r="L24" i="162"/>
  <c r="K24" i="162"/>
  <c r="J24" i="162"/>
  <c r="I24" i="162"/>
  <c r="H24" i="162"/>
  <c r="G24" i="162"/>
  <c r="F24" i="162"/>
  <c r="E24" i="162"/>
  <c r="D24" i="162"/>
  <c r="C24" i="162"/>
  <c r="AB23" i="162" a="1"/>
  <c r="AB23" i="162"/>
  <c r="AA23" i="162"/>
  <c r="Z23" i="162"/>
  <c r="Y23" i="162"/>
  <c r="X23" i="162"/>
  <c r="W23" i="162"/>
  <c r="V23" i="162"/>
  <c r="U23" i="162"/>
  <c r="T23" i="162"/>
  <c r="S23" i="162"/>
  <c r="R23" i="162"/>
  <c r="Q23" i="162"/>
  <c r="P23" i="162"/>
  <c r="O23" i="162"/>
  <c r="N23" i="162"/>
  <c r="M23" i="162"/>
  <c r="L23" i="162"/>
  <c r="K23" i="162"/>
  <c r="J23" i="162"/>
  <c r="I23" i="162"/>
  <c r="H23" i="162"/>
  <c r="G23" i="162"/>
  <c r="F23" i="162"/>
  <c r="E23" i="162"/>
  <c r="D23" i="162"/>
  <c r="C23" i="162"/>
  <c r="AB22" i="162" a="1"/>
  <c r="AB22" i="162"/>
  <c r="AA22" i="162"/>
  <c r="Z22" i="162"/>
  <c r="Y22" i="162"/>
  <c r="X22" i="162"/>
  <c r="W22" i="162"/>
  <c r="V22" i="162"/>
  <c r="U22" i="162"/>
  <c r="T22" i="162"/>
  <c r="S22" i="162"/>
  <c r="R22" i="162"/>
  <c r="Q22" i="162"/>
  <c r="P22" i="162"/>
  <c r="O22" i="162"/>
  <c r="N22" i="162"/>
  <c r="M22" i="162"/>
  <c r="L22" i="162"/>
  <c r="K22" i="162"/>
  <c r="J22" i="162"/>
  <c r="I22" i="162"/>
  <c r="H22" i="162"/>
  <c r="G22" i="162"/>
  <c r="F22" i="162"/>
  <c r="E22" i="162"/>
  <c r="D22" i="162"/>
  <c r="C22" i="162"/>
  <c r="AB21" i="162" a="1"/>
  <c r="AB21" i="162"/>
  <c r="AA21" i="162"/>
  <c r="Z21" i="162"/>
  <c r="Y21" i="162"/>
  <c r="X21" i="162"/>
  <c r="W21" i="162"/>
  <c r="V21" i="162"/>
  <c r="U21" i="162"/>
  <c r="T21" i="162"/>
  <c r="S21" i="162"/>
  <c r="R21" i="162"/>
  <c r="Q21" i="162"/>
  <c r="P21" i="162"/>
  <c r="O21" i="162"/>
  <c r="N21" i="162"/>
  <c r="M21" i="162"/>
  <c r="L21" i="162"/>
  <c r="K21" i="162"/>
  <c r="J21" i="162"/>
  <c r="I21" i="162"/>
  <c r="H21" i="162"/>
  <c r="G21" i="162"/>
  <c r="F21" i="162"/>
  <c r="E21" i="162"/>
  <c r="D21" i="162"/>
  <c r="C21" i="162"/>
  <c r="AB20" i="162" a="1"/>
  <c r="AB20" i="162"/>
  <c r="AA20" i="162"/>
  <c r="Z20" i="162"/>
  <c r="Y20" i="162"/>
  <c r="X20" i="162"/>
  <c r="W20" i="162"/>
  <c r="V20" i="162"/>
  <c r="U20" i="162"/>
  <c r="T20" i="162"/>
  <c r="S20" i="162"/>
  <c r="R20" i="162"/>
  <c r="Q20" i="162"/>
  <c r="P20" i="162"/>
  <c r="O20" i="162"/>
  <c r="N20" i="162"/>
  <c r="M20" i="162"/>
  <c r="L20" i="162"/>
  <c r="K20" i="162"/>
  <c r="J20" i="162"/>
  <c r="I20" i="162"/>
  <c r="H20" i="162"/>
  <c r="G20" i="162"/>
  <c r="F20" i="162"/>
  <c r="E20" i="162"/>
  <c r="D20" i="162"/>
  <c r="C20" i="162"/>
  <c r="AB19" i="162" a="1"/>
  <c r="AB19" i="162"/>
  <c r="AA19" i="162"/>
  <c r="Z19" i="162"/>
  <c r="Y19" i="162"/>
  <c r="X19" i="162"/>
  <c r="W19" i="162"/>
  <c r="V19" i="162"/>
  <c r="U19" i="162"/>
  <c r="T19" i="162"/>
  <c r="S19" i="162"/>
  <c r="R19" i="162"/>
  <c r="Q19" i="162"/>
  <c r="P19" i="162"/>
  <c r="O19" i="162"/>
  <c r="N19" i="162"/>
  <c r="M19" i="162"/>
  <c r="L19" i="162"/>
  <c r="K19" i="162"/>
  <c r="J19" i="162"/>
  <c r="I19" i="162"/>
  <c r="H19" i="162"/>
  <c r="G19" i="162"/>
  <c r="F19" i="162"/>
  <c r="E19" i="162"/>
  <c r="D19" i="162"/>
  <c r="C19" i="162"/>
  <c r="AB18" i="162" a="1"/>
  <c r="AB18" i="162"/>
  <c r="AA18" i="162"/>
  <c r="Z18" i="162"/>
  <c r="Y18" i="162"/>
  <c r="X18" i="162"/>
  <c r="W18" i="162"/>
  <c r="V18" i="162"/>
  <c r="U18" i="162"/>
  <c r="T18" i="162"/>
  <c r="S18" i="162"/>
  <c r="R18" i="162"/>
  <c r="Q18" i="162"/>
  <c r="P18" i="162"/>
  <c r="O18" i="162"/>
  <c r="N18" i="162"/>
  <c r="M18" i="162"/>
  <c r="L18" i="162"/>
  <c r="K18" i="162"/>
  <c r="J18" i="162"/>
  <c r="I18" i="162"/>
  <c r="H18" i="162"/>
  <c r="G18" i="162"/>
  <c r="F18" i="162"/>
  <c r="E18" i="162"/>
  <c r="D18" i="162"/>
  <c r="C18" i="162"/>
  <c r="AB17" i="162" a="1"/>
  <c r="AB17" i="162"/>
  <c r="AA17" i="162"/>
  <c r="Z17" i="162"/>
  <c r="Y17" i="162"/>
  <c r="X17" i="162"/>
  <c r="W17" i="162"/>
  <c r="V17" i="162"/>
  <c r="U17" i="162"/>
  <c r="T17" i="162"/>
  <c r="S17" i="162"/>
  <c r="R17" i="162"/>
  <c r="Q17" i="162"/>
  <c r="P17" i="162"/>
  <c r="O17" i="162"/>
  <c r="N17" i="162"/>
  <c r="M17" i="162"/>
  <c r="L17" i="162"/>
  <c r="K17" i="162"/>
  <c r="J17" i="162"/>
  <c r="I17" i="162"/>
  <c r="H17" i="162"/>
  <c r="G17" i="162"/>
  <c r="F17" i="162"/>
  <c r="E17" i="162"/>
  <c r="D17" i="162"/>
  <c r="C17" i="162"/>
  <c r="AB16" i="162" a="1"/>
  <c r="AB16" i="162"/>
  <c r="AA16" i="162"/>
  <c r="Z16" i="162"/>
  <c r="Y16" i="162"/>
  <c r="X16" i="162"/>
  <c r="W16" i="162"/>
  <c r="V16" i="162"/>
  <c r="U16" i="162"/>
  <c r="T16" i="162"/>
  <c r="S16" i="162"/>
  <c r="R16" i="162"/>
  <c r="Q16" i="162"/>
  <c r="P16" i="162"/>
  <c r="O16" i="162"/>
  <c r="N16" i="162"/>
  <c r="M16" i="162"/>
  <c r="L16" i="162"/>
  <c r="K16" i="162"/>
  <c r="J16" i="162"/>
  <c r="I16" i="162"/>
  <c r="H16" i="162"/>
  <c r="G16" i="162"/>
  <c r="F16" i="162"/>
  <c r="E16" i="162"/>
  <c r="D16" i="162"/>
  <c r="C16" i="162"/>
  <c r="AB15" i="162" a="1"/>
  <c r="AB15" i="162"/>
  <c r="AA15" i="162"/>
  <c r="Z15" i="162"/>
  <c r="Y15" i="162"/>
  <c r="X15" i="162"/>
  <c r="W15" i="162"/>
  <c r="V15" i="162"/>
  <c r="U15" i="162"/>
  <c r="T15" i="162"/>
  <c r="S15" i="162"/>
  <c r="R15" i="162"/>
  <c r="Q15" i="162"/>
  <c r="P15" i="162"/>
  <c r="O15" i="162"/>
  <c r="N15" i="162"/>
  <c r="M15" i="162"/>
  <c r="L15" i="162"/>
  <c r="K15" i="162"/>
  <c r="J15" i="162"/>
  <c r="I15" i="162"/>
  <c r="H15" i="162"/>
  <c r="G15" i="162"/>
  <c r="F15" i="162"/>
  <c r="E15" i="162"/>
  <c r="D15" i="162"/>
  <c r="C15" i="162"/>
  <c r="AB14" i="162" a="1"/>
  <c r="AB14" i="162"/>
  <c r="AA14" i="162"/>
  <c r="Z14" i="162"/>
  <c r="Y14" i="162"/>
  <c r="X14" i="162"/>
  <c r="W14" i="162"/>
  <c r="V14" i="162"/>
  <c r="U14" i="162"/>
  <c r="T14" i="162"/>
  <c r="S14" i="162"/>
  <c r="R14" i="162"/>
  <c r="Q14" i="162"/>
  <c r="P14" i="162"/>
  <c r="O14" i="162"/>
  <c r="N14" i="162"/>
  <c r="M14" i="162"/>
  <c r="L14" i="162"/>
  <c r="K14" i="162"/>
  <c r="J14" i="162"/>
  <c r="I14" i="162"/>
  <c r="H14" i="162"/>
  <c r="G14" i="162"/>
  <c r="F14" i="162"/>
  <c r="E14" i="162"/>
  <c r="D14" i="162"/>
  <c r="C14" i="162"/>
  <c r="AB13" i="162" a="1"/>
  <c r="AB13" i="162"/>
  <c r="AA13" i="162"/>
  <c r="Z13" i="162"/>
  <c r="Y13" i="162"/>
  <c r="X13" i="162"/>
  <c r="W13" i="162"/>
  <c r="V13" i="162"/>
  <c r="U13" i="162"/>
  <c r="T13" i="162"/>
  <c r="S13" i="162"/>
  <c r="R13" i="162"/>
  <c r="Q13" i="162"/>
  <c r="P13" i="162"/>
  <c r="O13" i="162"/>
  <c r="N13" i="162"/>
  <c r="M13" i="162"/>
  <c r="L13" i="162"/>
  <c r="K13" i="162"/>
  <c r="J13" i="162"/>
  <c r="I13" i="162"/>
  <c r="H13" i="162"/>
  <c r="G13" i="162"/>
  <c r="F13" i="162"/>
  <c r="E13" i="162"/>
  <c r="D13" i="162"/>
  <c r="C13" i="162"/>
  <c r="AB12" i="162" a="1"/>
  <c r="AB12" i="162"/>
  <c r="AA12" i="162"/>
  <c r="Z12" i="162"/>
  <c r="Y12" i="162"/>
  <c r="X12" i="162"/>
  <c r="W12" i="162"/>
  <c r="V12" i="162"/>
  <c r="U12" i="162"/>
  <c r="T12" i="162"/>
  <c r="S12" i="162"/>
  <c r="R12" i="162"/>
  <c r="Q12" i="162"/>
  <c r="P12" i="162"/>
  <c r="O12" i="162"/>
  <c r="N12" i="162"/>
  <c r="M12" i="162"/>
  <c r="L12" i="162"/>
  <c r="K12" i="162"/>
  <c r="J12" i="162"/>
  <c r="I12" i="162"/>
  <c r="H12" i="162"/>
  <c r="G12" i="162"/>
  <c r="F12" i="162"/>
  <c r="E12" i="162"/>
  <c r="D12" i="162"/>
  <c r="C12" i="162"/>
  <c r="AB11" i="162" a="1"/>
  <c r="AB11" i="162"/>
  <c r="AA11" i="162"/>
  <c r="Z11" i="162"/>
  <c r="Y11" i="162"/>
  <c r="X11" i="162"/>
  <c r="W11" i="162"/>
  <c r="V11" i="162"/>
  <c r="U11" i="162"/>
  <c r="T11" i="162"/>
  <c r="S11" i="162"/>
  <c r="R11" i="162"/>
  <c r="Q11" i="162"/>
  <c r="P11" i="162"/>
  <c r="O11" i="162"/>
  <c r="N11" i="162"/>
  <c r="M11" i="162"/>
  <c r="L11" i="162"/>
  <c r="K11" i="162"/>
  <c r="J11" i="162"/>
  <c r="I11" i="162"/>
  <c r="H11" i="162"/>
  <c r="G11" i="162"/>
  <c r="F11" i="162"/>
  <c r="E11" i="162"/>
  <c r="D11" i="162"/>
  <c r="C11" i="162"/>
  <c r="AB10" i="162" a="1"/>
  <c r="AB10" i="162"/>
  <c r="AA10" i="162"/>
  <c r="Z10" i="162"/>
  <c r="Y10" i="162"/>
  <c r="X10" i="162"/>
  <c r="W10" i="162"/>
  <c r="V10" i="162"/>
  <c r="U10" i="162"/>
  <c r="T10" i="162"/>
  <c r="S10" i="162"/>
  <c r="R10" i="162"/>
  <c r="Q10" i="162"/>
  <c r="P10" i="162"/>
  <c r="O10" i="162"/>
  <c r="N10" i="162"/>
  <c r="M10" i="162"/>
  <c r="L10" i="162"/>
  <c r="K10" i="162"/>
  <c r="J10" i="162"/>
  <c r="I10" i="162"/>
  <c r="H10" i="162"/>
  <c r="G10" i="162"/>
  <c r="F10" i="162"/>
  <c r="E10" i="162"/>
  <c r="D10" i="162"/>
  <c r="C10" i="162"/>
  <c r="AB9" i="162" a="1"/>
  <c r="AB9" i="162"/>
  <c r="AA9" i="162"/>
  <c r="Z9" i="162"/>
  <c r="Y9" i="162"/>
  <c r="X9" i="162"/>
  <c r="W9" i="162"/>
  <c r="V9" i="162"/>
  <c r="U9" i="162"/>
  <c r="T9" i="162"/>
  <c r="S9" i="162"/>
  <c r="R9" i="162"/>
  <c r="Q9" i="162"/>
  <c r="P9" i="162"/>
  <c r="O9" i="162"/>
  <c r="N9" i="162"/>
  <c r="M9" i="162"/>
  <c r="L9" i="162"/>
  <c r="K9" i="162"/>
  <c r="J9" i="162"/>
  <c r="I9" i="162"/>
  <c r="H9" i="162"/>
  <c r="G9" i="162"/>
  <c r="F9" i="162"/>
  <c r="E9" i="162"/>
  <c r="D9" i="162"/>
  <c r="C9" i="162"/>
  <c r="AB8" i="162" a="1"/>
  <c r="AB8" i="162"/>
  <c r="AA8" i="162"/>
  <c r="Z8" i="162"/>
  <c r="Y8" i="162"/>
  <c r="X8" i="162"/>
  <c r="W8" i="162"/>
  <c r="V8" i="162"/>
  <c r="U8" i="162"/>
  <c r="T8" i="162"/>
  <c r="S8" i="162"/>
  <c r="R8" i="162"/>
  <c r="Q8" i="162"/>
  <c r="P8" i="162"/>
  <c r="O8" i="162"/>
  <c r="N8" i="162"/>
  <c r="M8" i="162"/>
  <c r="L8" i="162"/>
  <c r="K8" i="162"/>
  <c r="J8" i="162"/>
  <c r="I8" i="162"/>
  <c r="H8" i="162"/>
  <c r="G8" i="162"/>
  <c r="F8" i="162"/>
  <c r="E8" i="162"/>
  <c r="D8" i="162"/>
  <c r="C8" i="162"/>
  <c r="AB7" i="162" a="1"/>
  <c r="AB7" i="162"/>
  <c r="AA7" i="162"/>
  <c r="Z7" i="162"/>
  <c r="Y7" i="162"/>
  <c r="X7" i="162"/>
  <c r="W7" i="162"/>
  <c r="V7" i="162"/>
  <c r="U7" i="162"/>
  <c r="T7" i="162"/>
  <c r="S7" i="162"/>
  <c r="R7" i="162"/>
  <c r="Q7" i="162"/>
  <c r="P7" i="162"/>
  <c r="O7" i="162"/>
  <c r="N7" i="162"/>
  <c r="M7" i="162"/>
  <c r="L7" i="162"/>
  <c r="K7" i="162"/>
  <c r="J7" i="162"/>
  <c r="I7" i="162"/>
  <c r="H7" i="162"/>
  <c r="G7" i="162"/>
  <c r="F7" i="162"/>
  <c r="E7" i="162"/>
  <c r="D7" i="162"/>
  <c r="C7" i="162"/>
  <c r="AB6" i="162" a="1"/>
  <c r="AB6" i="162"/>
  <c r="AA6" i="162"/>
  <c r="Z6" i="162"/>
  <c r="Y6" i="162"/>
  <c r="X6" i="162"/>
  <c r="W6" i="162"/>
  <c r="V6" i="162"/>
  <c r="U6" i="162"/>
  <c r="T6" i="162"/>
  <c r="S6" i="162"/>
  <c r="R6" i="162"/>
  <c r="Q6" i="162"/>
  <c r="P6" i="162"/>
  <c r="O6" i="162"/>
  <c r="N6" i="162"/>
  <c r="M6" i="162"/>
  <c r="L6" i="162"/>
  <c r="K6" i="162"/>
  <c r="J6" i="162"/>
  <c r="I6" i="162"/>
  <c r="H6" i="162"/>
  <c r="G6" i="162"/>
  <c r="F6" i="162"/>
  <c r="E6" i="162"/>
  <c r="D6" i="162"/>
  <c r="C6" i="162"/>
  <c r="AB5" i="162" a="1"/>
  <c r="AB5" i="162"/>
  <c r="AA5" i="162"/>
  <c r="Z5" i="162"/>
  <c r="Y5" i="162"/>
  <c r="X5" i="162"/>
  <c r="W5" i="162"/>
  <c r="V5" i="162"/>
  <c r="U5" i="162"/>
  <c r="T5" i="162"/>
  <c r="S5" i="162"/>
  <c r="R5" i="162"/>
  <c r="Q5" i="162"/>
  <c r="P5" i="162"/>
  <c r="O5" i="162"/>
  <c r="N5" i="162"/>
  <c r="M5" i="162"/>
  <c r="L5" i="162"/>
  <c r="K5" i="162"/>
  <c r="J5" i="162"/>
  <c r="I5" i="162"/>
  <c r="H5" i="162"/>
  <c r="G5" i="162"/>
  <c r="F5" i="162"/>
  <c r="E5" i="162"/>
  <c r="D5" i="162"/>
  <c r="C5" i="162"/>
  <c r="AB4" i="162" a="1"/>
  <c r="AB4" i="162"/>
  <c r="AA4" i="162"/>
  <c r="Z4" i="162"/>
  <c r="Y4" i="162"/>
  <c r="X4" i="162"/>
  <c r="W4" i="162"/>
  <c r="V4" i="162"/>
  <c r="U4" i="162"/>
  <c r="T4" i="162"/>
  <c r="S4" i="162"/>
  <c r="R4" i="162"/>
  <c r="Q4" i="162"/>
  <c r="P4" i="162"/>
  <c r="O4" i="162"/>
  <c r="N4" i="162"/>
  <c r="M4" i="162"/>
  <c r="L4" i="162"/>
  <c r="K4" i="162"/>
  <c r="J4" i="162"/>
  <c r="I4" i="162"/>
  <c r="H4" i="162"/>
  <c r="G4" i="162"/>
  <c r="F4" i="162"/>
  <c r="E4" i="162"/>
  <c r="D4" i="162"/>
  <c r="C4" i="162"/>
  <c r="AB3" i="162" a="1"/>
  <c r="AB3" i="162"/>
  <c r="AA3" i="162"/>
  <c r="Z3" i="162"/>
  <c r="Y3" i="162"/>
  <c r="X3" i="162"/>
  <c r="W3" i="162"/>
  <c r="V3" i="162"/>
  <c r="U3" i="162"/>
  <c r="T3" i="162"/>
  <c r="S3" i="162"/>
  <c r="R3" i="162"/>
  <c r="Q3" i="162"/>
  <c r="P3" i="162"/>
  <c r="O3" i="162"/>
  <c r="N3" i="162"/>
  <c r="M3" i="162"/>
  <c r="L3" i="162"/>
  <c r="K3" i="162"/>
  <c r="J3" i="162"/>
  <c r="I3" i="162"/>
  <c r="H3" i="162"/>
  <c r="G3" i="162"/>
  <c r="F3" i="162"/>
  <c r="E3" i="162"/>
  <c r="D3" i="162"/>
  <c r="C3" i="162"/>
  <c r="AB2" i="162" a="1"/>
  <c r="AB2" i="162"/>
  <c r="AA2" i="162"/>
  <c r="Z2" i="162"/>
  <c r="Y2" i="162"/>
  <c r="X2" i="162"/>
  <c r="W2" i="162"/>
  <c r="V2" i="162"/>
  <c r="U2" i="162"/>
  <c r="T2" i="162"/>
  <c r="S2" i="162"/>
  <c r="R2" i="162"/>
  <c r="Q2" i="162"/>
  <c r="P2" i="162"/>
  <c r="O2" i="162"/>
  <c r="N2" i="162"/>
  <c r="M2" i="162"/>
  <c r="L2" i="162"/>
  <c r="K2" i="162"/>
  <c r="J2" i="162"/>
  <c r="I2" i="162"/>
  <c r="H2" i="162"/>
  <c r="G2" i="162"/>
  <c r="F2" i="162"/>
  <c r="E2" i="162"/>
  <c r="D2" i="162"/>
  <c r="C2" i="162"/>
  <c r="AD117" i="173"/>
  <c r="AD116" i="173"/>
  <c r="AC116" i="173"/>
  <c r="AB116" i="173"/>
  <c r="AD115" i="173"/>
  <c r="AC115" i="173"/>
  <c r="AB115" i="173"/>
  <c r="AD114" i="173"/>
  <c r="AC114" i="173"/>
  <c r="AB114" i="173"/>
  <c r="AA105" i="173"/>
  <c r="AA104" i="173"/>
  <c r="AA103" i="173"/>
  <c r="AA101" i="173"/>
  <c r="Z101" i="173"/>
  <c r="Y101" i="173"/>
  <c r="X101" i="173"/>
  <c r="W101" i="173"/>
  <c r="V101" i="173"/>
  <c r="U101" i="173"/>
  <c r="T101" i="173"/>
  <c r="S101" i="173"/>
  <c r="R101" i="173"/>
  <c r="Q101" i="173"/>
  <c r="P101" i="173"/>
  <c r="O101" i="173"/>
  <c r="N101" i="173"/>
  <c r="M101" i="173"/>
  <c r="L101" i="173"/>
  <c r="K101" i="173"/>
  <c r="J101" i="173"/>
  <c r="I101" i="173"/>
  <c r="H101" i="173"/>
  <c r="G101" i="173"/>
  <c r="F101" i="173"/>
  <c r="E101" i="173"/>
  <c r="D101" i="173"/>
  <c r="C101" i="173"/>
  <c r="AB45" i="173" a="1"/>
  <c r="AB45" i="173"/>
  <c r="AB44" i="173" a="1"/>
  <c r="AB44" i="173"/>
  <c r="AB43" i="173" a="1"/>
  <c r="AB43" i="173"/>
  <c r="AB42" i="173" a="1"/>
  <c r="AB42" i="173"/>
  <c r="AB41" i="173" a="1"/>
  <c r="AB41" i="173"/>
  <c r="AB40" i="173" a="1"/>
  <c r="AB40" i="173"/>
  <c r="AB39" i="173" a="1"/>
  <c r="AB39" i="173"/>
  <c r="AB38" i="173" a="1"/>
  <c r="AB38" i="173"/>
  <c r="AB37" i="173" a="1"/>
  <c r="AB37" i="173"/>
  <c r="Z37" i="173"/>
  <c r="Y37" i="173"/>
  <c r="X37" i="173"/>
  <c r="W37" i="173"/>
  <c r="V37" i="173"/>
  <c r="U37" i="173"/>
  <c r="T37" i="173"/>
  <c r="S37" i="173"/>
  <c r="R37" i="173"/>
  <c r="Q37" i="173"/>
  <c r="P37" i="173"/>
  <c r="O37" i="173"/>
  <c r="N37" i="173"/>
  <c r="M37" i="173"/>
  <c r="L37" i="173"/>
  <c r="K37" i="173"/>
  <c r="J37" i="173"/>
  <c r="I37" i="173"/>
  <c r="H37" i="173"/>
  <c r="G37" i="173"/>
  <c r="F37" i="173"/>
  <c r="E37" i="173"/>
  <c r="D37" i="173"/>
  <c r="C37" i="173"/>
  <c r="AB36" i="173" a="1"/>
  <c r="AB36" i="173"/>
  <c r="Z36" i="173"/>
  <c r="Y36" i="173"/>
  <c r="X36" i="173"/>
  <c r="W36" i="173"/>
  <c r="V36" i="173"/>
  <c r="U36" i="173"/>
  <c r="T36" i="173"/>
  <c r="S36" i="173"/>
  <c r="R36" i="173"/>
  <c r="Q36" i="173"/>
  <c r="P36" i="173"/>
  <c r="O36" i="173"/>
  <c r="N36" i="173"/>
  <c r="M36" i="173"/>
  <c r="L36" i="173"/>
  <c r="K36" i="173"/>
  <c r="J36" i="173"/>
  <c r="I36" i="173"/>
  <c r="H36" i="173"/>
  <c r="G36" i="173"/>
  <c r="F36" i="173"/>
  <c r="E36" i="173"/>
  <c r="D36" i="173"/>
  <c r="C36" i="173"/>
  <c r="AB35" i="173" a="1"/>
  <c r="AB35" i="173"/>
  <c r="Z35" i="173"/>
  <c r="Y35" i="173"/>
  <c r="X35" i="173"/>
  <c r="W35" i="173"/>
  <c r="V35" i="173"/>
  <c r="U35" i="173"/>
  <c r="T35" i="173"/>
  <c r="S35" i="173"/>
  <c r="R35" i="173"/>
  <c r="Q35" i="173"/>
  <c r="P35" i="173"/>
  <c r="O35" i="173"/>
  <c r="N35" i="173"/>
  <c r="M35" i="173"/>
  <c r="L35" i="173"/>
  <c r="K35" i="173"/>
  <c r="J35" i="173"/>
  <c r="I35" i="173"/>
  <c r="H35" i="173"/>
  <c r="G35" i="173"/>
  <c r="F35" i="173"/>
  <c r="E35" i="173"/>
  <c r="D35" i="173"/>
  <c r="C35" i="173"/>
  <c r="AB34" i="173" a="1"/>
  <c r="AB34" i="173"/>
  <c r="Z34" i="173"/>
  <c r="Y34" i="173"/>
  <c r="X34" i="173"/>
  <c r="W34" i="173"/>
  <c r="V34" i="173"/>
  <c r="U34" i="173"/>
  <c r="T34" i="173"/>
  <c r="S34" i="173"/>
  <c r="R34" i="173"/>
  <c r="Q34" i="173"/>
  <c r="P34" i="173"/>
  <c r="O34" i="173"/>
  <c r="N34" i="173"/>
  <c r="M34" i="173"/>
  <c r="L34" i="173"/>
  <c r="K34" i="173"/>
  <c r="J34" i="173"/>
  <c r="I34" i="173"/>
  <c r="H34" i="173"/>
  <c r="G34" i="173"/>
  <c r="F34" i="173"/>
  <c r="E34" i="173"/>
  <c r="D34" i="173"/>
  <c r="C34" i="173"/>
  <c r="AB33" i="173" a="1"/>
  <c r="AB33" i="173"/>
  <c r="Z33" i="173"/>
  <c r="Y33" i="173"/>
  <c r="X33" i="173"/>
  <c r="W33" i="173"/>
  <c r="V33" i="173"/>
  <c r="U33" i="173"/>
  <c r="T33" i="173"/>
  <c r="S33" i="173"/>
  <c r="R33" i="173"/>
  <c r="Q33" i="173"/>
  <c r="P33" i="173"/>
  <c r="O33" i="173"/>
  <c r="N33" i="173"/>
  <c r="M33" i="173"/>
  <c r="L33" i="173"/>
  <c r="K33" i="173"/>
  <c r="J33" i="173"/>
  <c r="I33" i="173"/>
  <c r="H33" i="173"/>
  <c r="G33" i="173"/>
  <c r="F33" i="173"/>
  <c r="E33" i="173"/>
  <c r="D33" i="173"/>
  <c r="C33" i="173"/>
  <c r="AB32" i="173" a="1"/>
  <c r="AB32" i="173"/>
  <c r="Z32" i="173"/>
  <c r="Y32" i="173"/>
  <c r="X32" i="173"/>
  <c r="W32" i="173"/>
  <c r="V32" i="173"/>
  <c r="U32" i="173"/>
  <c r="T32" i="173"/>
  <c r="S32" i="173"/>
  <c r="R32" i="173"/>
  <c r="Q32" i="173"/>
  <c r="P32" i="173"/>
  <c r="O32" i="173"/>
  <c r="N32" i="173"/>
  <c r="M32" i="173"/>
  <c r="L32" i="173"/>
  <c r="K32" i="173"/>
  <c r="J32" i="173"/>
  <c r="I32" i="173"/>
  <c r="H32" i="173"/>
  <c r="G32" i="173"/>
  <c r="F32" i="173"/>
  <c r="E32" i="173"/>
  <c r="D32" i="173"/>
  <c r="C32" i="173"/>
  <c r="AB31" i="173" a="1"/>
  <c r="AB31" i="173"/>
  <c r="Z31" i="173"/>
  <c r="Y31" i="173"/>
  <c r="X31" i="173"/>
  <c r="W31" i="173"/>
  <c r="V31" i="173"/>
  <c r="U31" i="173"/>
  <c r="T31" i="173"/>
  <c r="S31" i="173"/>
  <c r="R31" i="173"/>
  <c r="Q31" i="173"/>
  <c r="P31" i="173"/>
  <c r="O31" i="173"/>
  <c r="N31" i="173"/>
  <c r="M31" i="173"/>
  <c r="L31" i="173"/>
  <c r="K31" i="173"/>
  <c r="J31" i="173"/>
  <c r="I31" i="173"/>
  <c r="H31" i="173"/>
  <c r="G31" i="173"/>
  <c r="F31" i="173"/>
  <c r="E31" i="173"/>
  <c r="D31" i="173"/>
  <c r="C31" i="173"/>
  <c r="AB30" i="173" a="1"/>
  <c r="AB30" i="173"/>
  <c r="Z30" i="173"/>
  <c r="Y30" i="173"/>
  <c r="X30" i="173"/>
  <c r="W30" i="173"/>
  <c r="V30" i="173"/>
  <c r="U30" i="173"/>
  <c r="T30" i="173"/>
  <c r="S30" i="173"/>
  <c r="R30" i="173"/>
  <c r="Q30" i="173"/>
  <c r="P30" i="173"/>
  <c r="O30" i="173"/>
  <c r="N30" i="173"/>
  <c r="M30" i="173"/>
  <c r="L30" i="173"/>
  <c r="K30" i="173"/>
  <c r="J30" i="173"/>
  <c r="I30" i="173"/>
  <c r="H30" i="173"/>
  <c r="G30" i="173"/>
  <c r="F30" i="173"/>
  <c r="E30" i="173"/>
  <c r="D30" i="173"/>
  <c r="C30" i="173"/>
  <c r="AB29" i="173" a="1"/>
  <c r="AB29" i="173"/>
  <c r="AA29" i="173"/>
  <c r="Z29" i="173"/>
  <c r="Y29" i="173"/>
  <c r="X29" i="173"/>
  <c r="W29" i="173"/>
  <c r="V29" i="173"/>
  <c r="U29" i="173"/>
  <c r="T29" i="173"/>
  <c r="S29" i="173"/>
  <c r="R29" i="173"/>
  <c r="Q29" i="173"/>
  <c r="P29" i="173"/>
  <c r="O29" i="173"/>
  <c r="N29" i="173"/>
  <c r="M29" i="173"/>
  <c r="L29" i="173"/>
  <c r="K29" i="173"/>
  <c r="J29" i="173"/>
  <c r="I29" i="173"/>
  <c r="H29" i="173"/>
  <c r="G29" i="173"/>
  <c r="F29" i="173"/>
  <c r="E29" i="173"/>
  <c r="D29" i="173"/>
  <c r="C29" i="173"/>
  <c r="AB28" i="173" a="1"/>
  <c r="AB28" i="173"/>
  <c r="AA28" i="173"/>
  <c r="Z28" i="173"/>
  <c r="Y28" i="173"/>
  <c r="X28" i="173"/>
  <c r="W28" i="173"/>
  <c r="V28" i="173"/>
  <c r="U28" i="173"/>
  <c r="T28" i="173"/>
  <c r="S28" i="173"/>
  <c r="R28" i="173"/>
  <c r="Q28" i="173"/>
  <c r="P28" i="173"/>
  <c r="O28" i="173"/>
  <c r="N28" i="173"/>
  <c r="M28" i="173"/>
  <c r="L28" i="173"/>
  <c r="K28" i="173"/>
  <c r="J28" i="173"/>
  <c r="I28" i="173"/>
  <c r="H28" i="173"/>
  <c r="G28" i="173"/>
  <c r="F28" i="173"/>
  <c r="E28" i="173"/>
  <c r="D28" i="173"/>
  <c r="C28" i="173"/>
  <c r="AB27" i="173" a="1"/>
  <c r="AB27" i="173"/>
  <c r="AA27" i="173"/>
  <c r="Z27" i="173"/>
  <c r="Y27" i="173"/>
  <c r="X27" i="173"/>
  <c r="W27" i="173"/>
  <c r="V27" i="173"/>
  <c r="U27" i="173"/>
  <c r="T27" i="173"/>
  <c r="S27" i="173"/>
  <c r="R27" i="173"/>
  <c r="Q27" i="173"/>
  <c r="P27" i="173"/>
  <c r="O27" i="173"/>
  <c r="N27" i="173"/>
  <c r="M27" i="173"/>
  <c r="L27" i="173"/>
  <c r="K27" i="173"/>
  <c r="J27" i="173"/>
  <c r="I27" i="173"/>
  <c r="H27" i="173"/>
  <c r="G27" i="173"/>
  <c r="F27" i="173"/>
  <c r="E27" i="173"/>
  <c r="D27" i="173"/>
  <c r="C27" i="173"/>
  <c r="AB26" i="173" a="1"/>
  <c r="AB26" i="173"/>
  <c r="AA26" i="173"/>
  <c r="Z26" i="173"/>
  <c r="Y26" i="173"/>
  <c r="X26" i="173"/>
  <c r="W26" i="173"/>
  <c r="V26" i="173"/>
  <c r="U26" i="173"/>
  <c r="T26" i="173"/>
  <c r="S26" i="173"/>
  <c r="R26" i="173"/>
  <c r="Q26" i="173"/>
  <c r="P26" i="173"/>
  <c r="O26" i="173"/>
  <c r="N26" i="173"/>
  <c r="M26" i="173"/>
  <c r="L26" i="173"/>
  <c r="K26" i="173"/>
  <c r="J26" i="173"/>
  <c r="I26" i="173"/>
  <c r="H26" i="173"/>
  <c r="G26" i="173"/>
  <c r="F26" i="173"/>
  <c r="E26" i="173"/>
  <c r="D26" i="173"/>
  <c r="C26" i="173"/>
  <c r="AB25" i="173" a="1"/>
  <c r="AB25" i="173"/>
  <c r="Z25" i="173"/>
  <c r="Y25" i="173"/>
  <c r="X25" i="173"/>
  <c r="W25" i="173"/>
  <c r="V25" i="173"/>
  <c r="U25" i="173"/>
  <c r="T25" i="173"/>
  <c r="S25" i="173"/>
  <c r="R25" i="173"/>
  <c r="Q25" i="173"/>
  <c r="P25" i="173"/>
  <c r="O25" i="173"/>
  <c r="N25" i="173"/>
  <c r="M25" i="173"/>
  <c r="L25" i="173"/>
  <c r="K25" i="173"/>
  <c r="J25" i="173"/>
  <c r="I25" i="173"/>
  <c r="H25" i="173"/>
  <c r="G25" i="173"/>
  <c r="F25" i="173"/>
  <c r="E25" i="173"/>
  <c r="D25" i="173"/>
  <c r="C25" i="173"/>
  <c r="AB24" i="173" a="1"/>
  <c r="AB24" i="173"/>
  <c r="AA24" i="173"/>
  <c r="Z24" i="173"/>
  <c r="Y24" i="173"/>
  <c r="X24" i="173"/>
  <c r="W24" i="173"/>
  <c r="V24" i="173"/>
  <c r="U24" i="173"/>
  <c r="T24" i="173"/>
  <c r="S24" i="173"/>
  <c r="R24" i="173"/>
  <c r="Q24" i="173"/>
  <c r="P24" i="173"/>
  <c r="O24" i="173"/>
  <c r="N24" i="173"/>
  <c r="M24" i="173"/>
  <c r="L24" i="173"/>
  <c r="K24" i="173"/>
  <c r="J24" i="173"/>
  <c r="I24" i="173"/>
  <c r="H24" i="173"/>
  <c r="G24" i="173"/>
  <c r="F24" i="173"/>
  <c r="E24" i="173"/>
  <c r="D24" i="173"/>
  <c r="C24" i="173"/>
  <c r="AB23" i="173" a="1"/>
  <c r="AB23" i="173"/>
  <c r="AA23" i="173"/>
  <c r="Z23" i="173"/>
  <c r="Y23" i="173"/>
  <c r="X23" i="173"/>
  <c r="W23" i="173"/>
  <c r="V23" i="173"/>
  <c r="U23" i="173"/>
  <c r="T23" i="173"/>
  <c r="S23" i="173"/>
  <c r="R23" i="173"/>
  <c r="Q23" i="173"/>
  <c r="P23" i="173"/>
  <c r="O23" i="173"/>
  <c r="N23" i="173"/>
  <c r="M23" i="173"/>
  <c r="L23" i="173"/>
  <c r="K23" i="173"/>
  <c r="J23" i="173"/>
  <c r="I23" i="173"/>
  <c r="H23" i="173"/>
  <c r="G23" i="173"/>
  <c r="F23" i="173"/>
  <c r="E23" i="173"/>
  <c r="D23" i="173"/>
  <c r="C23" i="173"/>
  <c r="AB22" i="173" a="1"/>
  <c r="AB22" i="173"/>
  <c r="AA22" i="173"/>
  <c r="Z22" i="173"/>
  <c r="Y22" i="173"/>
  <c r="X22" i="173"/>
  <c r="W22" i="173"/>
  <c r="V22" i="173"/>
  <c r="U22" i="173"/>
  <c r="T22" i="173"/>
  <c r="S22" i="173"/>
  <c r="R22" i="173"/>
  <c r="Q22" i="173"/>
  <c r="P22" i="173"/>
  <c r="O22" i="173"/>
  <c r="N22" i="173"/>
  <c r="M22" i="173"/>
  <c r="L22" i="173"/>
  <c r="K22" i="173"/>
  <c r="J22" i="173"/>
  <c r="I22" i="173"/>
  <c r="H22" i="173"/>
  <c r="G22" i="173"/>
  <c r="F22" i="173"/>
  <c r="E22" i="173"/>
  <c r="D22" i="173"/>
  <c r="C22" i="173"/>
  <c r="AB21" i="173" a="1"/>
  <c r="AB21" i="173"/>
  <c r="AA21" i="173"/>
  <c r="Z21" i="173"/>
  <c r="Y21" i="173"/>
  <c r="X21" i="173"/>
  <c r="W21" i="173"/>
  <c r="V21" i="173"/>
  <c r="U21" i="173"/>
  <c r="T21" i="173"/>
  <c r="S21" i="173"/>
  <c r="R21" i="173"/>
  <c r="Q21" i="173"/>
  <c r="P21" i="173"/>
  <c r="O21" i="173"/>
  <c r="N21" i="173"/>
  <c r="M21" i="173"/>
  <c r="L21" i="173"/>
  <c r="K21" i="173"/>
  <c r="J21" i="173"/>
  <c r="I21" i="173"/>
  <c r="H21" i="173"/>
  <c r="G21" i="173"/>
  <c r="F21" i="173"/>
  <c r="E21" i="173"/>
  <c r="D21" i="173"/>
  <c r="C21" i="173"/>
  <c r="AB20" i="173" a="1"/>
  <c r="AB20" i="173"/>
  <c r="AA20" i="173"/>
  <c r="Z20" i="173"/>
  <c r="Y20" i="173"/>
  <c r="X20" i="173"/>
  <c r="W20" i="173"/>
  <c r="V20" i="173"/>
  <c r="U20" i="173"/>
  <c r="T20" i="173"/>
  <c r="S20" i="173"/>
  <c r="R20" i="173"/>
  <c r="Q20" i="173"/>
  <c r="P20" i="173"/>
  <c r="O20" i="173"/>
  <c r="N20" i="173"/>
  <c r="M20" i="173"/>
  <c r="L20" i="173"/>
  <c r="K20" i="173"/>
  <c r="J20" i="173"/>
  <c r="I20" i="173"/>
  <c r="H20" i="173"/>
  <c r="G20" i="173"/>
  <c r="F20" i="173"/>
  <c r="E20" i="173"/>
  <c r="D20" i="173"/>
  <c r="C20" i="173"/>
  <c r="AB19" i="173" a="1"/>
  <c r="AB19" i="173"/>
  <c r="AA19" i="173"/>
  <c r="Z19" i="173"/>
  <c r="Y19" i="173"/>
  <c r="X19" i="173"/>
  <c r="W19" i="173"/>
  <c r="V19" i="173"/>
  <c r="U19" i="173"/>
  <c r="T19" i="173"/>
  <c r="S19" i="173"/>
  <c r="R19" i="173"/>
  <c r="Q19" i="173"/>
  <c r="P19" i="173"/>
  <c r="O19" i="173"/>
  <c r="N19" i="173"/>
  <c r="M19" i="173"/>
  <c r="L19" i="173"/>
  <c r="K19" i="173"/>
  <c r="J19" i="173"/>
  <c r="I19" i="173"/>
  <c r="H19" i="173"/>
  <c r="G19" i="173"/>
  <c r="F19" i="173"/>
  <c r="E19" i="173"/>
  <c r="D19" i="173"/>
  <c r="C19" i="173"/>
  <c r="AB18" i="173" a="1"/>
  <c r="AB18" i="173"/>
  <c r="AA18" i="173"/>
  <c r="Z18" i="173"/>
  <c r="Y18" i="173"/>
  <c r="X18" i="173"/>
  <c r="W18" i="173"/>
  <c r="V18" i="173"/>
  <c r="U18" i="173"/>
  <c r="T18" i="173"/>
  <c r="S18" i="173"/>
  <c r="R18" i="173"/>
  <c r="Q18" i="173"/>
  <c r="P18" i="173"/>
  <c r="O18" i="173"/>
  <c r="N18" i="173"/>
  <c r="M18" i="173"/>
  <c r="L18" i="173"/>
  <c r="K18" i="173"/>
  <c r="J18" i="173"/>
  <c r="I18" i="173"/>
  <c r="H18" i="173"/>
  <c r="G18" i="173"/>
  <c r="F18" i="173"/>
  <c r="E18" i="173"/>
  <c r="D18" i="173"/>
  <c r="C18" i="173"/>
  <c r="AB17" i="173" a="1"/>
  <c r="AB17" i="173"/>
  <c r="AA17" i="173"/>
  <c r="Z17" i="173"/>
  <c r="Y17" i="173"/>
  <c r="X17" i="173"/>
  <c r="W17" i="173"/>
  <c r="V17" i="173"/>
  <c r="U17" i="173"/>
  <c r="T17" i="173"/>
  <c r="S17" i="173"/>
  <c r="R17" i="173"/>
  <c r="Q17" i="173"/>
  <c r="P17" i="173"/>
  <c r="O17" i="173"/>
  <c r="N17" i="173"/>
  <c r="M17" i="173"/>
  <c r="L17" i="173"/>
  <c r="K17" i="173"/>
  <c r="J17" i="173"/>
  <c r="I17" i="173"/>
  <c r="H17" i="173"/>
  <c r="G17" i="173"/>
  <c r="F17" i="173"/>
  <c r="E17" i="173"/>
  <c r="D17" i="173"/>
  <c r="C17" i="173"/>
  <c r="AB16" i="173" a="1"/>
  <c r="AB16" i="173"/>
  <c r="AA16" i="173"/>
  <c r="Z16" i="173"/>
  <c r="Y16" i="173"/>
  <c r="X16" i="173"/>
  <c r="W16" i="173"/>
  <c r="V16" i="173"/>
  <c r="U16" i="173"/>
  <c r="T16" i="173"/>
  <c r="S16" i="173"/>
  <c r="R16" i="173"/>
  <c r="Q16" i="173"/>
  <c r="P16" i="173"/>
  <c r="O16" i="173"/>
  <c r="N16" i="173"/>
  <c r="M16" i="173"/>
  <c r="L16" i="173"/>
  <c r="K16" i="173"/>
  <c r="J16" i="173"/>
  <c r="I16" i="173"/>
  <c r="H16" i="173"/>
  <c r="G16" i="173"/>
  <c r="F16" i="173"/>
  <c r="E16" i="173"/>
  <c r="D16" i="173"/>
  <c r="C16" i="173"/>
  <c r="AB15" i="173" a="1"/>
  <c r="AB15" i="173"/>
  <c r="AA15" i="173"/>
  <c r="Z15" i="173"/>
  <c r="Y15" i="173"/>
  <c r="X15" i="173"/>
  <c r="W15" i="173"/>
  <c r="V15" i="173"/>
  <c r="U15" i="173"/>
  <c r="T15" i="173"/>
  <c r="S15" i="173"/>
  <c r="R15" i="173"/>
  <c r="Q15" i="173"/>
  <c r="P15" i="173"/>
  <c r="O15" i="173"/>
  <c r="N15" i="173"/>
  <c r="M15" i="173"/>
  <c r="L15" i="173"/>
  <c r="K15" i="173"/>
  <c r="J15" i="173"/>
  <c r="I15" i="173"/>
  <c r="H15" i="173"/>
  <c r="G15" i="173"/>
  <c r="F15" i="173"/>
  <c r="E15" i="173"/>
  <c r="D15" i="173"/>
  <c r="C15" i="173"/>
  <c r="AB14" i="173" a="1"/>
  <c r="AB14" i="173"/>
  <c r="AA14" i="173"/>
  <c r="Z14" i="173"/>
  <c r="Y14" i="173"/>
  <c r="X14" i="173"/>
  <c r="W14" i="173"/>
  <c r="V14" i="173"/>
  <c r="U14" i="173"/>
  <c r="T14" i="173"/>
  <c r="S14" i="173"/>
  <c r="R14" i="173"/>
  <c r="Q14" i="173"/>
  <c r="P14" i="173"/>
  <c r="O14" i="173"/>
  <c r="N14" i="173"/>
  <c r="M14" i="173"/>
  <c r="L14" i="173"/>
  <c r="K14" i="173"/>
  <c r="J14" i="173"/>
  <c r="I14" i="173"/>
  <c r="H14" i="173"/>
  <c r="G14" i="173"/>
  <c r="F14" i="173"/>
  <c r="E14" i="173"/>
  <c r="D14" i="173"/>
  <c r="C14" i="173"/>
  <c r="AB13" i="173" a="1"/>
  <c r="AB13" i="173"/>
  <c r="AA13" i="173"/>
  <c r="Z13" i="173"/>
  <c r="Y13" i="173"/>
  <c r="X13" i="173"/>
  <c r="W13" i="173"/>
  <c r="V13" i="173"/>
  <c r="U13" i="173"/>
  <c r="T13" i="173"/>
  <c r="S13" i="173"/>
  <c r="R13" i="173"/>
  <c r="Q13" i="173"/>
  <c r="P13" i="173"/>
  <c r="O13" i="173"/>
  <c r="N13" i="173"/>
  <c r="M13" i="173"/>
  <c r="L13" i="173"/>
  <c r="K13" i="173"/>
  <c r="J13" i="173"/>
  <c r="I13" i="173"/>
  <c r="H13" i="173"/>
  <c r="G13" i="173"/>
  <c r="F13" i="173"/>
  <c r="E13" i="173"/>
  <c r="D13" i="173"/>
  <c r="C13" i="173"/>
  <c r="AB12" i="173" a="1"/>
  <c r="AB12" i="173"/>
  <c r="AA12" i="173"/>
  <c r="Z12" i="173"/>
  <c r="Y12" i="173"/>
  <c r="X12" i="173"/>
  <c r="W12" i="173"/>
  <c r="V12" i="173"/>
  <c r="U12" i="173"/>
  <c r="T12" i="173"/>
  <c r="S12" i="173"/>
  <c r="R12" i="173"/>
  <c r="Q12" i="173"/>
  <c r="P12" i="173"/>
  <c r="O12" i="173"/>
  <c r="N12" i="173"/>
  <c r="M12" i="173"/>
  <c r="L12" i="173"/>
  <c r="K12" i="173"/>
  <c r="J12" i="173"/>
  <c r="I12" i="173"/>
  <c r="H12" i="173"/>
  <c r="G12" i="173"/>
  <c r="F12" i="173"/>
  <c r="E12" i="173"/>
  <c r="D12" i="173"/>
  <c r="C12" i="173"/>
  <c r="AB11" i="173" a="1"/>
  <c r="AB11" i="173"/>
  <c r="AA11" i="173"/>
  <c r="Z11" i="173"/>
  <c r="Y11" i="173"/>
  <c r="X11" i="173"/>
  <c r="W11" i="173"/>
  <c r="V11" i="173"/>
  <c r="U11" i="173"/>
  <c r="T11" i="173"/>
  <c r="S11" i="173"/>
  <c r="R11" i="173"/>
  <c r="Q11" i="173"/>
  <c r="P11" i="173"/>
  <c r="O11" i="173"/>
  <c r="N11" i="173"/>
  <c r="M11" i="173"/>
  <c r="L11" i="173"/>
  <c r="K11" i="173"/>
  <c r="J11" i="173"/>
  <c r="I11" i="173"/>
  <c r="H11" i="173"/>
  <c r="G11" i="173"/>
  <c r="F11" i="173"/>
  <c r="E11" i="173"/>
  <c r="D11" i="173"/>
  <c r="C11" i="173"/>
  <c r="AB10" i="173" a="1"/>
  <c r="AB10" i="173"/>
  <c r="AA10" i="173"/>
  <c r="Z10" i="173"/>
  <c r="Y10" i="173"/>
  <c r="X10" i="173"/>
  <c r="W10" i="173"/>
  <c r="V10" i="173"/>
  <c r="U10" i="173"/>
  <c r="T10" i="173"/>
  <c r="S10" i="173"/>
  <c r="R10" i="173"/>
  <c r="Q10" i="173"/>
  <c r="P10" i="173"/>
  <c r="O10" i="173"/>
  <c r="N10" i="173"/>
  <c r="M10" i="173"/>
  <c r="L10" i="173"/>
  <c r="K10" i="173"/>
  <c r="J10" i="173"/>
  <c r="I10" i="173"/>
  <c r="H10" i="173"/>
  <c r="G10" i="173"/>
  <c r="F10" i="173"/>
  <c r="E10" i="173"/>
  <c r="D10" i="173"/>
  <c r="C10" i="173"/>
  <c r="AB9" i="173" a="1"/>
  <c r="AB9" i="173"/>
  <c r="AA9" i="173"/>
  <c r="Z9" i="173"/>
  <c r="Y9" i="173"/>
  <c r="X9" i="173"/>
  <c r="W9" i="173"/>
  <c r="V9" i="173"/>
  <c r="U9" i="173"/>
  <c r="T9" i="173"/>
  <c r="S9" i="173"/>
  <c r="R9" i="173"/>
  <c r="Q9" i="173"/>
  <c r="P9" i="173"/>
  <c r="O9" i="173"/>
  <c r="N9" i="173"/>
  <c r="M9" i="173"/>
  <c r="L9" i="173"/>
  <c r="K9" i="173"/>
  <c r="J9" i="173"/>
  <c r="I9" i="173"/>
  <c r="H9" i="173"/>
  <c r="G9" i="173"/>
  <c r="F9" i="173"/>
  <c r="E9" i="173"/>
  <c r="D9" i="173"/>
  <c r="C9" i="173"/>
  <c r="AB8" i="173" a="1"/>
  <c r="AB8" i="173"/>
  <c r="AA8" i="173"/>
  <c r="Z8" i="173"/>
  <c r="Y8" i="173"/>
  <c r="X8" i="173"/>
  <c r="W8" i="173"/>
  <c r="V8" i="173"/>
  <c r="U8" i="173"/>
  <c r="T8" i="173"/>
  <c r="S8" i="173"/>
  <c r="R8" i="173"/>
  <c r="Q8" i="173"/>
  <c r="P8" i="173"/>
  <c r="O8" i="173"/>
  <c r="N8" i="173"/>
  <c r="M8" i="173"/>
  <c r="L8" i="173"/>
  <c r="K8" i="173"/>
  <c r="J8" i="173"/>
  <c r="I8" i="173"/>
  <c r="H8" i="173"/>
  <c r="G8" i="173"/>
  <c r="F8" i="173"/>
  <c r="E8" i="173"/>
  <c r="D8" i="173"/>
  <c r="C8" i="173"/>
  <c r="AB7" i="173" a="1"/>
  <c r="AB7" i="173"/>
  <c r="AA7" i="173"/>
  <c r="Z7" i="173"/>
  <c r="Y7" i="173"/>
  <c r="X7" i="173"/>
  <c r="W7" i="173"/>
  <c r="V7" i="173"/>
  <c r="U7" i="173"/>
  <c r="T7" i="173"/>
  <c r="S7" i="173"/>
  <c r="R7" i="173"/>
  <c r="Q7" i="173"/>
  <c r="P7" i="173"/>
  <c r="O7" i="173"/>
  <c r="N7" i="173"/>
  <c r="M7" i="173"/>
  <c r="L7" i="173"/>
  <c r="K7" i="173"/>
  <c r="J7" i="173"/>
  <c r="I7" i="173"/>
  <c r="H7" i="173"/>
  <c r="G7" i="173"/>
  <c r="F7" i="173"/>
  <c r="E7" i="173"/>
  <c r="D7" i="173"/>
  <c r="C7" i="173"/>
  <c r="AA6" i="173"/>
  <c r="Z6" i="173"/>
  <c r="Y6" i="173"/>
  <c r="X6" i="173"/>
  <c r="W6" i="173"/>
  <c r="V6" i="173"/>
  <c r="U6" i="173"/>
  <c r="T6" i="173"/>
  <c r="S6" i="173"/>
  <c r="R6" i="173"/>
  <c r="Q6" i="173"/>
  <c r="P6" i="173"/>
  <c r="O6" i="173"/>
  <c r="N6" i="173"/>
  <c r="M6" i="173"/>
  <c r="L6" i="173"/>
  <c r="K6" i="173"/>
  <c r="J6" i="173"/>
  <c r="I6" i="173"/>
  <c r="H6" i="173"/>
  <c r="G6" i="173"/>
  <c r="F6" i="173"/>
  <c r="E6" i="173"/>
  <c r="D6" i="173"/>
  <c r="C6" i="173"/>
  <c r="AB5" i="173" a="1"/>
  <c r="AB5" i="173"/>
  <c r="AA5" i="173"/>
  <c r="Z5" i="173"/>
  <c r="Y5" i="173"/>
  <c r="X5" i="173"/>
  <c r="W5" i="173"/>
  <c r="V5" i="173"/>
  <c r="U5" i="173"/>
  <c r="T5" i="173"/>
  <c r="S5" i="173"/>
  <c r="R5" i="173"/>
  <c r="Q5" i="173"/>
  <c r="P5" i="173"/>
  <c r="O5" i="173"/>
  <c r="N5" i="173"/>
  <c r="M5" i="173"/>
  <c r="L5" i="173"/>
  <c r="K5" i="173"/>
  <c r="J5" i="173"/>
  <c r="I5" i="173"/>
  <c r="H5" i="173"/>
  <c r="G5" i="173"/>
  <c r="F5" i="173"/>
  <c r="E5" i="173"/>
  <c r="D5" i="173"/>
  <c r="C5" i="173"/>
  <c r="AB4" i="173" a="1"/>
  <c r="AB4" i="173"/>
  <c r="AA4" i="173"/>
  <c r="Z4" i="173"/>
  <c r="Y4" i="173"/>
  <c r="X4" i="173"/>
  <c r="W4" i="173"/>
  <c r="V4" i="173"/>
  <c r="U4" i="173"/>
  <c r="T4" i="173"/>
  <c r="S4" i="173"/>
  <c r="R4" i="173"/>
  <c r="Q4" i="173"/>
  <c r="P4" i="173"/>
  <c r="O4" i="173"/>
  <c r="N4" i="173"/>
  <c r="M4" i="173"/>
  <c r="L4" i="173"/>
  <c r="K4" i="173"/>
  <c r="J4" i="173"/>
  <c r="I4" i="173"/>
  <c r="H4" i="173"/>
  <c r="G4" i="173"/>
  <c r="F4" i="173"/>
  <c r="E4" i="173"/>
  <c r="D4" i="173"/>
  <c r="C4" i="173"/>
  <c r="AB3" i="173" a="1"/>
  <c r="AB3" i="173"/>
  <c r="AA3" i="173"/>
  <c r="Z3" i="173"/>
  <c r="Y3" i="173"/>
  <c r="X3" i="173"/>
  <c r="W3" i="173"/>
  <c r="V3" i="173"/>
  <c r="U3" i="173"/>
  <c r="T3" i="173"/>
  <c r="S3" i="173"/>
  <c r="R3" i="173"/>
  <c r="Q3" i="173"/>
  <c r="P3" i="173"/>
  <c r="O3" i="173"/>
  <c r="N3" i="173"/>
  <c r="M3" i="173"/>
  <c r="L3" i="173"/>
  <c r="K3" i="173"/>
  <c r="J3" i="173"/>
  <c r="I3" i="173"/>
  <c r="H3" i="173"/>
  <c r="G3" i="173"/>
  <c r="F3" i="173"/>
  <c r="E3" i="173"/>
  <c r="D3" i="173"/>
  <c r="C3" i="173"/>
  <c r="AB2" i="173" a="1"/>
  <c r="AB2" i="173"/>
  <c r="AA2" i="173"/>
  <c r="Z2" i="173"/>
  <c r="Y2" i="173"/>
  <c r="X2" i="173"/>
  <c r="W2" i="173"/>
  <c r="V2" i="173"/>
  <c r="U2" i="173"/>
  <c r="T2" i="173"/>
  <c r="S2" i="173"/>
  <c r="R2" i="173"/>
  <c r="Q2" i="173"/>
  <c r="P2" i="173"/>
  <c r="O2" i="173"/>
  <c r="N2" i="173"/>
  <c r="M2" i="173"/>
  <c r="L2" i="173"/>
  <c r="K2" i="173"/>
  <c r="J2" i="173"/>
  <c r="I2" i="173"/>
  <c r="H2" i="173"/>
  <c r="G2" i="173"/>
  <c r="F2" i="173"/>
  <c r="E2" i="173"/>
  <c r="D2" i="173"/>
  <c r="C2" i="173"/>
  <c r="AD117" i="168"/>
  <c r="AD116" i="168"/>
  <c r="AC116" i="168"/>
  <c r="AB116" i="168"/>
  <c r="AD115" i="168"/>
  <c r="AC115" i="168"/>
  <c r="AB115" i="168"/>
  <c r="AD114" i="168"/>
  <c r="AC114" i="168"/>
  <c r="AB114" i="168"/>
  <c r="AA105" i="168"/>
  <c r="AA104" i="168"/>
  <c r="AA103" i="168"/>
  <c r="AA101" i="168"/>
  <c r="Z101" i="168"/>
  <c r="Y101" i="168"/>
  <c r="X101" i="168"/>
  <c r="W101" i="168"/>
  <c r="V101" i="168"/>
  <c r="U101" i="168"/>
  <c r="T101" i="168"/>
  <c r="S101" i="168"/>
  <c r="R101" i="168"/>
  <c r="Q101" i="168"/>
  <c r="P101" i="168"/>
  <c r="O101" i="168"/>
  <c r="N101" i="168"/>
  <c r="M101" i="168"/>
  <c r="L101" i="168"/>
  <c r="K101" i="168"/>
  <c r="J101" i="168"/>
  <c r="I101" i="168"/>
  <c r="H101" i="168"/>
  <c r="G101" i="168"/>
  <c r="F101" i="168"/>
  <c r="E101" i="168"/>
  <c r="D101" i="168"/>
  <c r="C101" i="168"/>
  <c r="AB45" i="168" a="1"/>
  <c r="AB45" i="168"/>
  <c r="AB44" i="168" a="1"/>
  <c r="AB44" i="168"/>
  <c r="AB43" i="168" a="1"/>
  <c r="AB43" i="168"/>
  <c r="AB42" i="168" a="1"/>
  <c r="AB42" i="168"/>
  <c r="AB41" i="168" a="1"/>
  <c r="AB41" i="168"/>
  <c r="AB40" i="168" a="1"/>
  <c r="AB40" i="168"/>
  <c r="AB39" i="168" a="1"/>
  <c r="AB39" i="168"/>
  <c r="AB38" i="168" a="1"/>
  <c r="AB38" i="168"/>
  <c r="AB37" i="168" a="1"/>
  <c r="AB37" i="168"/>
  <c r="Z37" i="168"/>
  <c r="Y37" i="168"/>
  <c r="X37" i="168"/>
  <c r="W37" i="168"/>
  <c r="V37" i="168"/>
  <c r="U37" i="168"/>
  <c r="T37" i="168"/>
  <c r="S37" i="168"/>
  <c r="R37" i="168"/>
  <c r="Q37" i="168"/>
  <c r="P37" i="168"/>
  <c r="O37" i="168"/>
  <c r="N37" i="168"/>
  <c r="M37" i="168"/>
  <c r="L37" i="168"/>
  <c r="K37" i="168"/>
  <c r="J37" i="168"/>
  <c r="I37" i="168"/>
  <c r="H37" i="168"/>
  <c r="G37" i="168"/>
  <c r="F37" i="168"/>
  <c r="E37" i="168"/>
  <c r="D37" i="168"/>
  <c r="C37" i="168"/>
  <c r="AB36" i="168" a="1"/>
  <c r="AB36" i="168"/>
  <c r="Z36" i="168"/>
  <c r="Y36" i="168"/>
  <c r="X36" i="168"/>
  <c r="W36" i="168"/>
  <c r="V36" i="168"/>
  <c r="U36" i="168"/>
  <c r="T36" i="168"/>
  <c r="S36" i="168"/>
  <c r="R36" i="168"/>
  <c r="Q36" i="168"/>
  <c r="P36" i="168"/>
  <c r="O36" i="168"/>
  <c r="N36" i="168"/>
  <c r="M36" i="168"/>
  <c r="L36" i="168"/>
  <c r="K36" i="168"/>
  <c r="J36" i="168"/>
  <c r="I36" i="168"/>
  <c r="H36" i="168"/>
  <c r="G36" i="168"/>
  <c r="F36" i="168"/>
  <c r="E36" i="168"/>
  <c r="D36" i="168"/>
  <c r="C36" i="168"/>
  <c r="AB35" i="168" a="1"/>
  <c r="AB35" i="168"/>
  <c r="Z35" i="168"/>
  <c r="Y35" i="168"/>
  <c r="X35" i="168"/>
  <c r="W35" i="168"/>
  <c r="V35" i="168"/>
  <c r="U35" i="168"/>
  <c r="T35" i="168"/>
  <c r="S35" i="168"/>
  <c r="R35" i="168"/>
  <c r="Q35" i="168"/>
  <c r="P35" i="168"/>
  <c r="O35" i="168"/>
  <c r="N35" i="168"/>
  <c r="M35" i="168"/>
  <c r="L35" i="168"/>
  <c r="K35" i="168"/>
  <c r="J35" i="168"/>
  <c r="I35" i="168"/>
  <c r="H35" i="168"/>
  <c r="G35" i="168"/>
  <c r="F35" i="168"/>
  <c r="E35" i="168"/>
  <c r="D35" i="168"/>
  <c r="C35" i="168"/>
  <c r="AB34" i="168" a="1"/>
  <c r="AB34" i="168"/>
  <c r="Z34" i="168"/>
  <c r="Y34" i="168"/>
  <c r="X34" i="168"/>
  <c r="W34" i="168"/>
  <c r="V34" i="168"/>
  <c r="U34" i="168"/>
  <c r="T34" i="168"/>
  <c r="S34" i="168"/>
  <c r="R34" i="168"/>
  <c r="Q34" i="168"/>
  <c r="P34" i="168"/>
  <c r="O34" i="168"/>
  <c r="N34" i="168"/>
  <c r="M34" i="168"/>
  <c r="L34" i="168"/>
  <c r="K34" i="168"/>
  <c r="J34" i="168"/>
  <c r="I34" i="168"/>
  <c r="H34" i="168"/>
  <c r="G34" i="168"/>
  <c r="F34" i="168"/>
  <c r="E34" i="168"/>
  <c r="D34" i="168"/>
  <c r="C34" i="168"/>
  <c r="AB33" i="168" a="1"/>
  <c r="AB33" i="168"/>
  <c r="Z33" i="168"/>
  <c r="Y33" i="168"/>
  <c r="X33" i="168"/>
  <c r="W33" i="168"/>
  <c r="V33" i="168"/>
  <c r="U33" i="168"/>
  <c r="T33" i="168"/>
  <c r="S33" i="168"/>
  <c r="R33" i="168"/>
  <c r="Q33" i="168"/>
  <c r="P33" i="168"/>
  <c r="O33" i="168"/>
  <c r="N33" i="168"/>
  <c r="M33" i="168"/>
  <c r="L33" i="168"/>
  <c r="K33" i="168"/>
  <c r="J33" i="168"/>
  <c r="I33" i="168"/>
  <c r="H33" i="168"/>
  <c r="G33" i="168"/>
  <c r="F33" i="168"/>
  <c r="E33" i="168"/>
  <c r="D33" i="168"/>
  <c r="C33" i="168"/>
  <c r="AB32" i="168" a="1"/>
  <c r="AB32" i="168"/>
  <c r="Z32" i="168"/>
  <c r="Y32" i="168"/>
  <c r="X32" i="168"/>
  <c r="W32" i="168"/>
  <c r="V32" i="168"/>
  <c r="U32" i="168"/>
  <c r="T32" i="168"/>
  <c r="S32" i="168"/>
  <c r="R32" i="168"/>
  <c r="Q32" i="168"/>
  <c r="P32" i="168"/>
  <c r="O32" i="168"/>
  <c r="N32" i="168"/>
  <c r="M32" i="168"/>
  <c r="L32" i="168"/>
  <c r="K32" i="168"/>
  <c r="J32" i="168"/>
  <c r="I32" i="168"/>
  <c r="H32" i="168"/>
  <c r="G32" i="168"/>
  <c r="F32" i="168"/>
  <c r="E32" i="168"/>
  <c r="D32" i="168"/>
  <c r="C32" i="168"/>
  <c r="AB31" i="168" a="1"/>
  <c r="AB31" i="168"/>
  <c r="Z31" i="168"/>
  <c r="Y31" i="168"/>
  <c r="X31" i="168"/>
  <c r="W31" i="168"/>
  <c r="V31" i="168"/>
  <c r="U31" i="168"/>
  <c r="T31" i="168"/>
  <c r="S31" i="168"/>
  <c r="R31" i="168"/>
  <c r="Q31" i="168"/>
  <c r="P31" i="168"/>
  <c r="O31" i="168"/>
  <c r="N31" i="168"/>
  <c r="M31" i="168"/>
  <c r="L31" i="168"/>
  <c r="K31" i="168"/>
  <c r="J31" i="168"/>
  <c r="I31" i="168"/>
  <c r="H31" i="168"/>
  <c r="G31" i="168"/>
  <c r="F31" i="168"/>
  <c r="E31" i="168"/>
  <c r="D31" i="168"/>
  <c r="C31" i="168"/>
  <c r="AB30" i="168" a="1"/>
  <c r="AB30" i="168"/>
  <c r="Z30" i="168"/>
  <c r="Y30" i="168"/>
  <c r="X30" i="168"/>
  <c r="W30" i="168"/>
  <c r="V30" i="168"/>
  <c r="U30" i="168"/>
  <c r="T30" i="168"/>
  <c r="S30" i="168"/>
  <c r="R30" i="168"/>
  <c r="Q30" i="168"/>
  <c r="P30" i="168"/>
  <c r="O30" i="168"/>
  <c r="N30" i="168"/>
  <c r="M30" i="168"/>
  <c r="L30" i="168"/>
  <c r="K30" i="168"/>
  <c r="J30" i="168"/>
  <c r="I30" i="168"/>
  <c r="H30" i="168"/>
  <c r="G30" i="168"/>
  <c r="F30" i="168"/>
  <c r="E30" i="168"/>
  <c r="D30" i="168"/>
  <c r="C30" i="168"/>
  <c r="AB29" i="168" a="1"/>
  <c r="AB29" i="168"/>
  <c r="AA29" i="168"/>
  <c r="Z29" i="168"/>
  <c r="Y29" i="168"/>
  <c r="X29" i="168"/>
  <c r="W29" i="168"/>
  <c r="V29" i="168"/>
  <c r="U29" i="168"/>
  <c r="T29" i="168"/>
  <c r="S29" i="168"/>
  <c r="R29" i="168"/>
  <c r="Q29" i="168"/>
  <c r="P29" i="168"/>
  <c r="O29" i="168"/>
  <c r="N29" i="168"/>
  <c r="M29" i="168"/>
  <c r="L29" i="168"/>
  <c r="K29" i="168"/>
  <c r="J29" i="168"/>
  <c r="I29" i="168"/>
  <c r="H29" i="168"/>
  <c r="G29" i="168"/>
  <c r="F29" i="168"/>
  <c r="E29" i="168"/>
  <c r="D29" i="168"/>
  <c r="C29" i="168"/>
  <c r="AB28" i="168" a="1"/>
  <c r="AB28" i="168"/>
  <c r="AA28" i="168"/>
  <c r="Z28" i="168"/>
  <c r="Y28" i="168"/>
  <c r="X28" i="168"/>
  <c r="W28" i="168"/>
  <c r="V28" i="168"/>
  <c r="U28" i="168"/>
  <c r="T28" i="168"/>
  <c r="S28" i="168"/>
  <c r="R28" i="168"/>
  <c r="Q28" i="168"/>
  <c r="P28" i="168"/>
  <c r="O28" i="168"/>
  <c r="N28" i="168"/>
  <c r="M28" i="168"/>
  <c r="L28" i="168"/>
  <c r="K28" i="168"/>
  <c r="J28" i="168"/>
  <c r="I28" i="168"/>
  <c r="H28" i="168"/>
  <c r="G28" i="168"/>
  <c r="F28" i="168"/>
  <c r="E28" i="168"/>
  <c r="D28" i="168"/>
  <c r="C28" i="168"/>
  <c r="AB27" i="168" a="1"/>
  <c r="AB27" i="168"/>
  <c r="AA27" i="168"/>
  <c r="Z27" i="168"/>
  <c r="Y27" i="168"/>
  <c r="X27" i="168"/>
  <c r="W27" i="168"/>
  <c r="V27" i="168"/>
  <c r="U27" i="168"/>
  <c r="T27" i="168"/>
  <c r="S27" i="168"/>
  <c r="R27" i="168"/>
  <c r="Q27" i="168"/>
  <c r="P27" i="168"/>
  <c r="O27" i="168"/>
  <c r="N27" i="168"/>
  <c r="M27" i="168"/>
  <c r="L27" i="168"/>
  <c r="K27" i="168"/>
  <c r="J27" i="168"/>
  <c r="I27" i="168"/>
  <c r="H27" i="168"/>
  <c r="G27" i="168"/>
  <c r="F27" i="168"/>
  <c r="E27" i="168"/>
  <c r="D27" i="168"/>
  <c r="C27" i="168"/>
  <c r="AB26" i="168" a="1"/>
  <c r="AB26" i="168"/>
  <c r="AA26" i="168"/>
  <c r="Z26" i="168"/>
  <c r="Y26" i="168"/>
  <c r="X26" i="168"/>
  <c r="W26" i="168"/>
  <c r="V26" i="168"/>
  <c r="U26" i="168"/>
  <c r="T26" i="168"/>
  <c r="S26" i="168"/>
  <c r="R26" i="168"/>
  <c r="Q26" i="168"/>
  <c r="P26" i="168"/>
  <c r="O26" i="168"/>
  <c r="N26" i="168"/>
  <c r="M26" i="168"/>
  <c r="L26" i="168"/>
  <c r="K26" i="168"/>
  <c r="J26" i="168"/>
  <c r="I26" i="168"/>
  <c r="H26" i="168"/>
  <c r="G26" i="168"/>
  <c r="F26" i="168"/>
  <c r="E26" i="168"/>
  <c r="D26" i="168"/>
  <c r="C26" i="168"/>
  <c r="AB25" i="168" a="1"/>
  <c r="AB25" i="168"/>
  <c r="Z25" i="168"/>
  <c r="Y25" i="168"/>
  <c r="X25" i="168"/>
  <c r="W25" i="168"/>
  <c r="V25" i="168"/>
  <c r="U25" i="168"/>
  <c r="T25" i="168"/>
  <c r="S25" i="168"/>
  <c r="R25" i="168"/>
  <c r="Q25" i="168"/>
  <c r="P25" i="168"/>
  <c r="O25" i="168"/>
  <c r="N25" i="168"/>
  <c r="M25" i="168"/>
  <c r="L25" i="168"/>
  <c r="K25" i="168"/>
  <c r="J25" i="168"/>
  <c r="I25" i="168"/>
  <c r="H25" i="168"/>
  <c r="G25" i="168"/>
  <c r="F25" i="168"/>
  <c r="E25" i="168"/>
  <c r="D25" i="168"/>
  <c r="C25" i="168"/>
  <c r="AB24" i="168" a="1"/>
  <c r="AB24" i="168"/>
  <c r="AA24" i="168"/>
  <c r="Z24" i="168"/>
  <c r="Y24" i="168"/>
  <c r="X24" i="168"/>
  <c r="W24" i="168"/>
  <c r="V24" i="168"/>
  <c r="U24" i="168"/>
  <c r="T24" i="168"/>
  <c r="S24" i="168"/>
  <c r="R24" i="168"/>
  <c r="Q24" i="168"/>
  <c r="P24" i="168"/>
  <c r="O24" i="168"/>
  <c r="N24" i="168"/>
  <c r="M24" i="168"/>
  <c r="L24" i="168"/>
  <c r="K24" i="168"/>
  <c r="J24" i="168"/>
  <c r="I24" i="168"/>
  <c r="H24" i="168"/>
  <c r="G24" i="168"/>
  <c r="F24" i="168"/>
  <c r="E24" i="168"/>
  <c r="D24" i="168"/>
  <c r="C24" i="168"/>
  <c r="AB23" i="168" a="1"/>
  <c r="AB23" i="168"/>
  <c r="AA23" i="168"/>
  <c r="Z23" i="168"/>
  <c r="Y23" i="168"/>
  <c r="X23" i="168"/>
  <c r="W23" i="168"/>
  <c r="V23" i="168"/>
  <c r="U23" i="168"/>
  <c r="T23" i="168"/>
  <c r="S23" i="168"/>
  <c r="R23" i="168"/>
  <c r="Q23" i="168"/>
  <c r="P23" i="168"/>
  <c r="O23" i="168"/>
  <c r="N23" i="168"/>
  <c r="M23" i="168"/>
  <c r="L23" i="168"/>
  <c r="K23" i="168"/>
  <c r="J23" i="168"/>
  <c r="I23" i="168"/>
  <c r="H23" i="168"/>
  <c r="G23" i="168"/>
  <c r="F23" i="168"/>
  <c r="E23" i="168"/>
  <c r="D23" i="168"/>
  <c r="C23" i="168"/>
  <c r="AB22" i="168" a="1"/>
  <c r="AB22" i="168"/>
  <c r="AA22" i="168"/>
  <c r="Z22" i="168"/>
  <c r="Y22" i="168"/>
  <c r="X22" i="168"/>
  <c r="W22" i="168"/>
  <c r="V22" i="168"/>
  <c r="U22" i="168"/>
  <c r="T22" i="168"/>
  <c r="S22" i="168"/>
  <c r="R22" i="168"/>
  <c r="Q22" i="168"/>
  <c r="P22" i="168"/>
  <c r="O22" i="168"/>
  <c r="N22" i="168"/>
  <c r="M22" i="168"/>
  <c r="L22" i="168"/>
  <c r="K22" i="168"/>
  <c r="J22" i="168"/>
  <c r="I22" i="168"/>
  <c r="H22" i="168"/>
  <c r="G22" i="168"/>
  <c r="F22" i="168"/>
  <c r="E22" i="168"/>
  <c r="D22" i="168"/>
  <c r="C22" i="168"/>
  <c r="AB21" i="168" a="1"/>
  <c r="AB21" i="168"/>
  <c r="AA21" i="168"/>
  <c r="Z21" i="168"/>
  <c r="Y21" i="168"/>
  <c r="X21" i="168"/>
  <c r="W21" i="168"/>
  <c r="V21" i="168"/>
  <c r="U21" i="168"/>
  <c r="T21" i="168"/>
  <c r="S21" i="168"/>
  <c r="R21" i="168"/>
  <c r="Q21" i="168"/>
  <c r="P21" i="168"/>
  <c r="O21" i="168"/>
  <c r="N21" i="168"/>
  <c r="M21" i="168"/>
  <c r="L21" i="168"/>
  <c r="K21" i="168"/>
  <c r="J21" i="168"/>
  <c r="I21" i="168"/>
  <c r="H21" i="168"/>
  <c r="G21" i="168"/>
  <c r="F21" i="168"/>
  <c r="E21" i="168"/>
  <c r="D21" i="168"/>
  <c r="C21" i="168"/>
  <c r="AB20" i="168" a="1"/>
  <c r="AB20" i="168"/>
  <c r="AA20" i="168"/>
  <c r="Z20" i="168"/>
  <c r="Y20" i="168"/>
  <c r="X20" i="168"/>
  <c r="W20" i="168"/>
  <c r="V20" i="168"/>
  <c r="U20" i="168"/>
  <c r="T20" i="168"/>
  <c r="S20" i="168"/>
  <c r="R20" i="168"/>
  <c r="Q20" i="168"/>
  <c r="P20" i="168"/>
  <c r="O20" i="168"/>
  <c r="N20" i="168"/>
  <c r="M20" i="168"/>
  <c r="L20" i="168"/>
  <c r="K20" i="168"/>
  <c r="J20" i="168"/>
  <c r="I20" i="168"/>
  <c r="H20" i="168"/>
  <c r="G20" i="168"/>
  <c r="F20" i="168"/>
  <c r="E20" i="168"/>
  <c r="D20" i="168"/>
  <c r="C20" i="168"/>
  <c r="AB19" i="168" a="1"/>
  <c r="AB19" i="168"/>
  <c r="AA19" i="168"/>
  <c r="Z19" i="168"/>
  <c r="Y19" i="168"/>
  <c r="X19" i="168"/>
  <c r="W19" i="168"/>
  <c r="V19" i="168"/>
  <c r="U19" i="168"/>
  <c r="T19" i="168"/>
  <c r="S19" i="168"/>
  <c r="R19" i="168"/>
  <c r="Q19" i="168"/>
  <c r="P19" i="168"/>
  <c r="O19" i="168"/>
  <c r="N19" i="168"/>
  <c r="M19" i="168"/>
  <c r="L19" i="168"/>
  <c r="K19" i="168"/>
  <c r="J19" i="168"/>
  <c r="I19" i="168"/>
  <c r="H19" i="168"/>
  <c r="G19" i="168"/>
  <c r="F19" i="168"/>
  <c r="E19" i="168"/>
  <c r="D19" i="168"/>
  <c r="C19" i="168"/>
  <c r="AB18" i="168" a="1"/>
  <c r="AB18" i="168"/>
  <c r="AA18" i="168"/>
  <c r="Z18" i="168"/>
  <c r="Y18" i="168"/>
  <c r="X18" i="168"/>
  <c r="W18" i="168"/>
  <c r="V18" i="168"/>
  <c r="U18" i="168"/>
  <c r="T18" i="168"/>
  <c r="S18" i="168"/>
  <c r="R18" i="168"/>
  <c r="Q18" i="168"/>
  <c r="P18" i="168"/>
  <c r="O18" i="168"/>
  <c r="N18" i="168"/>
  <c r="M18" i="168"/>
  <c r="L18" i="168"/>
  <c r="K18" i="168"/>
  <c r="J18" i="168"/>
  <c r="I18" i="168"/>
  <c r="H18" i="168"/>
  <c r="G18" i="168"/>
  <c r="F18" i="168"/>
  <c r="E18" i="168"/>
  <c r="D18" i="168"/>
  <c r="C18" i="168"/>
  <c r="AB17" i="168" a="1"/>
  <c r="AB17" i="168"/>
  <c r="AA17" i="168"/>
  <c r="Z17" i="168"/>
  <c r="Y17" i="168"/>
  <c r="X17" i="168"/>
  <c r="W17" i="168"/>
  <c r="V17" i="168"/>
  <c r="U17" i="168"/>
  <c r="T17" i="168"/>
  <c r="S17" i="168"/>
  <c r="R17" i="168"/>
  <c r="Q17" i="168"/>
  <c r="P17" i="168"/>
  <c r="O17" i="168"/>
  <c r="N17" i="168"/>
  <c r="M17" i="168"/>
  <c r="L17" i="168"/>
  <c r="K17" i="168"/>
  <c r="J17" i="168"/>
  <c r="I17" i="168"/>
  <c r="H17" i="168"/>
  <c r="G17" i="168"/>
  <c r="F17" i="168"/>
  <c r="E17" i="168"/>
  <c r="D17" i="168"/>
  <c r="C17" i="168"/>
  <c r="AB16" i="168" a="1"/>
  <c r="AB16" i="168"/>
  <c r="AA16" i="168"/>
  <c r="Z16" i="168"/>
  <c r="Y16" i="168"/>
  <c r="X16" i="168"/>
  <c r="W16" i="168"/>
  <c r="V16" i="168"/>
  <c r="U16" i="168"/>
  <c r="T16" i="168"/>
  <c r="S16" i="168"/>
  <c r="R16" i="168"/>
  <c r="Q16" i="168"/>
  <c r="P16" i="168"/>
  <c r="O16" i="168"/>
  <c r="N16" i="168"/>
  <c r="M16" i="168"/>
  <c r="L16" i="168"/>
  <c r="K16" i="168"/>
  <c r="J16" i="168"/>
  <c r="I16" i="168"/>
  <c r="H16" i="168"/>
  <c r="G16" i="168"/>
  <c r="F16" i="168"/>
  <c r="E16" i="168"/>
  <c r="D16" i="168"/>
  <c r="C16" i="168"/>
  <c r="AB15" i="168" a="1"/>
  <c r="AB15" i="168"/>
  <c r="AA15" i="168"/>
  <c r="Z15" i="168"/>
  <c r="Y15" i="168"/>
  <c r="X15" i="168"/>
  <c r="W15" i="168"/>
  <c r="V15" i="168"/>
  <c r="U15" i="168"/>
  <c r="T15" i="168"/>
  <c r="S15" i="168"/>
  <c r="R15" i="168"/>
  <c r="Q15" i="168"/>
  <c r="P15" i="168"/>
  <c r="O15" i="168"/>
  <c r="N15" i="168"/>
  <c r="M15" i="168"/>
  <c r="L15" i="168"/>
  <c r="K15" i="168"/>
  <c r="J15" i="168"/>
  <c r="I15" i="168"/>
  <c r="H15" i="168"/>
  <c r="G15" i="168"/>
  <c r="F15" i="168"/>
  <c r="E15" i="168"/>
  <c r="D15" i="168"/>
  <c r="C15" i="168"/>
  <c r="AB14" i="168" a="1"/>
  <c r="AB14" i="168"/>
  <c r="AA14" i="168"/>
  <c r="Z14" i="168"/>
  <c r="Y14" i="168"/>
  <c r="X14" i="168"/>
  <c r="W14" i="168"/>
  <c r="V14" i="168"/>
  <c r="U14" i="168"/>
  <c r="T14" i="168"/>
  <c r="S14" i="168"/>
  <c r="R14" i="168"/>
  <c r="Q14" i="168"/>
  <c r="P14" i="168"/>
  <c r="O14" i="168"/>
  <c r="N14" i="168"/>
  <c r="M14" i="168"/>
  <c r="L14" i="168"/>
  <c r="K14" i="168"/>
  <c r="J14" i="168"/>
  <c r="I14" i="168"/>
  <c r="H14" i="168"/>
  <c r="G14" i="168"/>
  <c r="F14" i="168"/>
  <c r="E14" i="168"/>
  <c r="D14" i="168"/>
  <c r="C14" i="168"/>
  <c r="AB13" i="168" a="1"/>
  <c r="AB13" i="168"/>
  <c r="AA13" i="168"/>
  <c r="Z13" i="168"/>
  <c r="Y13" i="168"/>
  <c r="X13" i="168"/>
  <c r="W13" i="168"/>
  <c r="V13" i="168"/>
  <c r="U13" i="168"/>
  <c r="T13" i="168"/>
  <c r="S13" i="168"/>
  <c r="R13" i="168"/>
  <c r="Q13" i="168"/>
  <c r="P13" i="168"/>
  <c r="O13" i="168"/>
  <c r="N13" i="168"/>
  <c r="M13" i="168"/>
  <c r="L13" i="168"/>
  <c r="K13" i="168"/>
  <c r="J13" i="168"/>
  <c r="I13" i="168"/>
  <c r="H13" i="168"/>
  <c r="G13" i="168"/>
  <c r="F13" i="168"/>
  <c r="E13" i="168"/>
  <c r="D13" i="168"/>
  <c r="C13" i="168"/>
  <c r="AB12" i="168" a="1"/>
  <c r="AB12" i="168"/>
  <c r="AA12" i="168"/>
  <c r="Z12" i="168"/>
  <c r="Y12" i="168"/>
  <c r="X12" i="168"/>
  <c r="W12" i="168"/>
  <c r="V12" i="168"/>
  <c r="U12" i="168"/>
  <c r="T12" i="168"/>
  <c r="S12" i="168"/>
  <c r="R12" i="168"/>
  <c r="Q12" i="168"/>
  <c r="P12" i="168"/>
  <c r="O12" i="168"/>
  <c r="N12" i="168"/>
  <c r="M12" i="168"/>
  <c r="L12" i="168"/>
  <c r="K12" i="168"/>
  <c r="J12" i="168"/>
  <c r="I12" i="168"/>
  <c r="H12" i="168"/>
  <c r="G12" i="168"/>
  <c r="F12" i="168"/>
  <c r="E12" i="168"/>
  <c r="D12" i="168"/>
  <c r="C12" i="168"/>
  <c r="AB11" i="168" a="1"/>
  <c r="AB11" i="168"/>
  <c r="AA11" i="168"/>
  <c r="Z11" i="168"/>
  <c r="Y11" i="168"/>
  <c r="X11" i="168"/>
  <c r="W11" i="168"/>
  <c r="V11" i="168"/>
  <c r="U11" i="168"/>
  <c r="T11" i="168"/>
  <c r="S11" i="168"/>
  <c r="R11" i="168"/>
  <c r="Q11" i="168"/>
  <c r="P11" i="168"/>
  <c r="O11" i="168"/>
  <c r="N11" i="168"/>
  <c r="M11" i="168"/>
  <c r="L11" i="168"/>
  <c r="K11" i="168"/>
  <c r="J11" i="168"/>
  <c r="I11" i="168"/>
  <c r="H11" i="168"/>
  <c r="G11" i="168"/>
  <c r="F11" i="168"/>
  <c r="E11" i="168"/>
  <c r="D11" i="168"/>
  <c r="C11" i="168"/>
  <c r="AB10" i="168" a="1"/>
  <c r="AB10" i="168"/>
  <c r="AA10" i="168"/>
  <c r="Z10" i="168"/>
  <c r="Y10" i="168"/>
  <c r="X10" i="168"/>
  <c r="W10" i="168"/>
  <c r="V10" i="168"/>
  <c r="U10" i="168"/>
  <c r="T10" i="168"/>
  <c r="S10" i="168"/>
  <c r="R10" i="168"/>
  <c r="Q10" i="168"/>
  <c r="P10" i="168"/>
  <c r="O10" i="168"/>
  <c r="N10" i="168"/>
  <c r="M10" i="168"/>
  <c r="L10" i="168"/>
  <c r="K10" i="168"/>
  <c r="J10" i="168"/>
  <c r="I10" i="168"/>
  <c r="H10" i="168"/>
  <c r="G10" i="168"/>
  <c r="F10" i="168"/>
  <c r="E10" i="168"/>
  <c r="D10" i="168"/>
  <c r="C10" i="168"/>
  <c r="AB9" i="168" a="1"/>
  <c r="AB9" i="168"/>
  <c r="AA9" i="168"/>
  <c r="Z9" i="168"/>
  <c r="Y9" i="168"/>
  <c r="X9" i="168"/>
  <c r="W9" i="168"/>
  <c r="V9" i="168"/>
  <c r="U9" i="168"/>
  <c r="T9" i="168"/>
  <c r="S9" i="168"/>
  <c r="R9" i="168"/>
  <c r="Q9" i="168"/>
  <c r="P9" i="168"/>
  <c r="O9" i="168"/>
  <c r="N9" i="168"/>
  <c r="M9" i="168"/>
  <c r="L9" i="168"/>
  <c r="K9" i="168"/>
  <c r="J9" i="168"/>
  <c r="I9" i="168"/>
  <c r="H9" i="168"/>
  <c r="G9" i="168"/>
  <c r="F9" i="168"/>
  <c r="E9" i="168"/>
  <c r="D9" i="168"/>
  <c r="C9" i="168"/>
  <c r="AB8" i="168" a="1"/>
  <c r="AB8" i="168"/>
  <c r="AA8" i="168"/>
  <c r="Z8" i="168"/>
  <c r="Y8" i="168"/>
  <c r="X8" i="168"/>
  <c r="W8" i="168"/>
  <c r="V8" i="168"/>
  <c r="U8" i="168"/>
  <c r="T8" i="168"/>
  <c r="S8" i="168"/>
  <c r="R8" i="168"/>
  <c r="Q8" i="168"/>
  <c r="P8" i="168"/>
  <c r="O8" i="168"/>
  <c r="N8" i="168"/>
  <c r="M8" i="168"/>
  <c r="L8" i="168"/>
  <c r="K8" i="168"/>
  <c r="J8" i="168"/>
  <c r="I8" i="168"/>
  <c r="H8" i="168"/>
  <c r="G8" i="168"/>
  <c r="F8" i="168"/>
  <c r="E8" i="168"/>
  <c r="D8" i="168"/>
  <c r="C8" i="168"/>
  <c r="AB7" i="168" a="1"/>
  <c r="AB7" i="168"/>
  <c r="AA7" i="168"/>
  <c r="Z7" i="168"/>
  <c r="Y7" i="168"/>
  <c r="X7" i="168"/>
  <c r="W7" i="168"/>
  <c r="V7" i="168"/>
  <c r="U7" i="168"/>
  <c r="T7" i="168"/>
  <c r="S7" i="168"/>
  <c r="R7" i="168"/>
  <c r="Q7" i="168"/>
  <c r="P7" i="168"/>
  <c r="O7" i="168"/>
  <c r="N7" i="168"/>
  <c r="M7" i="168"/>
  <c r="L7" i="168"/>
  <c r="K7" i="168"/>
  <c r="J7" i="168"/>
  <c r="I7" i="168"/>
  <c r="H7" i="168"/>
  <c r="G7" i="168"/>
  <c r="F7" i="168"/>
  <c r="E7" i="168"/>
  <c r="D7" i="168"/>
  <c r="C7" i="168"/>
  <c r="AB6" i="168" a="1"/>
  <c r="AB6" i="168"/>
  <c r="AA6" i="168"/>
  <c r="Z6" i="168"/>
  <c r="Y6" i="168"/>
  <c r="X6" i="168"/>
  <c r="W6" i="168"/>
  <c r="V6" i="168"/>
  <c r="U6" i="168"/>
  <c r="T6" i="168"/>
  <c r="S6" i="168"/>
  <c r="R6" i="168"/>
  <c r="Q6" i="168"/>
  <c r="P6" i="168"/>
  <c r="O6" i="168"/>
  <c r="N6" i="168"/>
  <c r="M6" i="168"/>
  <c r="L6" i="168"/>
  <c r="K6" i="168"/>
  <c r="J6" i="168"/>
  <c r="I6" i="168"/>
  <c r="H6" i="168"/>
  <c r="G6" i="168"/>
  <c r="F6" i="168"/>
  <c r="E6" i="168"/>
  <c r="D6" i="168"/>
  <c r="C6" i="168"/>
  <c r="AB5" i="168" a="1"/>
  <c r="AB5" i="168"/>
  <c r="AA5" i="168"/>
  <c r="Z5" i="168"/>
  <c r="Y5" i="168"/>
  <c r="X5" i="168"/>
  <c r="W5" i="168"/>
  <c r="V5" i="168"/>
  <c r="U5" i="168"/>
  <c r="T5" i="168"/>
  <c r="S5" i="168"/>
  <c r="R5" i="168"/>
  <c r="Q5" i="168"/>
  <c r="P5" i="168"/>
  <c r="O5" i="168"/>
  <c r="N5" i="168"/>
  <c r="M5" i="168"/>
  <c r="L5" i="168"/>
  <c r="K5" i="168"/>
  <c r="J5" i="168"/>
  <c r="I5" i="168"/>
  <c r="H5" i="168"/>
  <c r="G5" i="168"/>
  <c r="F5" i="168"/>
  <c r="E5" i="168"/>
  <c r="D5" i="168"/>
  <c r="C5" i="168"/>
  <c r="AB4" i="168" a="1"/>
  <c r="AB4" i="168"/>
  <c r="AA4" i="168"/>
  <c r="Z4" i="168"/>
  <c r="Y4" i="168"/>
  <c r="X4" i="168"/>
  <c r="W4" i="168"/>
  <c r="V4" i="168"/>
  <c r="U4" i="168"/>
  <c r="T4" i="168"/>
  <c r="S4" i="168"/>
  <c r="R4" i="168"/>
  <c r="Q4" i="168"/>
  <c r="P4" i="168"/>
  <c r="O4" i="168"/>
  <c r="N4" i="168"/>
  <c r="M4" i="168"/>
  <c r="L4" i="168"/>
  <c r="K4" i="168"/>
  <c r="J4" i="168"/>
  <c r="I4" i="168"/>
  <c r="H4" i="168"/>
  <c r="G4" i="168"/>
  <c r="F4" i="168"/>
  <c r="E4" i="168"/>
  <c r="D4" i="168"/>
  <c r="C4" i="168"/>
  <c r="AB3" i="168" a="1"/>
  <c r="AB3" i="168"/>
  <c r="AA3" i="168"/>
  <c r="Z3" i="168"/>
  <c r="Y3" i="168"/>
  <c r="X3" i="168"/>
  <c r="W3" i="168"/>
  <c r="V3" i="168"/>
  <c r="U3" i="168"/>
  <c r="T3" i="168"/>
  <c r="S3" i="168"/>
  <c r="R3" i="168"/>
  <c r="Q3" i="168"/>
  <c r="P3" i="168"/>
  <c r="O3" i="168"/>
  <c r="N3" i="168"/>
  <c r="M3" i="168"/>
  <c r="L3" i="168"/>
  <c r="K3" i="168"/>
  <c r="J3" i="168"/>
  <c r="I3" i="168"/>
  <c r="H3" i="168"/>
  <c r="G3" i="168"/>
  <c r="F3" i="168"/>
  <c r="E3" i="168"/>
  <c r="D3" i="168"/>
  <c r="C3" i="168"/>
  <c r="AB2" i="168" a="1"/>
  <c r="AB2" i="168"/>
  <c r="AA2" i="168"/>
  <c r="Z2" i="168"/>
  <c r="Y2" i="168"/>
  <c r="X2" i="168"/>
  <c r="W2" i="168"/>
  <c r="V2" i="168"/>
  <c r="U2" i="168"/>
  <c r="T2" i="168"/>
  <c r="S2" i="168"/>
  <c r="R2" i="168"/>
  <c r="Q2" i="168"/>
  <c r="P2" i="168"/>
  <c r="O2" i="168"/>
  <c r="N2" i="168"/>
  <c r="M2" i="168"/>
  <c r="L2" i="168"/>
  <c r="K2" i="168"/>
  <c r="J2" i="168"/>
  <c r="I2" i="168"/>
  <c r="H2" i="168"/>
  <c r="G2" i="168"/>
  <c r="F2" i="168"/>
  <c r="E2" i="168"/>
  <c r="D2" i="168"/>
  <c r="C2" i="168"/>
  <c r="AA117" i="133"/>
  <c r="AA116" i="133"/>
  <c r="Y116" i="133"/>
  <c r="Y115" i="133"/>
  <c r="Y114" i="133"/>
  <c r="Y113" i="133"/>
  <c r="Y112" i="133"/>
  <c r="Y111" i="133"/>
  <c r="Y110" i="133"/>
  <c r="AC109" i="133"/>
  <c r="AA109" i="133"/>
  <c r="Y109" i="133"/>
  <c r="Y108" i="133"/>
  <c r="Y107" i="133"/>
  <c r="AA105" i="133"/>
  <c r="AA104" i="133"/>
  <c r="AA103" i="133"/>
  <c r="AA101" i="133"/>
  <c r="Z101" i="133"/>
  <c r="Y101" i="133"/>
  <c r="X101" i="133"/>
  <c r="W101" i="133"/>
  <c r="V101" i="133"/>
  <c r="U101" i="133"/>
  <c r="T101" i="133"/>
  <c r="S101" i="133"/>
  <c r="R101" i="133"/>
  <c r="Q101" i="133"/>
  <c r="P101" i="133"/>
  <c r="O101" i="133"/>
  <c r="N101" i="133"/>
  <c r="M101" i="133"/>
  <c r="L101" i="133"/>
  <c r="K101" i="133"/>
  <c r="J101" i="133"/>
  <c r="I101" i="133"/>
  <c r="H101" i="133"/>
  <c r="G101" i="133"/>
  <c r="F101" i="133"/>
  <c r="E101" i="133"/>
  <c r="D101" i="133"/>
  <c r="C101" i="133"/>
  <c r="AB45" i="133" a="1"/>
  <c r="AB45" i="133"/>
  <c r="AB44" i="133" a="1"/>
  <c r="AB44" i="133"/>
  <c r="AB43" i="133" a="1"/>
  <c r="AB43" i="133"/>
  <c r="AB42" i="133" a="1"/>
  <c r="AB42" i="133"/>
  <c r="AB41" i="133" a="1"/>
  <c r="AB41" i="133"/>
  <c r="AB40" i="133" a="1"/>
  <c r="AB40" i="133"/>
  <c r="AB39" i="133" a="1"/>
  <c r="AB39" i="133"/>
  <c r="AB38" i="133" a="1"/>
  <c r="AB38" i="133"/>
  <c r="AB37" i="133" a="1"/>
  <c r="AB37" i="133"/>
  <c r="AA37" i="133"/>
  <c r="Z37" i="133"/>
  <c r="Y37" i="133"/>
  <c r="X37" i="133"/>
  <c r="W37" i="133"/>
  <c r="V37" i="133"/>
  <c r="U37" i="133"/>
  <c r="T37" i="133"/>
  <c r="S37" i="133"/>
  <c r="R37" i="133"/>
  <c r="Q37" i="133"/>
  <c r="P37" i="133"/>
  <c r="O37" i="133"/>
  <c r="N37" i="133"/>
  <c r="M37" i="133"/>
  <c r="L37" i="133"/>
  <c r="K37" i="133"/>
  <c r="J37" i="133"/>
  <c r="I37" i="133"/>
  <c r="H37" i="133"/>
  <c r="G37" i="133"/>
  <c r="F37" i="133"/>
  <c r="E37" i="133"/>
  <c r="D37" i="133"/>
  <c r="C37" i="133"/>
  <c r="AB36" i="133" a="1"/>
  <c r="AB36" i="133"/>
  <c r="AA36" i="133"/>
  <c r="Z36" i="133"/>
  <c r="Y36" i="133"/>
  <c r="X36" i="133"/>
  <c r="W36" i="133"/>
  <c r="V36" i="133"/>
  <c r="U36" i="133"/>
  <c r="T36" i="133"/>
  <c r="S36" i="133"/>
  <c r="R36" i="133"/>
  <c r="Q36" i="133"/>
  <c r="P36" i="133"/>
  <c r="O36" i="133"/>
  <c r="N36" i="133"/>
  <c r="M36" i="133"/>
  <c r="L36" i="133"/>
  <c r="K36" i="133"/>
  <c r="J36" i="133"/>
  <c r="I36" i="133"/>
  <c r="H36" i="133"/>
  <c r="G36" i="133"/>
  <c r="F36" i="133"/>
  <c r="E36" i="133"/>
  <c r="D36" i="133"/>
  <c r="C36" i="133"/>
  <c r="AB35" i="133" a="1"/>
  <c r="AB35" i="133"/>
  <c r="AA35" i="133"/>
  <c r="Z35" i="133"/>
  <c r="Y35" i="133"/>
  <c r="X35" i="133"/>
  <c r="W35" i="133"/>
  <c r="V35" i="133"/>
  <c r="U35" i="133"/>
  <c r="T35" i="133"/>
  <c r="S35" i="133"/>
  <c r="R35" i="133"/>
  <c r="Q35" i="133"/>
  <c r="P35" i="133"/>
  <c r="O35" i="133"/>
  <c r="N35" i="133"/>
  <c r="M35" i="133"/>
  <c r="L35" i="133"/>
  <c r="K35" i="133"/>
  <c r="J35" i="133"/>
  <c r="I35" i="133"/>
  <c r="H35" i="133"/>
  <c r="G35" i="133"/>
  <c r="F35" i="133"/>
  <c r="E35" i="133"/>
  <c r="D35" i="133"/>
  <c r="C35" i="133"/>
  <c r="AB34" i="133" a="1"/>
  <c r="AB34" i="133"/>
  <c r="AA34" i="133"/>
  <c r="Z34" i="133"/>
  <c r="Y34" i="133"/>
  <c r="X34" i="133"/>
  <c r="W34" i="133"/>
  <c r="V34" i="133"/>
  <c r="U34" i="133"/>
  <c r="T34" i="133"/>
  <c r="S34" i="133"/>
  <c r="R34" i="133"/>
  <c r="Q34" i="133"/>
  <c r="P34" i="133"/>
  <c r="O34" i="133"/>
  <c r="N34" i="133"/>
  <c r="M34" i="133"/>
  <c r="L34" i="133"/>
  <c r="K34" i="133"/>
  <c r="J34" i="133"/>
  <c r="I34" i="133"/>
  <c r="H34" i="133"/>
  <c r="G34" i="133"/>
  <c r="F34" i="133"/>
  <c r="E34" i="133"/>
  <c r="D34" i="133"/>
  <c r="C34" i="133"/>
  <c r="AB33" i="133" a="1"/>
  <c r="AB33" i="133"/>
  <c r="AA33" i="133"/>
  <c r="Z33" i="133"/>
  <c r="Y33" i="133"/>
  <c r="X33" i="133"/>
  <c r="W33" i="133"/>
  <c r="V33" i="133"/>
  <c r="U33" i="133"/>
  <c r="T33" i="133"/>
  <c r="S33" i="133"/>
  <c r="R33" i="133"/>
  <c r="Q33" i="133"/>
  <c r="P33" i="133"/>
  <c r="O33" i="133"/>
  <c r="N33" i="133"/>
  <c r="M33" i="133"/>
  <c r="L33" i="133"/>
  <c r="K33" i="133"/>
  <c r="J33" i="133"/>
  <c r="I33" i="133"/>
  <c r="H33" i="133"/>
  <c r="G33" i="133"/>
  <c r="F33" i="133"/>
  <c r="E33" i="133"/>
  <c r="D33" i="133"/>
  <c r="C33" i="133"/>
  <c r="AB32" i="133" a="1"/>
  <c r="AB32" i="133"/>
  <c r="AA32" i="133"/>
  <c r="Z32" i="133"/>
  <c r="Y32" i="133"/>
  <c r="X32" i="133"/>
  <c r="W32" i="133"/>
  <c r="V32" i="133"/>
  <c r="U32" i="133"/>
  <c r="T32" i="133"/>
  <c r="S32" i="133"/>
  <c r="R32" i="133"/>
  <c r="Q32" i="133"/>
  <c r="P32" i="133"/>
  <c r="O32" i="133"/>
  <c r="N32" i="133"/>
  <c r="M32" i="133"/>
  <c r="L32" i="133"/>
  <c r="K32" i="133"/>
  <c r="J32" i="133"/>
  <c r="I32" i="133"/>
  <c r="H32" i="133"/>
  <c r="G32" i="133"/>
  <c r="F32" i="133"/>
  <c r="E32" i="133"/>
  <c r="D32" i="133"/>
  <c r="C32" i="133"/>
  <c r="AB31" i="133" a="1"/>
  <c r="AB31" i="133"/>
  <c r="AA31" i="133"/>
  <c r="Z31" i="133"/>
  <c r="Y31" i="133"/>
  <c r="X31" i="133"/>
  <c r="W31" i="133"/>
  <c r="V31" i="133"/>
  <c r="U31" i="133"/>
  <c r="T31" i="133"/>
  <c r="S31" i="133"/>
  <c r="R31" i="133"/>
  <c r="Q31" i="133"/>
  <c r="P31" i="133"/>
  <c r="O31" i="133"/>
  <c r="N31" i="133"/>
  <c r="M31" i="133"/>
  <c r="L31" i="133"/>
  <c r="K31" i="133"/>
  <c r="J31" i="133"/>
  <c r="I31" i="133"/>
  <c r="H31" i="133"/>
  <c r="G31" i="133"/>
  <c r="F31" i="133"/>
  <c r="E31" i="133"/>
  <c r="D31" i="133"/>
  <c r="C31" i="133"/>
  <c r="AB30" i="133" a="1"/>
  <c r="AB30" i="133"/>
  <c r="AA30" i="133"/>
  <c r="Z30" i="133"/>
  <c r="Y30" i="133"/>
  <c r="X30" i="133"/>
  <c r="W30" i="133"/>
  <c r="V30" i="133"/>
  <c r="U30" i="133"/>
  <c r="T30" i="133"/>
  <c r="S30" i="133"/>
  <c r="R30" i="133"/>
  <c r="Q30" i="133"/>
  <c r="P30" i="133"/>
  <c r="O30" i="133"/>
  <c r="N30" i="133"/>
  <c r="M30" i="133"/>
  <c r="L30" i="133"/>
  <c r="K30" i="133"/>
  <c r="J30" i="133"/>
  <c r="I30" i="133"/>
  <c r="H30" i="133"/>
  <c r="G30" i="133"/>
  <c r="F30" i="133"/>
  <c r="E30" i="133"/>
  <c r="D30" i="133"/>
  <c r="C30" i="133"/>
  <c r="AB29" i="133" a="1"/>
  <c r="AB29" i="133"/>
  <c r="AA29" i="133"/>
  <c r="Z29" i="133"/>
  <c r="Y29" i="133"/>
  <c r="X29" i="133"/>
  <c r="W29" i="133"/>
  <c r="V29" i="133"/>
  <c r="U29" i="133"/>
  <c r="T29" i="133"/>
  <c r="S29" i="133"/>
  <c r="R29" i="133"/>
  <c r="Q29" i="133"/>
  <c r="P29" i="133"/>
  <c r="O29" i="133"/>
  <c r="N29" i="133"/>
  <c r="M29" i="133"/>
  <c r="L29" i="133"/>
  <c r="K29" i="133"/>
  <c r="J29" i="133"/>
  <c r="I29" i="133"/>
  <c r="H29" i="133"/>
  <c r="G29" i="133"/>
  <c r="F29" i="133"/>
  <c r="E29" i="133"/>
  <c r="D29" i="133"/>
  <c r="C29" i="133"/>
  <c r="AB28" i="133" a="1"/>
  <c r="AB28" i="133"/>
  <c r="AA28" i="133"/>
  <c r="Z28" i="133"/>
  <c r="Y28" i="133"/>
  <c r="X28" i="133"/>
  <c r="W28" i="133"/>
  <c r="V28" i="133"/>
  <c r="U28" i="133"/>
  <c r="T28" i="133"/>
  <c r="S28" i="133"/>
  <c r="R28" i="133"/>
  <c r="Q28" i="133"/>
  <c r="P28" i="133"/>
  <c r="O28" i="133"/>
  <c r="N28" i="133"/>
  <c r="M28" i="133"/>
  <c r="L28" i="133"/>
  <c r="K28" i="133"/>
  <c r="J28" i="133"/>
  <c r="I28" i="133"/>
  <c r="H28" i="133"/>
  <c r="G28" i="133"/>
  <c r="F28" i="133"/>
  <c r="E28" i="133"/>
  <c r="D28" i="133"/>
  <c r="C28" i="133"/>
  <c r="AB27" i="133" a="1"/>
  <c r="AB27" i="133"/>
  <c r="AA27" i="133"/>
  <c r="Z27" i="133"/>
  <c r="Y27" i="133"/>
  <c r="X27" i="133"/>
  <c r="W27" i="133"/>
  <c r="V27" i="133"/>
  <c r="U27" i="133"/>
  <c r="T27" i="133"/>
  <c r="S27" i="133"/>
  <c r="R27" i="133"/>
  <c r="Q27" i="133"/>
  <c r="P27" i="133"/>
  <c r="O27" i="133"/>
  <c r="N27" i="133"/>
  <c r="M27" i="133"/>
  <c r="L27" i="133"/>
  <c r="K27" i="133"/>
  <c r="J27" i="133"/>
  <c r="I27" i="133"/>
  <c r="H27" i="133"/>
  <c r="G27" i="133"/>
  <c r="F27" i="133"/>
  <c r="E27" i="133"/>
  <c r="D27" i="133"/>
  <c r="C27" i="133"/>
  <c r="AB26" i="133" a="1"/>
  <c r="AB26" i="133"/>
  <c r="AA26" i="133"/>
  <c r="Z26" i="133"/>
  <c r="Y26" i="133"/>
  <c r="X26" i="133"/>
  <c r="W26" i="133"/>
  <c r="V26" i="133"/>
  <c r="U26" i="133"/>
  <c r="T26" i="133"/>
  <c r="S26" i="133"/>
  <c r="R26" i="133"/>
  <c r="Q26" i="133"/>
  <c r="P26" i="133"/>
  <c r="O26" i="133"/>
  <c r="N26" i="133"/>
  <c r="M26" i="133"/>
  <c r="L26" i="133"/>
  <c r="K26" i="133"/>
  <c r="J26" i="133"/>
  <c r="I26" i="133"/>
  <c r="H26" i="133"/>
  <c r="G26" i="133"/>
  <c r="F26" i="133"/>
  <c r="E26" i="133"/>
  <c r="D26" i="133"/>
  <c r="C26" i="133"/>
  <c r="AB25" i="133" a="1"/>
  <c r="AB25" i="133"/>
  <c r="Z25" i="133"/>
  <c r="Y25" i="133"/>
  <c r="X25" i="133"/>
  <c r="W25" i="133"/>
  <c r="V25" i="133"/>
  <c r="U25" i="133"/>
  <c r="T25" i="133"/>
  <c r="S25" i="133"/>
  <c r="R25" i="133"/>
  <c r="Q25" i="133"/>
  <c r="P25" i="133"/>
  <c r="O25" i="133"/>
  <c r="N25" i="133"/>
  <c r="M25" i="133"/>
  <c r="L25" i="133"/>
  <c r="K25" i="133"/>
  <c r="J25" i="133"/>
  <c r="I25" i="133"/>
  <c r="H25" i="133"/>
  <c r="G25" i="133"/>
  <c r="F25" i="133"/>
  <c r="E25" i="133"/>
  <c r="D25" i="133"/>
  <c r="C25" i="133"/>
  <c r="AB24" i="133" a="1"/>
  <c r="AB24" i="133"/>
  <c r="AA24" i="133"/>
  <c r="Z24" i="133"/>
  <c r="Y24" i="133"/>
  <c r="X24" i="133"/>
  <c r="W24" i="133"/>
  <c r="V24" i="133"/>
  <c r="U24" i="133"/>
  <c r="T24" i="133"/>
  <c r="S24" i="133"/>
  <c r="R24" i="133"/>
  <c r="Q24" i="133"/>
  <c r="P24" i="133"/>
  <c r="O24" i="133"/>
  <c r="N24" i="133"/>
  <c r="M24" i="133"/>
  <c r="L24" i="133"/>
  <c r="K24" i="133"/>
  <c r="J24" i="133"/>
  <c r="I24" i="133"/>
  <c r="H24" i="133"/>
  <c r="G24" i="133"/>
  <c r="F24" i="133"/>
  <c r="E24" i="133"/>
  <c r="D24" i="133"/>
  <c r="C24" i="133"/>
  <c r="AB23" i="133" a="1"/>
  <c r="AB23" i="133"/>
  <c r="AA23" i="133"/>
  <c r="Z23" i="133"/>
  <c r="Y23" i="133"/>
  <c r="X23" i="133"/>
  <c r="W23" i="133"/>
  <c r="V23" i="133"/>
  <c r="U23" i="133"/>
  <c r="T23" i="133"/>
  <c r="S23" i="133"/>
  <c r="R23" i="133"/>
  <c r="Q23" i="133"/>
  <c r="P23" i="133"/>
  <c r="O23" i="133"/>
  <c r="N23" i="133"/>
  <c r="M23" i="133"/>
  <c r="L23" i="133"/>
  <c r="K23" i="133"/>
  <c r="J23" i="133"/>
  <c r="I23" i="133"/>
  <c r="H23" i="133"/>
  <c r="G23" i="133"/>
  <c r="F23" i="133"/>
  <c r="E23" i="133"/>
  <c r="D23" i="133"/>
  <c r="C23" i="133"/>
  <c r="AB22" i="133" a="1"/>
  <c r="AB22" i="133"/>
  <c r="AA22" i="133"/>
  <c r="Z22" i="133"/>
  <c r="Y22" i="133"/>
  <c r="X22" i="133"/>
  <c r="W22" i="133"/>
  <c r="V22" i="133"/>
  <c r="U22" i="133"/>
  <c r="T22" i="133"/>
  <c r="S22" i="133"/>
  <c r="R22" i="133"/>
  <c r="Q22" i="133"/>
  <c r="P22" i="133"/>
  <c r="O22" i="133"/>
  <c r="N22" i="133"/>
  <c r="M22" i="133"/>
  <c r="L22" i="133"/>
  <c r="K22" i="133"/>
  <c r="J22" i="133"/>
  <c r="I22" i="133"/>
  <c r="H22" i="133"/>
  <c r="G22" i="133"/>
  <c r="F22" i="133"/>
  <c r="E22" i="133"/>
  <c r="D22" i="133"/>
  <c r="C22" i="133"/>
  <c r="AB21" i="133" a="1"/>
  <c r="AB21" i="133"/>
  <c r="AA21" i="133"/>
  <c r="Z21" i="133"/>
  <c r="Y21" i="133"/>
  <c r="X21" i="133"/>
  <c r="W21" i="133"/>
  <c r="V21" i="133"/>
  <c r="U21" i="133"/>
  <c r="T21" i="133"/>
  <c r="S21" i="133"/>
  <c r="R21" i="133"/>
  <c r="Q21" i="133"/>
  <c r="P21" i="133"/>
  <c r="O21" i="133"/>
  <c r="N21" i="133"/>
  <c r="M21" i="133"/>
  <c r="L21" i="133"/>
  <c r="K21" i="133"/>
  <c r="J21" i="133"/>
  <c r="I21" i="133"/>
  <c r="H21" i="133"/>
  <c r="G21" i="133"/>
  <c r="F21" i="133"/>
  <c r="E21" i="133"/>
  <c r="D21" i="133"/>
  <c r="C21" i="133"/>
  <c r="AB20" i="133" a="1"/>
  <c r="AB20" i="133"/>
  <c r="AA20" i="133"/>
  <c r="Z20" i="133"/>
  <c r="Y20" i="133"/>
  <c r="X20" i="133"/>
  <c r="W20" i="133"/>
  <c r="V20" i="133"/>
  <c r="U20" i="133"/>
  <c r="T20" i="133"/>
  <c r="S20" i="133"/>
  <c r="R20" i="133"/>
  <c r="Q20" i="133"/>
  <c r="P20" i="133"/>
  <c r="O20" i="133"/>
  <c r="N20" i="133"/>
  <c r="M20" i="133"/>
  <c r="L20" i="133"/>
  <c r="K20" i="133"/>
  <c r="J20" i="133"/>
  <c r="I20" i="133"/>
  <c r="H20" i="133"/>
  <c r="G20" i="133"/>
  <c r="F20" i="133"/>
  <c r="E20" i="133"/>
  <c r="D20" i="133"/>
  <c r="C20" i="133"/>
  <c r="AB19" i="133" a="1"/>
  <c r="AB19" i="133"/>
  <c r="AA19" i="133"/>
  <c r="Z19" i="133"/>
  <c r="Y19" i="133"/>
  <c r="X19" i="133"/>
  <c r="W19" i="133"/>
  <c r="V19" i="133"/>
  <c r="U19" i="133"/>
  <c r="T19" i="133"/>
  <c r="S19" i="133"/>
  <c r="R19" i="133"/>
  <c r="Q19" i="133"/>
  <c r="P19" i="133"/>
  <c r="O19" i="133"/>
  <c r="N19" i="133"/>
  <c r="M19" i="133"/>
  <c r="L19" i="133"/>
  <c r="K19" i="133"/>
  <c r="J19" i="133"/>
  <c r="I19" i="133"/>
  <c r="H19" i="133"/>
  <c r="G19" i="133"/>
  <c r="F19" i="133"/>
  <c r="E19" i="133"/>
  <c r="D19" i="133"/>
  <c r="C19" i="133"/>
  <c r="AB18" i="133" a="1"/>
  <c r="AB18" i="133"/>
  <c r="AA18" i="133"/>
  <c r="Z18" i="133"/>
  <c r="Y18" i="133"/>
  <c r="X18" i="133"/>
  <c r="W18" i="133"/>
  <c r="V18" i="133"/>
  <c r="U18" i="133"/>
  <c r="T18" i="133"/>
  <c r="S18" i="133"/>
  <c r="R18" i="133"/>
  <c r="Q18" i="133"/>
  <c r="P18" i="133"/>
  <c r="O18" i="133"/>
  <c r="N18" i="133"/>
  <c r="M18" i="133"/>
  <c r="L18" i="133"/>
  <c r="K18" i="133"/>
  <c r="J18" i="133"/>
  <c r="I18" i="133"/>
  <c r="H18" i="133"/>
  <c r="G18" i="133"/>
  <c r="F18" i="133"/>
  <c r="E18" i="133"/>
  <c r="D18" i="133"/>
  <c r="C18" i="133"/>
  <c r="AB17" i="133" a="1"/>
  <c r="AB17" i="133"/>
  <c r="AA17" i="133"/>
  <c r="Z17" i="133"/>
  <c r="Y17" i="133"/>
  <c r="X17" i="133"/>
  <c r="W17" i="133"/>
  <c r="V17" i="133"/>
  <c r="U17" i="133"/>
  <c r="T17" i="133"/>
  <c r="S17" i="133"/>
  <c r="R17" i="133"/>
  <c r="Q17" i="133"/>
  <c r="P17" i="133"/>
  <c r="O17" i="133"/>
  <c r="N17" i="133"/>
  <c r="M17" i="133"/>
  <c r="L17" i="133"/>
  <c r="K17" i="133"/>
  <c r="J17" i="133"/>
  <c r="I17" i="133"/>
  <c r="H17" i="133"/>
  <c r="G17" i="133"/>
  <c r="F17" i="133"/>
  <c r="E17" i="133"/>
  <c r="D17" i="133"/>
  <c r="C17" i="133"/>
  <c r="AB16" i="133" a="1"/>
  <c r="AB16" i="133"/>
  <c r="AA16" i="133"/>
  <c r="Z16" i="133"/>
  <c r="Y16" i="133"/>
  <c r="X16" i="133"/>
  <c r="W16" i="133"/>
  <c r="V16" i="133"/>
  <c r="U16" i="133"/>
  <c r="T16" i="133"/>
  <c r="S16" i="133"/>
  <c r="R16" i="133"/>
  <c r="Q16" i="133"/>
  <c r="P16" i="133"/>
  <c r="O16" i="133"/>
  <c r="N16" i="133"/>
  <c r="M16" i="133"/>
  <c r="L16" i="133"/>
  <c r="K16" i="133"/>
  <c r="J16" i="133"/>
  <c r="I16" i="133"/>
  <c r="H16" i="133"/>
  <c r="G16" i="133"/>
  <c r="F16" i="133"/>
  <c r="E16" i="133"/>
  <c r="D16" i="133"/>
  <c r="C16" i="133"/>
  <c r="AB15" i="133" a="1"/>
  <c r="AB15" i="133"/>
  <c r="AA15" i="133"/>
  <c r="Z15" i="133"/>
  <c r="Y15" i="133"/>
  <c r="X15" i="133"/>
  <c r="W15" i="133"/>
  <c r="V15" i="133"/>
  <c r="U15" i="133"/>
  <c r="T15" i="133"/>
  <c r="S15" i="133"/>
  <c r="R15" i="133"/>
  <c r="Q15" i="133"/>
  <c r="P15" i="133"/>
  <c r="O15" i="133"/>
  <c r="N15" i="133"/>
  <c r="M15" i="133"/>
  <c r="L15" i="133"/>
  <c r="K15" i="133"/>
  <c r="J15" i="133"/>
  <c r="I15" i="133"/>
  <c r="H15" i="133"/>
  <c r="G15" i="133"/>
  <c r="F15" i="133"/>
  <c r="E15" i="133"/>
  <c r="D15" i="133"/>
  <c r="C15" i="133"/>
  <c r="AB14" i="133" a="1"/>
  <c r="AB14" i="133"/>
  <c r="AA14" i="133"/>
  <c r="Z14" i="133"/>
  <c r="Y14" i="133"/>
  <c r="X14" i="133"/>
  <c r="W14" i="133"/>
  <c r="V14" i="133"/>
  <c r="U14" i="133"/>
  <c r="T14" i="133"/>
  <c r="S14" i="133"/>
  <c r="R14" i="133"/>
  <c r="Q14" i="133"/>
  <c r="P14" i="133"/>
  <c r="O14" i="133"/>
  <c r="N14" i="133"/>
  <c r="M14" i="133"/>
  <c r="L14" i="133"/>
  <c r="K14" i="133"/>
  <c r="J14" i="133"/>
  <c r="I14" i="133"/>
  <c r="H14" i="133"/>
  <c r="G14" i="133"/>
  <c r="F14" i="133"/>
  <c r="E14" i="133"/>
  <c r="D14" i="133"/>
  <c r="C14" i="133"/>
  <c r="AB13" i="133" a="1"/>
  <c r="AB13" i="133"/>
  <c r="AA13" i="133"/>
  <c r="Z13" i="133"/>
  <c r="Y13" i="133"/>
  <c r="X13" i="133"/>
  <c r="W13" i="133"/>
  <c r="V13" i="133"/>
  <c r="U13" i="133"/>
  <c r="T13" i="133"/>
  <c r="S13" i="133"/>
  <c r="R13" i="133"/>
  <c r="Q13" i="133"/>
  <c r="P13" i="133"/>
  <c r="O13" i="133"/>
  <c r="N13" i="133"/>
  <c r="M13" i="133"/>
  <c r="L13" i="133"/>
  <c r="K13" i="133"/>
  <c r="J13" i="133"/>
  <c r="I13" i="133"/>
  <c r="H13" i="133"/>
  <c r="G13" i="133"/>
  <c r="F13" i="133"/>
  <c r="E13" i="133"/>
  <c r="D13" i="133"/>
  <c r="C13" i="133"/>
  <c r="AB12" i="133" a="1"/>
  <c r="AB12" i="133"/>
  <c r="AA12" i="133"/>
  <c r="Z12" i="133"/>
  <c r="Y12" i="133"/>
  <c r="X12" i="133"/>
  <c r="W12" i="133"/>
  <c r="V12" i="133"/>
  <c r="U12" i="133"/>
  <c r="T12" i="133"/>
  <c r="S12" i="133"/>
  <c r="R12" i="133"/>
  <c r="Q12" i="133"/>
  <c r="P12" i="133"/>
  <c r="O12" i="133"/>
  <c r="N12" i="133"/>
  <c r="M12" i="133"/>
  <c r="L12" i="133"/>
  <c r="K12" i="133"/>
  <c r="J12" i="133"/>
  <c r="I12" i="133"/>
  <c r="H12" i="133"/>
  <c r="G12" i="133"/>
  <c r="F12" i="133"/>
  <c r="E12" i="133"/>
  <c r="D12" i="133"/>
  <c r="C12" i="133"/>
  <c r="AB11" i="133" a="1"/>
  <c r="AB11" i="133"/>
  <c r="AA11" i="133"/>
  <c r="Z11" i="133"/>
  <c r="Y11" i="133"/>
  <c r="X11" i="133"/>
  <c r="W11" i="133"/>
  <c r="V11" i="133"/>
  <c r="U11" i="133"/>
  <c r="T11" i="133"/>
  <c r="S11" i="133"/>
  <c r="R11" i="133"/>
  <c r="Q11" i="133"/>
  <c r="P11" i="133"/>
  <c r="O11" i="133"/>
  <c r="N11" i="133"/>
  <c r="M11" i="133"/>
  <c r="L11" i="133"/>
  <c r="K11" i="133"/>
  <c r="J11" i="133"/>
  <c r="I11" i="133"/>
  <c r="H11" i="133"/>
  <c r="G11" i="133"/>
  <c r="F11" i="133"/>
  <c r="E11" i="133"/>
  <c r="D11" i="133"/>
  <c r="C11" i="133"/>
  <c r="AB10" i="133" a="1"/>
  <c r="AB10" i="133"/>
  <c r="AA10" i="133"/>
  <c r="Z10" i="133"/>
  <c r="Y10" i="133"/>
  <c r="X10" i="133"/>
  <c r="W10" i="133"/>
  <c r="V10" i="133"/>
  <c r="U10" i="133"/>
  <c r="T10" i="133"/>
  <c r="S10" i="133"/>
  <c r="R10" i="133"/>
  <c r="Q10" i="133"/>
  <c r="P10" i="133"/>
  <c r="O10" i="133"/>
  <c r="N10" i="133"/>
  <c r="M10" i="133"/>
  <c r="L10" i="133"/>
  <c r="K10" i="133"/>
  <c r="J10" i="133"/>
  <c r="I10" i="133"/>
  <c r="H10" i="133"/>
  <c r="G10" i="133"/>
  <c r="F10" i="133"/>
  <c r="E10" i="133"/>
  <c r="D10" i="133"/>
  <c r="C10" i="133"/>
  <c r="AB9" i="133" a="1"/>
  <c r="AB9" i="133"/>
  <c r="AA9" i="133"/>
  <c r="Z9" i="133"/>
  <c r="Y9" i="133"/>
  <c r="X9" i="133"/>
  <c r="W9" i="133"/>
  <c r="V9" i="133"/>
  <c r="U9" i="133"/>
  <c r="T9" i="133"/>
  <c r="S9" i="133"/>
  <c r="R9" i="133"/>
  <c r="Q9" i="133"/>
  <c r="P9" i="133"/>
  <c r="O9" i="133"/>
  <c r="N9" i="133"/>
  <c r="M9" i="133"/>
  <c r="L9" i="133"/>
  <c r="K9" i="133"/>
  <c r="J9" i="133"/>
  <c r="I9" i="133"/>
  <c r="H9" i="133"/>
  <c r="G9" i="133"/>
  <c r="F9" i="133"/>
  <c r="E9" i="133"/>
  <c r="D9" i="133"/>
  <c r="C9" i="133"/>
  <c r="AB8" i="133" a="1"/>
  <c r="AB8" i="133"/>
  <c r="AA8" i="133"/>
  <c r="Z8" i="133"/>
  <c r="Y8" i="133"/>
  <c r="X8" i="133"/>
  <c r="W8" i="133"/>
  <c r="V8" i="133"/>
  <c r="U8" i="133"/>
  <c r="T8" i="133"/>
  <c r="S8" i="133"/>
  <c r="R8" i="133"/>
  <c r="Q8" i="133"/>
  <c r="P8" i="133"/>
  <c r="O8" i="133"/>
  <c r="N8" i="133"/>
  <c r="M8" i="133"/>
  <c r="L8" i="133"/>
  <c r="K8" i="133"/>
  <c r="J8" i="133"/>
  <c r="I8" i="133"/>
  <c r="H8" i="133"/>
  <c r="G8" i="133"/>
  <c r="F8" i="133"/>
  <c r="E8" i="133"/>
  <c r="D8" i="133"/>
  <c r="C8" i="133"/>
  <c r="AB7" i="133" a="1"/>
  <c r="AB7" i="133"/>
  <c r="AA7" i="133"/>
  <c r="Z7" i="133"/>
  <c r="Y7" i="133"/>
  <c r="X7" i="133"/>
  <c r="W7" i="133"/>
  <c r="V7" i="133"/>
  <c r="U7" i="133"/>
  <c r="T7" i="133"/>
  <c r="S7" i="133"/>
  <c r="R7" i="133"/>
  <c r="Q7" i="133"/>
  <c r="P7" i="133"/>
  <c r="O7" i="133"/>
  <c r="N7" i="133"/>
  <c r="M7" i="133"/>
  <c r="L7" i="133"/>
  <c r="K7" i="133"/>
  <c r="J7" i="133"/>
  <c r="I7" i="133"/>
  <c r="H7" i="133"/>
  <c r="G7" i="133"/>
  <c r="F7" i="133"/>
  <c r="E7" i="133"/>
  <c r="D7" i="133"/>
  <c r="C7" i="133"/>
  <c r="AB6" i="133" a="1"/>
  <c r="AB6" i="133"/>
  <c r="AA6" i="133"/>
  <c r="Z6" i="133"/>
  <c r="Y6" i="133"/>
  <c r="X6" i="133"/>
  <c r="W6" i="133"/>
  <c r="V6" i="133"/>
  <c r="U6" i="133"/>
  <c r="T6" i="133"/>
  <c r="S6" i="133"/>
  <c r="R6" i="133"/>
  <c r="Q6" i="133"/>
  <c r="P6" i="133"/>
  <c r="O6" i="133"/>
  <c r="N6" i="133"/>
  <c r="M6" i="133"/>
  <c r="L6" i="133"/>
  <c r="K6" i="133"/>
  <c r="J6" i="133"/>
  <c r="I6" i="133"/>
  <c r="H6" i="133"/>
  <c r="G6" i="133"/>
  <c r="F6" i="133"/>
  <c r="E6" i="133"/>
  <c r="D6" i="133"/>
  <c r="C6" i="133"/>
  <c r="AB5" i="133" a="1"/>
  <c r="AB5" i="133"/>
  <c r="AA5" i="133"/>
  <c r="Z5" i="133"/>
  <c r="Y5" i="133"/>
  <c r="X5" i="133"/>
  <c r="W5" i="133"/>
  <c r="V5" i="133"/>
  <c r="U5" i="133"/>
  <c r="T5" i="133"/>
  <c r="S5" i="133"/>
  <c r="R5" i="133"/>
  <c r="Q5" i="133"/>
  <c r="P5" i="133"/>
  <c r="O5" i="133"/>
  <c r="N5" i="133"/>
  <c r="M5" i="133"/>
  <c r="L5" i="133"/>
  <c r="K5" i="133"/>
  <c r="J5" i="133"/>
  <c r="I5" i="133"/>
  <c r="H5" i="133"/>
  <c r="G5" i="133"/>
  <c r="F5" i="133"/>
  <c r="E5" i="133"/>
  <c r="D5" i="133"/>
  <c r="C5" i="133"/>
  <c r="AB4" i="133" a="1"/>
  <c r="AB4" i="133"/>
  <c r="AA4" i="133"/>
  <c r="Z4" i="133"/>
  <c r="Y4" i="133"/>
  <c r="X4" i="133"/>
  <c r="W4" i="133"/>
  <c r="V4" i="133"/>
  <c r="U4" i="133"/>
  <c r="T4" i="133"/>
  <c r="S4" i="133"/>
  <c r="R4" i="133"/>
  <c r="Q4" i="133"/>
  <c r="P4" i="133"/>
  <c r="O4" i="133"/>
  <c r="N4" i="133"/>
  <c r="M4" i="133"/>
  <c r="L4" i="133"/>
  <c r="K4" i="133"/>
  <c r="J4" i="133"/>
  <c r="I4" i="133"/>
  <c r="H4" i="133"/>
  <c r="G4" i="133"/>
  <c r="F4" i="133"/>
  <c r="E4" i="133"/>
  <c r="D4" i="133"/>
  <c r="C4" i="133"/>
  <c r="AB3" i="133" a="1"/>
  <c r="AB3" i="133"/>
  <c r="AA3" i="133"/>
  <c r="Z3" i="133"/>
  <c r="Y3" i="133"/>
  <c r="X3" i="133"/>
  <c r="W3" i="133"/>
  <c r="V3" i="133"/>
  <c r="U3" i="133"/>
  <c r="T3" i="133"/>
  <c r="S3" i="133"/>
  <c r="R3" i="133"/>
  <c r="Q3" i="133"/>
  <c r="P3" i="133"/>
  <c r="O3" i="133"/>
  <c r="N3" i="133"/>
  <c r="M3" i="133"/>
  <c r="L3" i="133"/>
  <c r="K3" i="133"/>
  <c r="J3" i="133"/>
  <c r="I3" i="133"/>
  <c r="H3" i="133"/>
  <c r="G3" i="133"/>
  <c r="F3" i="133"/>
  <c r="E3" i="133"/>
  <c r="D3" i="133"/>
  <c r="C3" i="133"/>
  <c r="AB2" i="133" a="1"/>
  <c r="AB2" i="133"/>
  <c r="AA2" i="133"/>
  <c r="Z2" i="133"/>
  <c r="Y2" i="133"/>
  <c r="X2" i="133"/>
  <c r="W2" i="133"/>
  <c r="V2" i="133"/>
  <c r="U2" i="133"/>
  <c r="T2" i="133"/>
  <c r="S2" i="133"/>
  <c r="R2" i="133"/>
  <c r="Q2" i="133"/>
  <c r="P2" i="133"/>
  <c r="O2" i="133"/>
  <c r="N2" i="133"/>
  <c r="M2" i="133"/>
  <c r="L2" i="133"/>
  <c r="K2" i="133"/>
  <c r="J2" i="133"/>
  <c r="I2" i="133"/>
  <c r="H2" i="133"/>
  <c r="G2" i="133"/>
  <c r="F2" i="133"/>
  <c r="E2" i="133"/>
  <c r="D2" i="133"/>
  <c r="C2" i="133"/>
  <c r="AA105" i="167"/>
  <c r="AA104" i="167"/>
  <c r="AA103" i="167"/>
  <c r="AA101" i="167"/>
  <c r="Z101" i="167"/>
  <c r="Y101" i="167"/>
  <c r="X101" i="167"/>
  <c r="W101" i="167"/>
  <c r="V101" i="167"/>
  <c r="U101" i="167"/>
  <c r="T101" i="167"/>
  <c r="S101" i="167"/>
  <c r="R101" i="167"/>
  <c r="Q101" i="167"/>
  <c r="P101" i="167"/>
  <c r="O101" i="167"/>
  <c r="N101" i="167"/>
  <c r="M101" i="167"/>
  <c r="L101" i="167"/>
  <c r="K101" i="167"/>
  <c r="J101" i="167"/>
  <c r="I101" i="167"/>
  <c r="H101" i="167"/>
  <c r="G101" i="167"/>
  <c r="F101" i="167"/>
  <c r="E101" i="167"/>
  <c r="D101" i="167"/>
  <c r="C101" i="167"/>
  <c r="Z46" i="167"/>
  <c r="Y46" i="167"/>
  <c r="X46" i="167"/>
  <c r="W46" i="167"/>
  <c r="V46" i="167"/>
  <c r="U46" i="167"/>
  <c r="T46" i="167"/>
  <c r="S46" i="167"/>
  <c r="R46" i="167"/>
  <c r="Q46" i="167"/>
  <c r="P46" i="167"/>
  <c r="O46" i="167"/>
  <c r="N46" i="167"/>
  <c r="M46" i="167"/>
  <c r="L46" i="167"/>
  <c r="K46" i="167"/>
  <c r="J46" i="167"/>
  <c r="I46" i="167"/>
  <c r="H46" i="167"/>
  <c r="G46" i="167"/>
  <c r="F46" i="167"/>
  <c r="E46" i="167"/>
  <c r="D46" i="167"/>
  <c r="C46" i="167"/>
  <c r="AB45" i="167" a="1"/>
  <c r="AB45" i="167"/>
  <c r="Z45" i="167"/>
  <c r="Y45" i="167"/>
  <c r="X45" i="167"/>
  <c r="W45" i="167"/>
  <c r="V45" i="167"/>
  <c r="U45" i="167"/>
  <c r="T45" i="167"/>
  <c r="S45" i="167"/>
  <c r="R45" i="167"/>
  <c r="Q45" i="167"/>
  <c r="P45" i="167"/>
  <c r="O45" i="167"/>
  <c r="N45" i="167"/>
  <c r="M45" i="167"/>
  <c r="L45" i="167"/>
  <c r="K45" i="167"/>
  <c r="J45" i="167"/>
  <c r="I45" i="167"/>
  <c r="H45" i="167"/>
  <c r="G45" i="167"/>
  <c r="F45" i="167"/>
  <c r="E45" i="167"/>
  <c r="D45" i="167"/>
  <c r="C45" i="167"/>
  <c r="AB44" i="167" a="1"/>
  <c r="AB44" i="167"/>
  <c r="Z44" i="167"/>
  <c r="Y44" i="167"/>
  <c r="X44" i="167"/>
  <c r="W44" i="167"/>
  <c r="V44" i="167"/>
  <c r="U44" i="167"/>
  <c r="T44" i="167"/>
  <c r="S44" i="167"/>
  <c r="R44" i="167"/>
  <c r="Q44" i="167"/>
  <c r="P44" i="167"/>
  <c r="O44" i="167"/>
  <c r="N44" i="167"/>
  <c r="M44" i="167"/>
  <c r="L44" i="167"/>
  <c r="K44" i="167"/>
  <c r="J44" i="167"/>
  <c r="I44" i="167"/>
  <c r="H44" i="167"/>
  <c r="G44" i="167"/>
  <c r="F44" i="167"/>
  <c r="E44" i="167"/>
  <c r="D44" i="167"/>
  <c r="C44" i="167"/>
  <c r="AB43" i="167" a="1"/>
  <c r="AB43" i="167"/>
  <c r="Z43" i="167"/>
  <c r="Y43" i="167"/>
  <c r="X43" i="167"/>
  <c r="W43" i="167"/>
  <c r="V43" i="167"/>
  <c r="U43" i="167"/>
  <c r="T43" i="167"/>
  <c r="S43" i="167"/>
  <c r="R43" i="167"/>
  <c r="Q43" i="167"/>
  <c r="P43" i="167"/>
  <c r="O43" i="167"/>
  <c r="N43" i="167"/>
  <c r="M43" i="167"/>
  <c r="L43" i="167"/>
  <c r="K43" i="167"/>
  <c r="J43" i="167"/>
  <c r="I43" i="167"/>
  <c r="H43" i="167"/>
  <c r="G43" i="167"/>
  <c r="F43" i="167"/>
  <c r="E43" i="167"/>
  <c r="D43" i="167"/>
  <c r="C43" i="167"/>
  <c r="AB42" i="167" a="1"/>
  <c r="AB42" i="167"/>
  <c r="Z42" i="167"/>
  <c r="Y42" i="167"/>
  <c r="X42" i="167"/>
  <c r="W42" i="167"/>
  <c r="V42" i="167"/>
  <c r="U42" i="167"/>
  <c r="T42" i="167"/>
  <c r="S42" i="167"/>
  <c r="R42" i="167"/>
  <c r="Q42" i="167"/>
  <c r="P42" i="167"/>
  <c r="O42" i="167"/>
  <c r="N42" i="167"/>
  <c r="M42" i="167"/>
  <c r="L42" i="167"/>
  <c r="K42" i="167"/>
  <c r="J42" i="167"/>
  <c r="I42" i="167"/>
  <c r="H42" i="167"/>
  <c r="G42" i="167"/>
  <c r="F42" i="167"/>
  <c r="E42" i="167"/>
  <c r="D42" i="167"/>
  <c r="C42" i="167"/>
  <c r="AB41" i="167" a="1"/>
  <c r="AB41" i="167"/>
  <c r="Z41" i="167"/>
  <c r="Y41" i="167"/>
  <c r="X41" i="167"/>
  <c r="W41" i="167"/>
  <c r="V41" i="167"/>
  <c r="U41" i="167"/>
  <c r="T41" i="167"/>
  <c r="S41" i="167"/>
  <c r="R41" i="167"/>
  <c r="Q41" i="167"/>
  <c r="P41" i="167"/>
  <c r="O41" i="167"/>
  <c r="N41" i="167"/>
  <c r="M41" i="167"/>
  <c r="L41" i="167"/>
  <c r="K41" i="167"/>
  <c r="J41" i="167"/>
  <c r="I41" i="167"/>
  <c r="H41" i="167"/>
  <c r="G41" i="167"/>
  <c r="F41" i="167"/>
  <c r="E41" i="167"/>
  <c r="D41" i="167"/>
  <c r="C41" i="167"/>
  <c r="AB40" i="167" a="1"/>
  <c r="AB40" i="167"/>
  <c r="Z40" i="167"/>
  <c r="Y40" i="167"/>
  <c r="X40" i="167"/>
  <c r="W40" i="167"/>
  <c r="V40" i="167"/>
  <c r="U40" i="167"/>
  <c r="T40" i="167"/>
  <c r="S40" i="167"/>
  <c r="R40" i="167"/>
  <c r="Q40" i="167"/>
  <c r="P40" i="167"/>
  <c r="O40" i="167"/>
  <c r="N40" i="167"/>
  <c r="M40" i="167"/>
  <c r="L40" i="167"/>
  <c r="K40" i="167"/>
  <c r="J40" i="167"/>
  <c r="I40" i="167"/>
  <c r="H40" i="167"/>
  <c r="G40" i="167"/>
  <c r="F40" i="167"/>
  <c r="E40" i="167"/>
  <c r="D40" i="167"/>
  <c r="C40" i="167"/>
  <c r="AB39" i="167" a="1"/>
  <c r="AB39" i="167"/>
  <c r="Z39" i="167"/>
  <c r="Y39" i="167"/>
  <c r="X39" i="167"/>
  <c r="W39" i="167"/>
  <c r="V39" i="167"/>
  <c r="U39" i="167"/>
  <c r="T39" i="167"/>
  <c r="S39" i="167"/>
  <c r="R39" i="167"/>
  <c r="Q39" i="167"/>
  <c r="P39" i="167"/>
  <c r="O39" i="167"/>
  <c r="N39" i="167"/>
  <c r="M39" i="167"/>
  <c r="L39" i="167"/>
  <c r="K39" i="167"/>
  <c r="J39" i="167"/>
  <c r="I39" i="167"/>
  <c r="H39" i="167"/>
  <c r="G39" i="167"/>
  <c r="F39" i="167"/>
  <c r="E39" i="167"/>
  <c r="D39" i="167"/>
  <c r="C39" i="167"/>
  <c r="AB38" i="167" a="1"/>
  <c r="AB38" i="167"/>
  <c r="Z38" i="167"/>
  <c r="Y38" i="167"/>
  <c r="X38" i="167"/>
  <c r="W38" i="167"/>
  <c r="V38" i="167"/>
  <c r="U38" i="167"/>
  <c r="T38" i="167"/>
  <c r="S38" i="167"/>
  <c r="R38" i="167"/>
  <c r="Q38" i="167"/>
  <c r="P38" i="167"/>
  <c r="O38" i="167"/>
  <c r="N38" i="167"/>
  <c r="M38" i="167"/>
  <c r="L38" i="167"/>
  <c r="K38" i="167"/>
  <c r="J38" i="167"/>
  <c r="I38" i="167"/>
  <c r="H38" i="167"/>
  <c r="G38" i="167"/>
  <c r="F38" i="167"/>
  <c r="E38" i="167"/>
  <c r="D38" i="167"/>
  <c r="C38" i="167"/>
  <c r="AB37" i="167" a="1"/>
  <c r="AB37" i="167"/>
  <c r="Z37" i="167"/>
  <c r="Y37" i="167"/>
  <c r="X37" i="167"/>
  <c r="W37" i="167"/>
  <c r="V37" i="167"/>
  <c r="U37" i="167"/>
  <c r="T37" i="167"/>
  <c r="S37" i="167"/>
  <c r="R37" i="167"/>
  <c r="Q37" i="167"/>
  <c r="P37" i="167"/>
  <c r="O37" i="167"/>
  <c r="N37" i="167"/>
  <c r="M37" i="167"/>
  <c r="L37" i="167"/>
  <c r="K37" i="167"/>
  <c r="J37" i="167"/>
  <c r="I37" i="167"/>
  <c r="H37" i="167"/>
  <c r="G37" i="167"/>
  <c r="F37" i="167"/>
  <c r="E37" i="167"/>
  <c r="D37" i="167"/>
  <c r="C37" i="167"/>
  <c r="AB36" i="167" a="1"/>
  <c r="AB36" i="167"/>
  <c r="Z36" i="167"/>
  <c r="Y36" i="167"/>
  <c r="X36" i="167"/>
  <c r="W36" i="167"/>
  <c r="V36" i="167"/>
  <c r="U36" i="167"/>
  <c r="T36" i="167"/>
  <c r="S36" i="167"/>
  <c r="R36" i="167"/>
  <c r="Q36" i="167"/>
  <c r="P36" i="167"/>
  <c r="O36" i="167"/>
  <c r="N36" i="167"/>
  <c r="M36" i="167"/>
  <c r="L36" i="167"/>
  <c r="K36" i="167"/>
  <c r="J36" i="167"/>
  <c r="I36" i="167"/>
  <c r="H36" i="167"/>
  <c r="G36" i="167"/>
  <c r="F36" i="167"/>
  <c r="E36" i="167"/>
  <c r="D36" i="167"/>
  <c r="C36" i="167"/>
  <c r="AB35" i="167" a="1"/>
  <c r="AB35" i="167"/>
  <c r="Z35" i="167"/>
  <c r="Y35" i="167"/>
  <c r="X35" i="167"/>
  <c r="W35" i="167"/>
  <c r="V35" i="167"/>
  <c r="U35" i="167"/>
  <c r="T35" i="167"/>
  <c r="S35" i="167"/>
  <c r="R35" i="167"/>
  <c r="Q35" i="167"/>
  <c r="P35" i="167"/>
  <c r="O35" i="167"/>
  <c r="N35" i="167"/>
  <c r="M35" i="167"/>
  <c r="L35" i="167"/>
  <c r="K35" i="167"/>
  <c r="J35" i="167"/>
  <c r="I35" i="167"/>
  <c r="H35" i="167"/>
  <c r="G35" i="167"/>
  <c r="F35" i="167"/>
  <c r="E35" i="167"/>
  <c r="D35" i="167"/>
  <c r="C35" i="167"/>
  <c r="AB34" i="167" a="1"/>
  <c r="AB34" i="167"/>
  <c r="Z34" i="167"/>
  <c r="Y34" i="167"/>
  <c r="X34" i="167"/>
  <c r="W34" i="167"/>
  <c r="V34" i="167"/>
  <c r="U34" i="167"/>
  <c r="T34" i="167"/>
  <c r="S34" i="167"/>
  <c r="R34" i="167"/>
  <c r="Q34" i="167"/>
  <c r="P34" i="167"/>
  <c r="O34" i="167"/>
  <c r="N34" i="167"/>
  <c r="M34" i="167"/>
  <c r="L34" i="167"/>
  <c r="K34" i="167"/>
  <c r="J34" i="167"/>
  <c r="I34" i="167"/>
  <c r="H34" i="167"/>
  <c r="G34" i="167"/>
  <c r="F34" i="167"/>
  <c r="E34" i="167"/>
  <c r="D34" i="167"/>
  <c r="C34" i="167"/>
  <c r="AB33" i="167" a="1"/>
  <c r="AB33" i="167"/>
  <c r="Z33" i="167"/>
  <c r="Y33" i="167"/>
  <c r="X33" i="167"/>
  <c r="W33" i="167"/>
  <c r="V33" i="167"/>
  <c r="U33" i="167"/>
  <c r="T33" i="167"/>
  <c r="S33" i="167"/>
  <c r="R33" i="167"/>
  <c r="Q33" i="167"/>
  <c r="P33" i="167"/>
  <c r="O33" i="167"/>
  <c r="N33" i="167"/>
  <c r="M33" i="167"/>
  <c r="L33" i="167"/>
  <c r="K33" i="167"/>
  <c r="J33" i="167"/>
  <c r="I33" i="167"/>
  <c r="H33" i="167"/>
  <c r="G33" i="167"/>
  <c r="F33" i="167"/>
  <c r="E33" i="167"/>
  <c r="D33" i="167"/>
  <c r="C33" i="167"/>
  <c r="AB32" i="167" a="1"/>
  <c r="AB32" i="167"/>
  <c r="Z32" i="167"/>
  <c r="Y32" i="167"/>
  <c r="X32" i="167"/>
  <c r="W32" i="167"/>
  <c r="V32" i="167"/>
  <c r="U32" i="167"/>
  <c r="T32" i="167"/>
  <c r="S32" i="167"/>
  <c r="R32" i="167"/>
  <c r="Q32" i="167"/>
  <c r="P32" i="167"/>
  <c r="O32" i="167"/>
  <c r="N32" i="167"/>
  <c r="M32" i="167"/>
  <c r="L32" i="167"/>
  <c r="K32" i="167"/>
  <c r="J32" i="167"/>
  <c r="I32" i="167"/>
  <c r="H32" i="167"/>
  <c r="G32" i="167"/>
  <c r="F32" i="167"/>
  <c r="E32" i="167"/>
  <c r="D32" i="167"/>
  <c r="C32" i="167"/>
  <c r="AB31" i="167" a="1"/>
  <c r="AB31" i="167"/>
  <c r="Z31" i="167"/>
  <c r="Y31" i="167"/>
  <c r="X31" i="167"/>
  <c r="W31" i="167"/>
  <c r="V31" i="167"/>
  <c r="U31" i="167"/>
  <c r="T31" i="167"/>
  <c r="S31" i="167"/>
  <c r="R31" i="167"/>
  <c r="Q31" i="167"/>
  <c r="P31" i="167"/>
  <c r="O31" i="167"/>
  <c r="N31" i="167"/>
  <c r="M31" i="167"/>
  <c r="L31" i="167"/>
  <c r="K31" i="167"/>
  <c r="J31" i="167"/>
  <c r="I31" i="167"/>
  <c r="H31" i="167"/>
  <c r="G31" i="167"/>
  <c r="F31" i="167"/>
  <c r="E31" i="167"/>
  <c r="D31" i="167"/>
  <c r="C31" i="167"/>
  <c r="AB30" i="167" a="1"/>
  <c r="AB30" i="167"/>
  <c r="Z30" i="167"/>
  <c r="Y30" i="167"/>
  <c r="X30" i="167"/>
  <c r="W30" i="167"/>
  <c r="V30" i="167"/>
  <c r="U30" i="167"/>
  <c r="T30" i="167"/>
  <c r="S30" i="167"/>
  <c r="R30" i="167"/>
  <c r="Q30" i="167"/>
  <c r="P30" i="167"/>
  <c r="O30" i="167"/>
  <c r="N30" i="167"/>
  <c r="M30" i="167"/>
  <c r="L30" i="167"/>
  <c r="K30" i="167"/>
  <c r="J30" i="167"/>
  <c r="I30" i="167"/>
  <c r="H30" i="167"/>
  <c r="G30" i="167"/>
  <c r="F30" i="167"/>
  <c r="E30" i="167"/>
  <c r="D30" i="167"/>
  <c r="C30" i="167"/>
  <c r="AB29" i="167" a="1"/>
  <c r="AB29" i="167"/>
  <c r="AA29" i="167"/>
  <c r="Z29" i="167"/>
  <c r="Y29" i="167"/>
  <c r="X29" i="167"/>
  <c r="W29" i="167"/>
  <c r="V29" i="167"/>
  <c r="U29" i="167"/>
  <c r="T29" i="167"/>
  <c r="S29" i="167"/>
  <c r="R29" i="167"/>
  <c r="Q29" i="167"/>
  <c r="P29" i="167"/>
  <c r="O29" i="167"/>
  <c r="N29" i="167"/>
  <c r="M29" i="167"/>
  <c r="L29" i="167"/>
  <c r="K29" i="167"/>
  <c r="J29" i="167"/>
  <c r="I29" i="167"/>
  <c r="H29" i="167"/>
  <c r="G29" i="167"/>
  <c r="F29" i="167"/>
  <c r="E29" i="167"/>
  <c r="D29" i="167"/>
  <c r="C29" i="167"/>
  <c r="AB28" i="167" a="1"/>
  <c r="AB28" i="167"/>
  <c r="AA28" i="167"/>
  <c r="Z28" i="167"/>
  <c r="Y28" i="167"/>
  <c r="X28" i="167"/>
  <c r="W28" i="167"/>
  <c r="V28" i="167"/>
  <c r="U28" i="167"/>
  <c r="T28" i="167"/>
  <c r="S28" i="167"/>
  <c r="R28" i="167"/>
  <c r="Q28" i="167"/>
  <c r="P28" i="167"/>
  <c r="O28" i="167"/>
  <c r="N28" i="167"/>
  <c r="M28" i="167"/>
  <c r="L28" i="167"/>
  <c r="K28" i="167"/>
  <c r="J28" i="167"/>
  <c r="I28" i="167"/>
  <c r="H28" i="167"/>
  <c r="G28" i="167"/>
  <c r="F28" i="167"/>
  <c r="E28" i="167"/>
  <c r="D28" i="167"/>
  <c r="C28" i="167"/>
  <c r="AB27" i="167" a="1"/>
  <c r="AB27" i="167"/>
  <c r="AA27" i="167"/>
  <c r="Z27" i="167"/>
  <c r="Y27" i="167"/>
  <c r="X27" i="167"/>
  <c r="W27" i="167"/>
  <c r="V27" i="167"/>
  <c r="U27" i="167"/>
  <c r="T27" i="167"/>
  <c r="S27" i="167"/>
  <c r="R27" i="167"/>
  <c r="Q27" i="167"/>
  <c r="P27" i="167"/>
  <c r="O27" i="167"/>
  <c r="N27" i="167"/>
  <c r="M27" i="167"/>
  <c r="L27" i="167"/>
  <c r="K27" i="167"/>
  <c r="J27" i="167"/>
  <c r="I27" i="167"/>
  <c r="H27" i="167"/>
  <c r="G27" i="167"/>
  <c r="F27" i="167"/>
  <c r="E27" i="167"/>
  <c r="D27" i="167"/>
  <c r="C27" i="167"/>
  <c r="AB26" i="167" a="1"/>
  <c r="AB26" i="167"/>
  <c r="AA26" i="167"/>
  <c r="Z26" i="167"/>
  <c r="Y26" i="167"/>
  <c r="X26" i="167"/>
  <c r="W26" i="167"/>
  <c r="V26" i="167"/>
  <c r="U26" i="167"/>
  <c r="T26" i="167"/>
  <c r="S26" i="167"/>
  <c r="R26" i="167"/>
  <c r="Q26" i="167"/>
  <c r="P26" i="167"/>
  <c r="O26" i="167"/>
  <c r="N26" i="167"/>
  <c r="M26" i="167"/>
  <c r="L26" i="167"/>
  <c r="K26" i="167"/>
  <c r="J26" i="167"/>
  <c r="I26" i="167"/>
  <c r="H26" i="167"/>
  <c r="G26" i="167"/>
  <c r="F26" i="167"/>
  <c r="E26" i="167"/>
  <c r="D26" i="167"/>
  <c r="C26" i="167"/>
  <c r="AB25" i="167" a="1"/>
  <c r="AB25" i="167"/>
  <c r="Z25" i="167"/>
  <c r="Y25" i="167"/>
  <c r="X25" i="167"/>
  <c r="W25" i="167"/>
  <c r="V25" i="167"/>
  <c r="U25" i="167"/>
  <c r="T25" i="167"/>
  <c r="S25" i="167"/>
  <c r="R25" i="167"/>
  <c r="Q25" i="167"/>
  <c r="P25" i="167"/>
  <c r="O25" i="167"/>
  <c r="N25" i="167"/>
  <c r="M25" i="167"/>
  <c r="L25" i="167"/>
  <c r="K25" i="167"/>
  <c r="J25" i="167"/>
  <c r="I25" i="167"/>
  <c r="H25" i="167"/>
  <c r="G25" i="167"/>
  <c r="F25" i="167"/>
  <c r="E25" i="167"/>
  <c r="D25" i="167"/>
  <c r="C25" i="167"/>
  <c r="AB24" i="167" a="1"/>
  <c r="AB24" i="167"/>
  <c r="AA24" i="167"/>
  <c r="Z24" i="167"/>
  <c r="Y24" i="167"/>
  <c r="X24" i="167"/>
  <c r="W24" i="167"/>
  <c r="V24" i="167"/>
  <c r="U24" i="167"/>
  <c r="T24" i="167"/>
  <c r="S24" i="167"/>
  <c r="R24" i="167"/>
  <c r="Q24" i="167"/>
  <c r="P24" i="167"/>
  <c r="O24" i="167"/>
  <c r="N24" i="167"/>
  <c r="M24" i="167"/>
  <c r="L24" i="167"/>
  <c r="K24" i="167"/>
  <c r="J24" i="167"/>
  <c r="I24" i="167"/>
  <c r="H24" i="167"/>
  <c r="G24" i="167"/>
  <c r="F24" i="167"/>
  <c r="E24" i="167"/>
  <c r="D24" i="167"/>
  <c r="C24" i="167"/>
  <c r="AB23" i="167" a="1"/>
  <c r="AB23" i="167"/>
  <c r="AA23" i="167"/>
  <c r="Z23" i="167"/>
  <c r="Y23" i="167"/>
  <c r="X23" i="167"/>
  <c r="W23" i="167"/>
  <c r="V23" i="167"/>
  <c r="U23" i="167"/>
  <c r="T23" i="167"/>
  <c r="S23" i="167"/>
  <c r="R23" i="167"/>
  <c r="Q23" i="167"/>
  <c r="P23" i="167"/>
  <c r="O23" i="167"/>
  <c r="N23" i="167"/>
  <c r="M23" i="167"/>
  <c r="L23" i="167"/>
  <c r="K23" i="167"/>
  <c r="J23" i="167"/>
  <c r="I23" i="167"/>
  <c r="H23" i="167"/>
  <c r="G23" i="167"/>
  <c r="F23" i="167"/>
  <c r="E23" i="167"/>
  <c r="D23" i="167"/>
  <c r="C23" i="167"/>
  <c r="AB22" i="167" a="1"/>
  <c r="AB22" i="167"/>
  <c r="AA22" i="167"/>
  <c r="Z22" i="167"/>
  <c r="Y22" i="167"/>
  <c r="X22" i="167"/>
  <c r="W22" i="167"/>
  <c r="V22" i="167"/>
  <c r="U22" i="167"/>
  <c r="T22" i="167"/>
  <c r="S22" i="167"/>
  <c r="R22" i="167"/>
  <c r="Q22" i="167"/>
  <c r="P22" i="167"/>
  <c r="O22" i="167"/>
  <c r="N22" i="167"/>
  <c r="M22" i="167"/>
  <c r="L22" i="167"/>
  <c r="K22" i="167"/>
  <c r="J22" i="167"/>
  <c r="I22" i="167"/>
  <c r="H22" i="167"/>
  <c r="G22" i="167"/>
  <c r="F22" i="167"/>
  <c r="E22" i="167"/>
  <c r="D22" i="167"/>
  <c r="C22" i="167"/>
  <c r="AB21" i="167" a="1"/>
  <c r="AB21" i="167"/>
  <c r="AA21" i="167"/>
  <c r="Z21" i="167"/>
  <c r="Y21" i="167"/>
  <c r="X21" i="167"/>
  <c r="W21" i="167"/>
  <c r="V21" i="167"/>
  <c r="U21" i="167"/>
  <c r="T21" i="167"/>
  <c r="S21" i="167"/>
  <c r="R21" i="167"/>
  <c r="Q21" i="167"/>
  <c r="P21" i="167"/>
  <c r="O21" i="167"/>
  <c r="N21" i="167"/>
  <c r="M21" i="167"/>
  <c r="L21" i="167"/>
  <c r="K21" i="167"/>
  <c r="J21" i="167"/>
  <c r="I21" i="167"/>
  <c r="H21" i="167"/>
  <c r="G21" i="167"/>
  <c r="F21" i="167"/>
  <c r="E21" i="167"/>
  <c r="D21" i="167"/>
  <c r="C21" i="167"/>
  <c r="AB20" i="167" a="1"/>
  <c r="AB20" i="167"/>
  <c r="AA20" i="167"/>
  <c r="Z20" i="167"/>
  <c r="Y20" i="167"/>
  <c r="X20" i="167"/>
  <c r="W20" i="167"/>
  <c r="V20" i="167"/>
  <c r="U20" i="167"/>
  <c r="T20" i="167"/>
  <c r="S20" i="167"/>
  <c r="R20" i="167"/>
  <c r="Q20" i="167"/>
  <c r="P20" i="167"/>
  <c r="O20" i="167"/>
  <c r="N20" i="167"/>
  <c r="M20" i="167"/>
  <c r="L20" i="167"/>
  <c r="K20" i="167"/>
  <c r="J20" i="167"/>
  <c r="I20" i="167"/>
  <c r="H20" i="167"/>
  <c r="G20" i="167"/>
  <c r="F20" i="167"/>
  <c r="E20" i="167"/>
  <c r="D20" i="167"/>
  <c r="C20" i="167"/>
  <c r="AB19" i="167" a="1"/>
  <c r="AB19" i="167"/>
  <c r="AA19" i="167"/>
  <c r="Z19" i="167"/>
  <c r="Y19" i="167"/>
  <c r="X19" i="167"/>
  <c r="W19" i="167"/>
  <c r="V19" i="167"/>
  <c r="U19" i="167"/>
  <c r="T19" i="167"/>
  <c r="S19" i="167"/>
  <c r="R19" i="167"/>
  <c r="Q19" i="167"/>
  <c r="P19" i="167"/>
  <c r="O19" i="167"/>
  <c r="N19" i="167"/>
  <c r="M19" i="167"/>
  <c r="L19" i="167"/>
  <c r="K19" i="167"/>
  <c r="J19" i="167"/>
  <c r="I19" i="167"/>
  <c r="H19" i="167"/>
  <c r="G19" i="167"/>
  <c r="F19" i="167"/>
  <c r="E19" i="167"/>
  <c r="D19" i="167"/>
  <c r="C19" i="167"/>
  <c r="AB18" i="167" a="1"/>
  <c r="AB18" i="167"/>
  <c r="AA18" i="167"/>
  <c r="Z18" i="167"/>
  <c r="Y18" i="167"/>
  <c r="X18" i="167"/>
  <c r="W18" i="167"/>
  <c r="V18" i="167"/>
  <c r="U18" i="167"/>
  <c r="T18" i="167"/>
  <c r="S18" i="167"/>
  <c r="R18" i="167"/>
  <c r="Q18" i="167"/>
  <c r="P18" i="167"/>
  <c r="O18" i="167"/>
  <c r="N18" i="167"/>
  <c r="M18" i="167"/>
  <c r="L18" i="167"/>
  <c r="K18" i="167"/>
  <c r="J18" i="167"/>
  <c r="I18" i="167"/>
  <c r="H18" i="167"/>
  <c r="G18" i="167"/>
  <c r="F18" i="167"/>
  <c r="E18" i="167"/>
  <c r="D18" i="167"/>
  <c r="C18" i="167"/>
  <c r="AB17" i="167" a="1"/>
  <c r="AB17" i="167"/>
  <c r="AA17" i="167"/>
  <c r="Z17" i="167"/>
  <c r="Y17" i="167"/>
  <c r="X17" i="167"/>
  <c r="W17" i="167"/>
  <c r="V17" i="167"/>
  <c r="U17" i="167"/>
  <c r="T17" i="167"/>
  <c r="S17" i="167"/>
  <c r="R17" i="167"/>
  <c r="Q17" i="167"/>
  <c r="P17" i="167"/>
  <c r="O17" i="167"/>
  <c r="N17" i="167"/>
  <c r="M17" i="167"/>
  <c r="L17" i="167"/>
  <c r="K17" i="167"/>
  <c r="J17" i="167"/>
  <c r="I17" i="167"/>
  <c r="H17" i="167"/>
  <c r="G17" i="167"/>
  <c r="F17" i="167"/>
  <c r="E17" i="167"/>
  <c r="D17" i="167"/>
  <c r="C17" i="167"/>
  <c r="AB16" i="167" a="1"/>
  <c r="AB16" i="167"/>
  <c r="AA16" i="167"/>
  <c r="Z16" i="167"/>
  <c r="Y16" i="167"/>
  <c r="X16" i="167"/>
  <c r="W16" i="167"/>
  <c r="V16" i="167"/>
  <c r="U16" i="167"/>
  <c r="T16" i="167"/>
  <c r="S16" i="167"/>
  <c r="R16" i="167"/>
  <c r="Q16" i="167"/>
  <c r="P16" i="167"/>
  <c r="O16" i="167"/>
  <c r="N16" i="167"/>
  <c r="M16" i="167"/>
  <c r="L16" i="167"/>
  <c r="K16" i="167"/>
  <c r="J16" i="167"/>
  <c r="I16" i="167"/>
  <c r="H16" i="167"/>
  <c r="G16" i="167"/>
  <c r="F16" i="167"/>
  <c r="E16" i="167"/>
  <c r="D16" i="167"/>
  <c r="C16" i="167"/>
  <c r="AB15" i="167" a="1"/>
  <c r="AB15" i="167"/>
  <c r="AA15" i="167"/>
  <c r="Z15" i="167"/>
  <c r="Y15" i="167"/>
  <c r="X15" i="167"/>
  <c r="W15" i="167"/>
  <c r="V15" i="167"/>
  <c r="U15" i="167"/>
  <c r="T15" i="167"/>
  <c r="S15" i="167"/>
  <c r="R15" i="167"/>
  <c r="Q15" i="167"/>
  <c r="P15" i="167"/>
  <c r="O15" i="167"/>
  <c r="N15" i="167"/>
  <c r="M15" i="167"/>
  <c r="L15" i="167"/>
  <c r="K15" i="167"/>
  <c r="J15" i="167"/>
  <c r="I15" i="167"/>
  <c r="H15" i="167"/>
  <c r="G15" i="167"/>
  <c r="F15" i="167"/>
  <c r="E15" i="167"/>
  <c r="D15" i="167"/>
  <c r="C15" i="167"/>
  <c r="AB14" i="167" a="1"/>
  <c r="AB14" i="167"/>
  <c r="AA14" i="167"/>
  <c r="Z14" i="167"/>
  <c r="Y14" i="167"/>
  <c r="X14" i="167"/>
  <c r="W14" i="167"/>
  <c r="V14" i="167"/>
  <c r="U14" i="167"/>
  <c r="T14" i="167"/>
  <c r="S14" i="167"/>
  <c r="R14" i="167"/>
  <c r="Q14" i="167"/>
  <c r="P14" i="167"/>
  <c r="O14" i="167"/>
  <c r="N14" i="167"/>
  <c r="M14" i="167"/>
  <c r="L14" i="167"/>
  <c r="K14" i="167"/>
  <c r="J14" i="167"/>
  <c r="I14" i="167"/>
  <c r="H14" i="167"/>
  <c r="G14" i="167"/>
  <c r="F14" i="167"/>
  <c r="E14" i="167"/>
  <c r="D14" i="167"/>
  <c r="C14" i="167"/>
  <c r="AB13" i="167" a="1"/>
  <c r="AB13" i="167"/>
  <c r="AA13" i="167"/>
  <c r="Z13" i="167"/>
  <c r="Y13" i="167"/>
  <c r="X13" i="167"/>
  <c r="W13" i="167"/>
  <c r="V13" i="167"/>
  <c r="U13" i="167"/>
  <c r="T13" i="167"/>
  <c r="S13" i="167"/>
  <c r="R13" i="167"/>
  <c r="Q13" i="167"/>
  <c r="P13" i="167"/>
  <c r="O13" i="167"/>
  <c r="N13" i="167"/>
  <c r="M13" i="167"/>
  <c r="L13" i="167"/>
  <c r="K13" i="167"/>
  <c r="J13" i="167"/>
  <c r="I13" i="167"/>
  <c r="H13" i="167"/>
  <c r="G13" i="167"/>
  <c r="F13" i="167"/>
  <c r="E13" i="167"/>
  <c r="D13" i="167"/>
  <c r="C13" i="167"/>
  <c r="AB12" i="167" a="1"/>
  <c r="AB12" i="167"/>
  <c r="AA12" i="167"/>
  <c r="Z12" i="167"/>
  <c r="Y12" i="167"/>
  <c r="X12" i="167"/>
  <c r="W12" i="167"/>
  <c r="V12" i="167"/>
  <c r="U12" i="167"/>
  <c r="T12" i="167"/>
  <c r="S12" i="167"/>
  <c r="R12" i="167"/>
  <c r="Q12" i="167"/>
  <c r="P12" i="167"/>
  <c r="O12" i="167"/>
  <c r="N12" i="167"/>
  <c r="M12" i="167"/>
  <c r="L12" i="167"/>
  <c r="K12" i="167"/>
  <c r="J12" i="167"/>
  <c r="I12" i="167"/>
  <c r="H12" i="167"/>
  <c r="G12" i="167"/>
  <c r="F12" i="167"/>
  <c r="E12" i="167"/>
  <c r="D12" i="167"/>
  <c r="C12" i="167"/>
  <c r="AB11" i="167" a="1"/>
  <c r="AB11" i="167"/>
  <c r="AA11" i="167"/>
  <c r="Z11" i="167"/>
  <c r="Y11" i="167"/>
  <c r="X11" i="167"/>
  <c r="W11" i="167"/>
  <c r="V11" i="167"/>
  <c r="U11" i="167"/>
  <c r="T11" i="167"/>
  <c r="S11" i="167"/>
  <c r="R11" i="167"/>
  <c r="Q11" i="167"/>
  <c r="P11" i="167"/>
  <c r="O11" i="167"/>
  <c r="N11" i="167"/>
  <c r="M11" i="167"/>
  <c r="L11" i="167"/>
  <c r="K11" i="167"/>
  <c r="J11" i="167"/>
  <c r="I11" i="167"/>
  <c r="H11" i="167"/>
  <c r="G11" i="167"/>
  <c r="F11" i="167"/>
  <c r="E11" i="167"/>
  <c r="D11" i="167"/>
  <c r="C11" i="167"/>
  <c r="AB10" i="167" a="1"/>
  <c r="AB10" i="167"/>
  <c r="AA10" i="167"/>
  <c r="Z10" i="167"/>
  <c r="Y10" i="167"/>
  <c r="X10" i="167"/>
  <c r="W10" i="167"/>
  <c r="V10" i="167"/>
  <c r="U10" i="167"/>
  <c r="T10" i="167"/>
  <c r="S10" i="167"/>
  <c r="R10" i="167"/>
  <c r="Q10" i="167"/>
  <c r="P10" i="167"/>
  <c r="O10" i="167"/>
  <c r="N10" i="167"/>
  <c r="M10" i="167"/>
  <c r="L10" i="167"/>
  <c r="K10" i="167"/>
  <c r="J10" i="167"/>
  <c r="I10" i="167"/>
  <c r="H10" i="167"/>
  <c r="G10" i="167"/>
  <c r="F10" i="167"/>
  <c r="E10" i="167"/>
  <c r="D10" i="167"/>
  <c r="C10" i="167"/>
  <c r="AB9" i="167" a="1"/>
  <c r="AB9" i="167"/>
  <c r="AA9" i="167"/>
  <c r="Z9" i="167"/>
  <c r="Y9" i="167"/>
  <c r="X9" i="167"/>
  <c r="W9" i="167"/>
  <c r="V9" i="167"/>
  <c r="U9" i="167"/>
  <c r="T9" i="167"/>
  <c r="S9" i="167"/>
  <c r="R9" i="167"/>
  <c r="Q9" i="167"/>
  <c r="P9" i="167"/>
  <c r="O9" i="167"/>
  <c r="N9" i="167"/>
  <c r="M9" i="167"/>
  <c r="L9" i="167"/>
  <c r="K9" i="167"/>
  <c r="J9" i="167"/>
  <c r="I9" i="167"/>
  <c r="H9" i="167"/>
  <c r="G9" i="167"/>
  <c r="F9" i="167"/>
  <c r="E9" i="167"/>
  <c r="D9" i="167"/>
  <c r="C9" i="167"/>
  <c r="AB8" i="167" a="1"/>
  <c r="AB8" i="167"/>
  <c r="AA8" i="167"/>
  <c r="Z8" i="167"/>
  <c r="Y8" i="167"/>
  <c r="X8" i="167"/>
  <c r="W8" i="167"/>
  <c r="V8" i="167"/>
  <c r="U8" i="167"/>
  <c r="T8" i="167"/>
  <c r="S8" i="167"/>
  <c r="R8" i="167"/>
  <c r="Q8" i="167"/>
  <c r="P8" i="167"/>
  <c r="O8" i="167"/>
  <c r="N8" i="167"/>
  <c r="M8" i="167"/>
  <c r="L8" i="167"/>
  <c r="K8" i="167"/>
  <c r="J8" i="167"/>
  <c r="I8" i="167"/>
  <c r="H8" i="167"/>
  <c r="G8" i="167"/>
  <c r="F8" i="167"/>
  <c r="E8" i="167"/>
  <c r="D8" i="167"/>
  <c r="C8" i="167"/>
  <c r="AB7" i="167" a="1"/>
  <c r="AB7" i="167"/>
  <c r="AA7" i="167"/>
  <c r="Z7" i="167"/>
  <c r="Y7" i="167"/>
  <c r="X7" i="167"/>
  <c r="W7" i="167"/>
  <c r="V7" i="167"/>
  <c r="U7" i="167"/>
  <c r="T7" i="167"/>
  <c r="S7" i="167"/>
  <c r="R7" i="167"/>
  <c r="Q7" i="167"/>
  <c r="P7" i="167"/>
  <c r="O7" i="167"/>
  <c r="N7" i="167"/>
  <c r="M7" i="167"/>
  <c r="L7" i="167"/>
  <c r="K7" i="167"/>
  <c r="J7" i="167"/>
  <c r="I7" i="167"/>
  <c r="H7" i="167"/>
  <c r="G7" i="167"/>
  <c r="F7" i="167"/>
  <c r="E7" i="167"/>
  <c r="D7" i="167"/>
  <c r="C7" i="167"/>
  <c r="AB6" i="167" a="1"/>
  <c r="AB6" i="167"/>
  <c r="AA6" i="167"/>
  <c r="Z6" i="167"/>
  <c r="Y6" i="167"/>
  <c r="X6" i="167"/>
  <c r="W6" i="167"/>
  <c r="V6" i="167"/>
  <c r="U6" i="167"/>
  <c r="T6" i="167"/>
  <c r="S6" i="167"/>
  <c r="R6" i="167"/>
  <c r="Q6" i="167"/>
  <c r="P6" i="167"/>
  <c r="O6" i="167"/>
  <c r="N6" i="167"/>
  <c r="M6" i="167"/>
  <c r="L6" i="167"/>
  <c r="K6" i="167"/>
  <c r="J6" i="167"/>
  <c r="I6" i="167"/>
  <c r="H6" i="167"/>
  <c r="G6" i="167"/>
  <c r="F6" i="167"/>
  <c r="E6" i="167"/>
  <c r="D6" i="167"/>
  <c r="C6" i="167"/>
  <c r="AB5" i="167" a="1"/>
  <c r="AB5" i="167"/>
  <c r="AA5" i="167"/>
  <c r="Z5" i="167"/>
  <c r="Y5" i="167"/>
  <c r="X5" i="167"/>
  <c r="W5" i="167"/>
  <c r="V5" i="167"/>
  <c r="U5" i="167"/>
  <c r="T5" i="167"/>
  <c r="S5" i="167"/>
  <c r="R5" i="167"/>
  <c r="Q5" i="167"/>
  <c r="P5" i="167"/>
  <c r="O5" i="167"/>
  <c r="N5" i="167"/>
  <c r="M5" i="167"/>
  <c r="L5" i="167"/>
  <c r="K5" i="167"/>
  <c r="J5" i="167"/>
  <c r="I5" i="167"/>
  <c r="H5" i="167"/>
  <c r="G5" i="167"/>
  <c r="F5" i="167"/>
  <c r="E5" i="167"/>
  <c r="D5" i="167"/>
  <c r="C5" i="167"/>
  <c r="AB4" i="167" a="1"/>
  <c r="AB4" i="167"/>
  <c r="AA4" i="167"/>
  <c r="Z4" i="167"/>
  <c r="Y4" i="167"/>
  <c r="X4" i="167"/>
  <c r="W4" i="167"/>
  <c r="V4" i="167"/>
  <c r="U4" i="167"/>
  <c r="T4" i="167"/>
  <c r="S4" i="167"/>
  <c r="R4" i="167"/>
  <c r="Q4" i="167"/>
  <c r="P4" i="167"/>
  <c r="O4" i="167"/>
  <c r="N4" i="167"/>
  <c r="M4" i="167"/>
  <c r="L4" i="167"/>
  <c r="K4" i="167"/>
  <c r="J4" i="167"/>
  <c r="I4" i="167"/>
  <c r="H4" i="167"/>
  <c r="G4" i="167"/>
  <c r="F4" i="167"/>
  <c r="E4" i="167"/>
  <c r="D4" i="167"/>
  <c r="C4" i="167"/>
  <c r="AB3" i="167" a="1"/>
  <c r="AB3" i="167"/>
  <c r="AA3" i="167"/>
  <c r="Z3" i="167"/>
  <c r="Y3" i="167"/>
  <c r="X3" i="167"/>
  <c r="W3" i="167"/>
  <c r="V3" i="167"/>
  <c r="U3" i="167"/>
  <c r="T3" i="167"/>
  <c r="S3" i="167"/>
  <c r="R3" i="167"/>
  <c r="Q3" i="167"/>
  <c r="P3" i="167"/>
  <c r="O3" i="167"/>
  <c r="N3" i="167"/>
  <c r="M3" i="167"/>
  <c r="L3" i="167"/>
  <c r="K3" i="167"/>
  <c r="J3" i="167"/>
  <c r="I3" i="167"/>
  <c r="H3" i="167"/>
  <c r="G3" i="167"/>
  <c r="F3" i="167"/>
  <c r="E3" i="167"/>
  <c r="D3" i="167"/>
  <c r="C3" i="167"/>
  <c r="AB2" i="167" a="1"/>
  <c r="AB2" i="167"/>
  <c r="AA2" i="167"/>
  <c r="Z2" i="167"/>
  <c r="Y2" i="167"/>
  <c r="X2" i="167"/>
  <c r="W2" i="167"/>
  <c r="V2" i="167"/>
  <c r="U2" i="167"/>
  <c r="T2" i="167"/>
  <c r="S2" i="167"/>
  <c r="R2" i="167"/>
  <c r="Q2" i="167"/>
  <c r="P2" i="167"/>
  <c r="O2" i="167"/>
  <c r="N2" i="167"/>
  <c r="M2" i="167"/>
  <c r="L2" i="167"/>
  <c r="K2" i="167"/>
  <c r="J2" i="167"/>
  <c r="I2" i="167"/>
  <c r="H2" i="167"/>
  <c r="G2" i="167"/>
  <c r="F2" i="167"/>
  <c r="E2" i="167"/>
  <c r="D2" i="167"/>
  <c r="C2" i="167"/>
  <c r="AA105" i="143"/>
  <c r="AA104" i="143"/>
  <c r="AA103" i="143"/>
  <c r="AA101" i="143"/>
  <c r="Z101" i="143"/>
  <c r="Y101" i="143"/>
  <c r="X101" i="143"/>
  <c r="W101" i="143"/>
  <c r="V101" i="143"/>
  <c r="U101" i="143"/>
  <c r="T101" i="143"/>
  <c r="S101" i="143"/>
  <c r="R101" i="143"/>
  <c r="Q101" i="143"/>
  <c r="P101" i="143"/>
  <c r="O101" i="143"/>
  <c r="N101" i="143"/>
  <c r="M101" i="143"/>
  <c r="L101" i="143"/>
  <c r="K101" i="143"/>
  <c r="J101" i="143"/>
  <c r="I101" i="143"/>
  <c r="H101" i="143"/>
  <c r="G101" i="143"/>
  <c r="F101" i="143"/>
  <c r="E101" i="143"/>
  <c r="D101" i="143"/>
  <c r="C101" i="143"/>
  <c r="Z46" i="143"/>
  <c r="Y46" i="143"/>
  <c r="X46" i="143"/>
  <c r="W46" i="143"/>
  <c r="V46" i="143"/>
  <c r="U46" i="143"/>
  <c r="T46" i="143"/>
  <c r="S46" i="143"/>
  <c r="R46" i="143"/>
  <c r="Q46" i="143"/>
  <c r="P46" i="143"/>
  <c r="O46" i="143"/>
  <c r="N46" i="143"/>
  <c r="M46" i="143"/>
  <c r="L46" i="143"/>
  <c r="K46" i="143"/>
  <c r="J46" i="143"/>
  <c r="I46" i="143"/>
  <c r="H46" i="143"/>
  <c r="G46" i="143"/>
  <c r="F46" i="143"/>
  <c r="E46" i="143"/>
  <c r="D46" i="143"/>
  <c r="C46" i="143"/>
  <c r="AB45" i="143" a="1"/>
  <c r="AB45" i="143"/>
  <c r="Z45" i="143"/>
  <c r="Y45" i="143"/>
  <c r="X45" i="143"/>
  <c r="W45" i="143"/>
  <c r="V45" i="143"/>
  <c r="U45" i="143"/>
  <c r="T45" i="143"/>
  <c r="S45" i="143"/>
  <c r="R45" i="143"/>
  <c r="Q45" i="143"/>
  <c r="P45" i="143"/>
  <c r="O45" i="143"/>
  <c r="N45" i="143"/>
  <c r="M45" i="143"/>
  <c r="L45" i="143"/>
  <c r="K45" i="143"/>
  <c r="J45" i="143"/>
  <c r="I45" i="143"/>
  <c r="H45" i="143"/>
  <c r="G45" i="143"/>
  <c r="F45" i="143"/>
  <c r="E45" i="143"/>
  <c r="D45" i="143"/>
  <c r="C45" i="143"/>
  <c r="AB44" i="143" a="1"/>
  <c r="AB44" i="143"/>
  <c r="Z44" i="143"/>
  <c r="Y44" i="143"/>
  <c r="X44" i="143"/>
  <c r="W44" i="143"/>
  <c r="V44" i="143"/>
  <c r="U44" i="143"/>
  <c r="T44" i="143"/>
  <c r="S44" i="143"/>
  <c r="R44" i="143"/>
  <c r="Q44" i="143"/>
  <c r="P44" i="143"/>
  <c r="O44" i="143"/>
  <c r="N44" i="143"/>
  <c r="M44" i="143"/>
  <c r="L44" i="143"/>
  <c r="K44" i="143"/>
  <c r="J44" i="143"/>
  <c r="I44" i="143"/>
  <c r="H44" i="143"/>
  <c r="G44" i="143"/>
  <c r="F44" i="143"/>
  <c r="E44" i="143"/>
  <c r="D44" i="143"/>
  <c r="C44" i="143"/>
  <c r="AB43" i="143" a="1"/>
  <c r="AB43" i="143"/>
  <c r="Z43" i="143"/>
  <c r="Y43" i="143"/>
  <c r="X43" i="143"/>
  <c r="W43" i="143"/>
  <c r="V43" i="143"/>
  <c r="U43" i="143"/>
  <c r="T43" i="143"/>
  <c r="S43" i="143"/>
  <c r="R43" i="143"/>
  <c r="Q43" i="143"/>
  <c r="P43" i="143"/>
  <c r="O43" i="143"/>
  <c r="N43" i="143"/>
  <c r="M43" i="143"/>
  <c r="L43" i="143"/>
  <c r="K43" i="143"/>
  <c r="J43" i="143"/>
  <c r="I43" i="143"/>
  <c r="H43" i="143"/>
  <c r="G43" i="143"/>
  <c r="F43" i="143"/>
  <c r="E43" i="143"/>
  <c r="D43" i="143"/>
  <c r="C43" i="143"/>
  <c r="AB42" i="143" a="1"/>
  <c r="AB42" i="143"/>
  <c r="Z42" i="143"/>
  <c r="Y42" i="143"/>
  <c r="X42" i="143"/>
  <c r="W42" i="143"/>
  <c r="V42" i="143"/>
  <c r="U42" i="143"/>
  <c r="T42" i="143"/>
  <c r="S42" i="143"/>
  <c r="R42" i="143"/>
  <c r="Q42" i="143"/>
  <c r="P42" i="143"/>
  <c r="O42" i="143"/>
  <c r="N42" i="143"/>
  <c r="M42" i="143"/>
  <c r="L42" i="143"/>
  <c r="K42" i="143"/>
  <c r="J42" i="143"/>
  <c r="I42" i="143"/>
  <c r="H42" i="143"/>
  <c r="G42" i="143"/>
  <c r="F42" i="143"/>
  <c r="E42" i="143"/>
  <c r="D42" i="143"/>
  <c r="C42" i="143"/>
  <c r="AB41" i="143" a="1"/>
  <c r="AB41" i="143"/>
  <c r="Z41" i="143"/>
  <c r="Y41" i="143"/>
  <c r="X41" i="143"/>
  <c r="W41" i="143"/>
  <c r="V41" i="143"/>
  <c r="U41" i="143"/>
  <c r="T41" i="143"/>
  <c r="S41" i="143"/>
  <c r="R41" i="143"/>
  <c r="Q41" i="143"/>
  <c r="P41" i="143"/>
  <c r="O41" i="143"/>
  <c r="N41" i="143"/>
  <c r="M41" i="143"/>
  <c r="L41" i="143"/>
  <c r="K41" i="143"/>
  <c r="J41" i="143"/>
  <c r="I41" i="143"/>
  <c r="H41" i="143"/>
  <c r="G41" i="143"/>
  <c r="F41" i="143"/>
  <c r="E41" i="143"/>
  <c r="D41" i="143"/>
  <c r="C41" i="143"/>
  <c r="AB40" i="143" a="1"/>
  <c r="AB40" i="143"/>
  <c r="Z40" i="143"/>
  <c r="Y40" i="143"/>
  <c r="X40" i="143"/>
  <c r="W40" i="143"/>
  <c r="V40" i="143"/>
  <c r="U40" i="143"/>
  <c r="T40" i="143"/>
  <c r="S40" i="143"/>
  <c r="R40" i="143"/>
  <c r="Q40" i="143"/>
  <c r="P40" i="143"/>
  <c r="O40" i="143"/>
  <c r="N40" i="143"/>
  <c r="M40" i="143"/>
  <c r="L40" i="143"/>
  <c r="K40" i="143"/>
  <c r="J40" i="143"/>
  <c r="I40" i="143"/>
  <c r="H40" i="143"/>
  <c r="G40" i="143"/>
  <c r="F40" i="143"/>
  <c r="E40" i="143"/>
  <c r="D40" i="143"/>
  <c r="C40" i="143"/>
  <c r="AB39" i="143" a="1"/>
  <c r="AB39" i="143"/>
  <c r="Z39" i="143"/>
  <c r="Y39" i="143"/>
  <c r="X39" i="143"/>
  <c r="W39" i="143"/>
  <c r="V39" i="143"/>
  <c r="U39" i="143"/>
  <c r="T39" i="143"/>
  <c r="S39" i="143"/>
  <c r="R39" i="143"/>
  <c r="Q39" i="143"/>
  <c r="P39" i="143"/>
  <c r="O39" i="143"/>
  <c r="N39" i="143"/>
  <c r="M39" i="143"/>
  <c r="L39" i="143"/>
  <c r="K39" i="143"/>
  <c r="J39" i="143"/>
  <c r="I39" i="143"/>
  <c r="H39" i="143"/>
  <c r="G39" i="143"/>
  <c r="F39" i="143"/>
  <c r="E39" i="143"/>
  <c r="D39" i="143"/>
  <c r="C39" i="143"/>
  <c r="AB38" i="143" a="1"/>
  <c r="AB38" i="143"/>
  <c r="Z38" i="143"/>
  <c r="Y38" i="143"/>
  <c r="X38" i="143"/>
  <c r="W38" i="143"/>
  <c r="V38" i="143"/>
  <c r="U38" i="143"/>
  <c r="T38" i="143"/>
  <c r="S38" i="143"/>
  <c r="R38" i="143"/>
  <c r="Q38" i="143"/>
  <c r="P38" i="143"/>
  <c r="O38" i="143"/>
  <c r="N38" i="143"/>
  <c r="M38" i="143"/>
  <c r="L38" i="143"/>
  <c r="K38" i="143"/>
  <c r="J38" i="143"/>
  <c r="I38" i="143"/>
  <c r="H38" i="143"/>
  <c r="G38" i="143"/>
  <c r="F38" i="143"/>
  <c r="E38" i="143"/>
  <c r="D38" i="143"/>
  <c r="C38" i="143"/>
  <c r="AB37" i="143" a="1"/>
  <c r="AB37" i="143"/>
  <c r="Z37" i="143"/>
  <c r="Y37" i="143"/>
  <c r="X37" i="143"/>
  <c r="W37" i="143"/>
  <c r="V37" i="143"/>
  <c r="U37" i="143"/>
  <c r="T37" i="143"/>
  <c r="S37" i="143"/>
  <c r="R37" i="143"/>
  <c r="Q37" i="143"/>
  <c r="P37" i="143"/>
  <c r="O37" i="143"/>
  <c r="N37" i="143"/>
  <c r="M37" i="143"/>
  <c r="L37" i="143"/>
  <c r="K37" i="143"/>
  <c r="J37" i="143"/>
  <c r="I37" i="143"/>
  <c r="H37" i="143"/>
  <c r="G37" i="143"/>
  <c r="F37" i="143"/>
  <c r="E37" i="143"/>
  <c r="D37" i="143"/>
  <c r="C37" i="143"/>
  <c r="AB36" i="143" a="1"/>
  <c r="AB36" i="143"/>
  <c r="Z36" i="143"/>
  <c r="Y36" i="143"/>
  <c r="X36" i="143"/>
  <c r="W36" i="143"/>
  <c r="V36" i="143"/>
  <c r="U36" i="143"/>
  <c r="T36" i="143"/>
  <c r="S36" i="143"/>
  <c r="R36" i="143"/>
  <c r="Q36" i="143"/>
  <c r="P36" i="143"/>
  <c r="O36" i="143"/>
  <c r="N36" i="143"/>
  <c r="M36" i="143"/>
  <c r="L36" i="143"/>
  <c r="K36" i="143"/>
  <c r="J36" i="143"/>
  <c r="I36" i="143"/>
  <c r="H36" i="143"/>
  <c r="G36" i="143"/>
  <c r="F36" i="143"/>
  <c r="E36" i="143"/>
  <c r="D36" i="143"/>
  <c r="C36" i="143"/>
  <c r="AB35" i="143" a="1"/>
  <c r="AB35" i="143"/>
  <c r="Z35" i="143"/>
  <c r="Y35" i="143"/>
  <c r="X35" i="143"/>
  <c r="W35" i="143"/>
  <c r="V35" i="143"/>
  <c r="U35" i="143"/>
  <c r="T35" i="143"/>
  <c r="S35" i="143"/>
  <c r="R35" i="143"/>
  <c r="Q35" i="143"/>
  <c r="P35" i="143"/>
  <c r="O35" i="143"/>
  <c r="N35" i="143"/>
  <c r="M35" i="143"/>
  <c r="L35" i="143"/>
  <c r="K35" i="143"/>
  <c r="J35" i="143"/>
  <c r="I35" i="143"/>
  <c r="H35" i="143"/>
  <c r="G35" i="143"/>
  <c r="F35" i="143"/>
  <c r="E35" i="143"/>
  <c r="D35" i="143"/>
  <c r="C35" i="143"/>
  <c r="AB34" i="143" a="1"/>
  <c r="AB34" i="143"/>
  <c r="Z34" i="143"/>
  <c r="Y34" i="143"/>
  <c r="X34" i="143"/>
  <c r="W34" i="143"/>
  <c r="V34" i="143"/>
  <c r="U34" i="143"/>
  <c r="T34" i="143"/>
  <c r="S34" i="143"/>
  <c r="R34" i="143"/>
  <c r="Q34" i="143"/>
  <c r="P34" i="143"/>
  <c r="O34" i="143"/>
  <c r="N34" i="143"/>
  <c r="M34" i="143"/>
  <c r="L34" i="143"/>
  <c r="K34" i="143"/>
  <c r="J34" i="143"/>
  <c r="I34" i="143"/>
  <c r="H34" i="143"/>
  <c r="G34" i="143"/>
  <c r="F34" i="143"/>
  <c r="E34" i="143"/>
  <c r="D34" i="143"/>
  <c r="C34" i="143"/>
  <c r="AB33" i="143" a="1"/>
  <c r="AB33" i="143"/>
  <c r="Z33" i="143"/>
  <c r="Y33" i="143"/>
  <c r="X33" i="143"/>
  <c r="W33" i="143"/>
  <c r="V33" i="143"/>
  <c r="U33" i="143"/>
  <c r="T33" i="143"/>
  <c r="S33" i="143"/>
  <c r="R33" i="143"/>
  <c r="Q33" i="143"/>
  <c r="P33" i="143"/>
  <c r="O33" i="143"/>
  <c r="N33" i="143"/>
  <c r="M33" i="143"/>
  <c r="L33" i="143"/>
  <c r="K33" i="143"/>
  <c r="J33" i="143"/>
  <c r="I33" i="143"/>
  <c r="H33" i="143"/>
  <c r="G33" i="143"/>
  <c r="F33" i="143"/>
  <c r="E33" i="143"/>
  <c r="D33" i="143"/>
  <c r="C33" i="143"/>
  <c r="AB32" i="143" a="1"/>
  <c r="AB32" i="143"/>
  <c r="Z32" i="143"/>
  <c r="Y32" i="143"/>
  <c r="X32" i="143"/>
  <c r="W32" i="143"/>
  <c r="V32" i="143"/>
  <c r="U32" i="143"/>
  <c r="T32" i="143"/>
  <c r="S32" i="143"/>
  <c r="R32" i="143"/>
  <c r="Q32" i="143"/>
  <c r="P32" i="143"/>
  <c r="O32" i="143"/>
  <c r="N32" i="143"/>
  <c r="M32" i="143"/>
  <c r="L32" i="143"/>
  <c r="K32" i="143"/>
  <c r="J32" i="143"/>
  <c r="I32" i="143"/>
  <c r="H32" i="143"/>
  <c r="G32" i="143"/>
  <c r="F32" i="143"/>
  <c r="E32" i="143"/>
  <c r="D32" i="143"/>
  <c r="C32" i="143"/>
  <c r="AB31" i="143" a="1"/>
  <c r="AB31" i="143"/>
  <c r="Z31" i="143"/>
  <c r="Y31" i="143"/>
  <c r="X31" i="143"/>
  <c r="W31" i="143"/>
  <c r="V31" i="143"/>
  <c r="U31" i="143"/>
  <c r="T31" i="143"/>
  <c r="S31" i="143"/>
  <c r="R31" i="143"/>
  <c r="Q31" i="143"/>
  <c r="P31" i="143"/>
  <c r="O31" i="143"/>
  <c r="N31" i="143"/>
  <c r="M31" i="143"/>
  <c r="L31" i="143"/>
  <c r="K31" i="143"/>
  <c r="J31" i="143"/>
  <c r="I31" i="143"/>
  <c r="H31" i="143"/>
  <c r="G31" i="143"/>
  <c r="F31" i="143"/>
  <c r="E31" i="143"/>
  <c r="D31" i="143"/>
  <c r="C31" i="143"/>
  <c r="AB30" i="143" a="1"/>
  <c r="AB30" i="143"/>
  <c r="Z30" i="143"/>
  <c r="Y30" i="143"/>
  <c r="X30" i="143"/>
  <c r="W30" i="143"/>
  <c r="V30" i="143"/>
  <c r="U30" i="143"/>
  <c r="T30" i="143"/>
  <c r="S30" i="143"/>
  <c r="R30" i="143"/>
  <c r="Q30" i="143"/>
  <c r="P30" i="143"/>
  <c r="O30" i="143"/>
  <c r="N30" i="143"/>
  <c r="M30" i="143"/>
  <c r="L30" i="143"/>
  <c r="K30" i="143"/>
  <c r="J30" i="143"/>
  <c r="I30" i="143"/>
  <c r="H30" i="143"/>
  <c r="G30" i="143"/>
  <c r="F30" i="143"/>
  <c r="E30" i="143"/>
  <c r="D30" i="143"/>
  <c r="C30" i="143"/>
  <c r="AB29" i="143" a="1"/>
  <c r="AB29" i="143"/>
  <c r="AA29" i="143"/>
  <c r="Z29" i="143"/>
  <c r="Y29" i="143"/>
  <c r="X29" i="143"/>
  <c r="W29" i="143"/>
  <c r="V29" i="143"/>
  <c r="U29" i="143"/>
  <c r="T29" i="143"/>
  <c r="S29" i="143"/>
  <c r="R29" i="143"/>
  <c r="Q29" i="143"/>
  <c r="P29" i="143"/>
  <c r="O29" i="143"/>
  <c r="N29" i="143"/>
  <c r="M29" i="143"/>
  <c r="L29" i="143"/>
  <c r="K29" i="143"/>
  <c r="J29" i="143"/>
  <c r="I29" i="143"/>
  <c r="H29" i="143"/>
  <c r="G29" i="143"/>
  <c r="F29" i="143"/>
  <c r="E29" i="143"/>
  <c r="D29" i="143"/>
  <c r="C29" i="143"/>
  <c r="AB28" i="143" a="1"/>
  <c r="AB28" i="143"/>
  <c r="AA28" i="143"/>
  <c r="Z28" i="143"/>
  <c r="Y28" i="143"/>
  <c r="X28" i="143"/>
  <c r="W28" i="143"/>
  <c r="V28" i="143"/>
  <c r="U28" i="143"/>
  <c r="T28" i="143"/>
  <c r="S28" i="143"/>
  <c r="R28" i="143"/>
  <c r="Q28" i="143"/>
  <c r="P28" i="143"/>
  <c r="O28" i="143"/>
  <c r="N28" i="143"/>
  <c r="M28" i="143"/>
  <c r="L28" i="143"/>
  <c r="K28" i="143"/>
  <c r="J28" i="143"/>
  <c r="I28" i="143"/>
  <c r="H28" i="143"/>
  <c r="G28" i="143"/>
  <c r="F28" i="143"/>
  <c r="E28" i="143"/>
  <c r="D28" i="143"/>
  <c r="C28" i="143"/>
  <c r="AB27" i="143" a="1"/>
  <c r="AB27" i="143"/>
  <c r="AA27" i="143"/>
  <c r="Z27" i="143"/>
  <c r="Y27" i="143"/>
  <c r="X27" i="143"/>
  <c r="W27" i="143"/>
  <c r="V27" i="143"/>
  <c r="U27" i="143"/>
  <c r="T27" i="143"/>
  <c r="S27" i="143"/>
  <c r="R27" i="143"/>
  <c r="Q27" i="143"/>
  <c r="P27" i="143"/>
  <c r="O27" i="143"/>
  <c r="N27" i="143"/>
  <c r="M27" i="143"/>
  <c r="L27" i="143"/>
  <c r="K27" i="143"/>
  <c r="J27" i="143"/>
  <c r="I27" i="143"/>
  <c r="H27" i="143"/>
  <c r="G27" i="143"/>
  <c r="F27" i="143"/>
  <c r="E27" i="143"/>
  <c r="D27" i="143"/>
  <c r="C27" i="143"/>
  <c r="AB26" i="143" a="1"/>
  <c r="AB26" i="143"/>
  <c r="AA26" i="143"/>
  <c r="Z26" i="143"/>
  <c r="Y26" i="143"/>
  <c r="X26" i="143"/>
  <c r="W26" i="143"/>
  <c r="V26" i="143"/>
  <c r="U26" i="143"/>
  <c r="T26" i="143"/>
  <c r="S26" i="143"/>
  <c r="R26" i="143"/>
  <c r="Q26" i="143"/>
  <c r="P26" i="143"/>
  <c r="O26" i="143"/>
  <c r="N26" i="143"/>
  <c r="M26" i="143"/>
  <c r="L26" i="143"/>
  <c r="K26" i="143"/>
  <c r="J26" i="143"/>
  <c r="I26" i="143"/>
  <c r="H26" i="143"/>
  <c r="G26" i="143"/>
  <c r="F26" i="143"/>
  <c r="E26" i="143"/>
  <c r="D26" i="143"/>
  <c r="C26" i="143"/>
  <c r="AB25" i="143" a="1"/>
  <c r="AB25" i="143"/>
  <c r="Z25" i="143"/>
  <c r="Y25" i="143"/>
  <c r="X25" i="143"/>
  <c r="W25" i="143"/>
  <c r="V25" i="143"/>
  <c r="U25" i="143"/>
  <c r="T25" i="143"/>
  <c r="S25" i="143"/>
  <c r="R25" i="143"/>
  <c r="Q25" i="143"/>
  <c r="P25" i="143"/>
  <c r="O25" i="143"/>
  <c r="N25" i="143"/>
  <c r="M25" i="143"/>
  <c r="L25" i="143"/>
  <c r="K25" i="143"/>
  <c r="J25" i="143"/>
  <c r="I25" i="143"/>
  <c r="H25" i="143"/>
  <c r="G25" i="143"/>
  <c r="F25" i="143"/>
  <c r="E25" i="143"/>
  <c r="D25" i="143"/>
  <c r="C25" i="143"/>
  <c r="AB24" i="143" a="1"/>
  <c r="AB24" i="143"/>
  <c r="AA24" i="143"/>
  <c r="Z24" i="143"/>
  <c r="Y24" i="143"/>
  <c r="X24" i="143"/>
  <c r="W24" i="143"/>
  <c r="V24" i="143"/>
  <c r="U24" i="143"/>
  <c r="T24" i="143"/>
  <c r="S24" i="143"/>
  <c r="R24" i="143"/>
  <c r="Q24" i="143"/>
  <c r="P24" i="143"/>
  <c r="O24" i="143"/>
  <c r="N24" i="143"/>
  <c r="M24" i="143"/>
  <c r="L24" i="143"/>
  <c r="K24" i="143"/>
  <c r="J24" i="143"/>
  <c r="I24" i="143"/>
  <c r="H24" i="143"/>
  <c r="G24" i="143"/>
  <c r="F24" i="143"/>
  <c r="E24" i="143"/>
  <c r="D24" i="143"/>
  <c r="C24" i="143"/>
  <c r="AB23" i="143" a="1"/>
  <c r="AB23" i="143"/>
  <c r="AA23" i="143"/>
  <c r="Z23" i="143"/>
  <c r="Y23" i="143"/>
  <c r="X23" i="143"/>
  <c r="W23" i="143"/>
  <c r="V23" i="143"/>
  <c r="U23" i="143"/>
  <c r="T23" i="143"/>
  <c r="S23" i="143"/>
  <c r="R23" i="143"/>
  <c r="Q23" i="143"/>
  <c r="P23" i="143"/>
  <c r="O23" i="143"/>
  <c r="N23" i="143"/>
  <c r="M23" i="143"/>
  <c r="L23" i="143"/>
  <c r="K23" i="143"/>
  <c r="J23" i="143"/>
  <c r="I23" i="143"/>
  <c r="H23" i="143"/>
  <c r="G23" i="143"/>
  <c r="F23" i="143"/>
  <c r="E23" i="143"/>
  <c r="D23" i="143"/>
  <c r="C23" i="143"/>
  <c r="AB22" i="143" a="1"/>
  <c r="AB22" i="143"/>
  <c r="AA22" i="143"/>
  <c r="Z22" i="143"/>
  <c r="Y22" i="143"/>
  <c r="X22" i="143"/>
  <c r="W22" i="143"/>
  <c r="V22" i="143"/>
  <c r="U22" i="143"/>
  <c r="T22" i="143"/>
  <c r="S22" i="143"/>
  <c r="R22" i="143"/>
  <c r="Q22" i="143"/>
  <c r="P22" i="143"/>
  <c r="O22" i="143"/>
  <c r="N22" i="143"/>
  <c r="M22" i="143"/>
  <c r="L22" i="143"/>
  <c r="K22" i="143"/>
  <c r="J22" i="143"/>
  <c r="I22" i="143"/>
  <c r="H22" i="143"/>
  <c r="G22" i="143"/>
  <c r="F22" i="143"/>
  <c r="E22" i="143"/>
  <c r="D22" i="143"/>
  <c r="C22" i="143"/>
  <c r="AB21" i="143" a="1"/>
  <c r="AB21" i="143"/>
  <c r="AA21" i="143"/>
  <c r="Z21" i="143"/>
  <c r="Y21" i="143"/>
  <c r="X21" i="143"/>
  <c r="W21" i="143"/>
  <c r="V21" i="143"/>
  <c r="U21" i="143"/>
  <c r="T21" i="143"/>
  <c r="S21" i="143"/>
  <c r="R21" i="143"/>
  <c r="Q21" i="143"/>
  <c r="P21" i="143"/>
  <c r="O21" i="143"/>
  <c r="N21" i="143"/>
  <c r="M21" i="143"/>
  <c r="L21" i="143"/>
  <c r="K21" i="143"/>
  <c r="J21" i="143"/>
  <c r="I21" i="143"/>
  <c r="H21" i="143"/>
  <c r="G21" i="143"/>
  <c r="F21" i="143"/>
  <c r="E21" i="143"/>
  <c r="D21" i="143"/>
  <c r="C21" i="143"/>
  <c r="AB20" i="143" a="1"/>
  <c r="AB20" i="143"/>
  <c r="AA20" i="143"/>
  <c r="Z20" i="143"/>
  <c r="Y20" i="143"/>
  <c r="X20" i="143"/>
  <c r="W20" i="143"/>
  <c r="V20" i="143"/>
  <c r="U20" i="143"/>
  <c r="T20" i="143"/>
  <c r="S20" i="143"/>
  <c r="R20" i="143"/>
  <c r="Q20" i="143"/>
  <c r="P20" i="143"/>
  <c r="O20" i="143"/>
  <c r="N20" i="143"/>
  <c r="M20" i="143"/>
  <c r="L20" i="143"/>
  <c r="K20" i="143"/>
  <c r="J20" i="143"/>
  <c r="I20" i="143"/>
  <c r="H20" i="143"/>
  <c r="G20" i="143"/>
  <c r="F20" i="143"/>
  <c r="E20" i="143"/>
  <c r="D20" i="143"/>
  <c r="C20" i="143"/>
  <c r="AB19" i="143" a="1"/>
  <c r="AB19" i="143"/>
  <c r="AA19" i="143"/>
  <c r="Z19" i="143"/>
  <c r="Y19" i="143"/>
  <c r="X19" i="143"/>
  <c r="W19" i="143"/>
  <c r="V19" i="143"/>
  <c r="U19" i="143"/>
  <c r="T19" i="143"/>
  <c r="S19" i="143"/>
  <c r="R19" i="143"/>
  <c r="Q19" i="143"/>
  <c r="P19" i="143"/>
  <c r="O19" i="143"/>
  <c r="N19" i="143"/>
  <c r="M19" i="143"/>
  <c r="L19" i="143"/>
  <c r="K19" i="143"/>
  <c r="J19" i="143"/>
  <c r="I19" i="143"/>
  <c r="H19" i="143"/>
  <c r="G19" i="143"/>
  <c r="F19" i="143"/>
  <c r="E19" i="143"/>
  <c r="D19" i="143"/>
  <c r="C19" i="143"/>
  <c r="AB18" i="143" a="1"/>
  <c r="AB18" i="143"/>
  <c r="AA18" i="143"/>
  <c r="Z18" i="143"/>
  <c r="Y18" i="143"/>
  <c r="X18" i="143"/>
  <c r="W18" i="143"/>
  <c r="V18" i="143"/>
  <c r="U18" i="143"/>
  <c r="T18" i="143"/>
  <c r="S18" i="143"/>
  <c r="R18" i="143"/>
  <c r="Q18" i="143"/>
  <c r="P18" i="143"/>
  <c r="O18" i="143"/>
  <c r="N18" i="143"/>
  <c r="M18" i="143"/>
  <c r="L18" i="143"/>
  <c r="K18" i="143"/>
  <c r="J18" i="143"/>
  <c r="I18" i="143"/>
  <c r="H18" i="143"/>
  <c r="G18" i="143"/>
  <c r="F18" i="143"/>
  <c r="E18" i="143"/>
  <c r="D18" i="143"/>
  <c r="C18" i="143"/>
  <c r="AB17" i="143" a="1"/>
  <c r="AB17" i="143"/>
  <c r="AA17" i="143"/>
  <c r="Z17" i="143"/>
  <c r="Y17" i="143"/>
  <c r="X17" i="143"/>
  <c r="W17" i="143"/>
  <c r="V17" i="143"/>
  <c r="U17" i="143"/>
  <c r="T17" i="143"/>
  <c r="S17" i="143"/>
  <c r="R17" i="143"/>
  <c r="Q17" i="143"/>
  <c r="P17" i="143"/>
  <c r="O17" i="143"/>
  <c r="N17" i="143"/>
  <c r="M17" i="143"/>
  <c r="L17" i="143"/>
  <c r="K17" i="143"/>
  <c r="J17" i="143"/>
  <c r="I17" i="143"/>
  <c r="H17" i="143"/>
  <c r="G17" i="143"/>
  <c r="F17" i="143"/>
  <c r="E17" i="143"/>
  <c r="D17" i="143"/>
  <c r="C17" i="143"/>
  <c r="AB16" i="143" a="1"/>
  <c r="AB16" i="143"/>
  <c r="AA16" i="143"/>
  <c r="Z16" i="143"/>
  <c r="Y16" i="143"/>
  <c r="X16" i="143"/>
  <c r="W16" i="143"/>
  <c r="V16" i="143"/>
  <c r="U16" i="143"/>
  <c r="T16" i="143"/>
  <c r="S16" i="143"/>
  <c r="R16" i="143"/>
  <c r="Q16" i="143"/>
  <c r="P16" i="143"/>
  <c r="O16" i="143"/>
  <c r="N16" i="143"/>
  <c r="M16" i="143"/>
  <c r="L16" i="143"/>
  <c r="K16" i="143"/>
  <c r="J16" i="143"/>
  <c r="I16" i="143"/>
  <c r="H16" i="143"/>
  <c r="G16" i="143"/>
  <c r="F16" i="143"/>
  <c r="E16" i="143"/>
  <c r="D16" i="143"/>
  <c r="C16" i="143"/>
  <c r="AB15" i="143" a="1"/>
  <c r="AB15" i="143"/>
  <c r="AA15" i="143"/>
  <c r="Z15" i="143"/>
  <c r="Y15" i="143"/>
  <c r="X15" i="143"/>
  <c r="W15" i="143"/>
  <c r="V15" i="143"/>
  <c r="U15" i="143"/>
  <c r="T15" i="143"/>
  <c r="S15" i="143"/>
  <c r="R15" i="143"/>
  <c r="Q15" i="143"/>
  <c r="P15" i="143"/>
  <c r="O15" i="143"/>
  <c r="N15" i="143"/>
  <c r="M15" i="143"/>
  <c r="L15" i="143"/>
  <c r="K15" i="143"/>
  <c r="J15" i="143"/>
  <c r="I15" i="143"/>
  <c r="H15" i="143"/>
  <c r="G15" i="143"/>
  <c r="F15" i="143"/>
  <c r="E15" i="143"/>
  <c r="D15" i="143"/>
  <c r="C15" i="143"/>
  <c r="AB14" i="143" a="1"/>
  <c r="AB14" i="143"/>
  <c r="AA14" i="143"/>
  <c r="Z14" i="143"/>
  <c r="Y14" i="143"/>
  <c r="X14" i="143"/>
  <c r="W14" i="143"/>
  <c r="V14" i="143"/>
  <c r="U14" i="143"/>
  <c r="T14" i="143"/>
  <c r="S14" i="143"/>
  <c r="R14" i="143"/>
  <c r="Q14" i="143"/>
  <c r="P14" i="143"/>
  <c r="O14" i="143"/>
  <c r="N14" i="143"/>
  <c r="M14" i="143"/>
  <c r="L14" i="143"/>
  <c r="K14" i="143"/>
  <c r="J14" i="143"/>
  <c r="I14" i="143"/>
  <c r="H14" i="143"/>
  <c r="G14" i="143"/>
  <c r="F14" i="143"/>
  <c r="E14" i="143"/>
  <c r="D14" i="143"/>
  <c r="C14" i="143"/>
  <c r="AB13" i="143" a="1"/>
  <c r="AB13" i="143"/>
  <c r="AA13" i="143"/>
  <c r="Z13" i="143"/>
  <c r="Y13" i="143"/>
  <c r="X13" i="143"/>
  <c r="W13" i="143"/>
  <c r="V13" i="143"/>
  <c r="U13" i="143"/>
  <c r="T13" i="143"/>
  <c r="S13" i="143"/>
  <c r="R13" i="143"/>
  <c r="Q13" i="143"/>
  <c r="P13" i="143"/>
  <c r="O13" i="143"/>
  <c r="N13" i="143"/>
  <c r="M13" i="143"/>
  <c r="L13" i="143"/>
  <c r="K13" i="143"/>
  <c r="J13" i="143"/>
  <c r="I13" i="143"/>
  <c r="H13" i="143"/>
  <c r="G13" i="143"/>
  <c r="F13" i="143"/>
  <c r="E13" i="143"/>
  <c r="D13" i="143"/>
  <c r="C13" i="143"/>
  <c r="AB12" i="143" a="1"/>
  <c r="AB12" i="143"/>
  <c r="AA12" i="143"/>
  <c r="Z12" i="143"/>
  <c r="Y12" i="143"/>
  <c r="X12" i="143"/>
  <c r="W12" i="143"/>
  <c r="V12" i="143"/>
  <c r="U12" i="143"/>
  <c r="T12" i="143"/>
  <c r="S12" i="143"/>
  <c r="R12" i="143"/>
  <c r="Q12" i="143"/>
  <c r="P12" i="143"/>
  <c r="O12" i="143"/>
  <c r="N12" i="143"/>
  <c r="M12" i="143"/>
  <c r="L12" i="143"/>
  <c r="K12" i="143"/>
  <c r="J12" i="143"/>
  <c r="I12" i="143"/>
  <c r="H12" i="143"/>
  <c r="G12" i="143"/>
  <c r="F12" i="143"/>
  <c r="E12" i="143"/>
  <c r="D12" i="143"/>
  <c r="C12" i="143"/>
  <c r="AB11" i="143" a="1"/>
  <c r="AB11" i="143"/>
  <c r="AA11" i="143"/>
  <c r="Z11" i="143"/>
  <c r="Y11" i="143"/>
  <c r="X11" i="143"/>
  <c r="W11" i="143"/>
  <c r="V11" i="143"/>
  <c r="U11" i="143"/>
  <c r="T11" i="143"/>
  <c r="S11" i="143"/>
  <c r="R11" i="143"/>
  <c r="Q11" i="143"/>
  <c r="P11" i="143"/>
  <c r="O11" i="143"/>
  <c r="N11" i="143"/>
  <c r="M11" i="143"/>
  <c r="L11" i="143"/>
  <c r="K11" i="143"/>
  <c r="J11" i="143"/>
  <c r="I11" i="143"/>
  <c r="H11" i="143"/>
  <c r="G11" i="143"/>
  <c r="F11" i="143"/>
  <c r="E11" i="143"/>
  <c r="D11" i="143"/>
  <c r="C11" i="143"/>
  <c r="AB10" i="143" a="1"/>
  <c r="AB10" i="143"/>
  <c r="AA10" i="143"/>
  <c r="Z10" i="143"/>
  <c r="Y10" i="143"/>
  <c r="X10" i="143"/>
  <c r="W10" i="143"/>
  <c r="V10" i="143"/>
  <c r="U10" i="143"/>
  <c r="T10" i="143"/>
  <c r="S10" i="143"/>
  <c r="R10" i="143"/>
  <c r="Q10" i="143"/>
  <c r="P10" i="143"/>
  <c r="O10" i="143"/>
  <c r="N10" i="143"/>
  <c r="M10" i="143"/>
  <c r="L10" i="143"/>
  <c r="K10" i="143"/>
  <c r="J10" i="143"/>
  <c r="I10" i="143"/>
  <c r="H10" i="143"/>
  <c r="G10" i="143"/>
  <c r="F10" i="143"/>
  <c r="E10" i="143"/>
  <c r="D10" i="143"/>
  <c r="C10" i="143"/>
  <c r="AB9" i="143" a="1"/>
  <c r="AB9" i="143"/>
  <c r="AA9" i="143"/>
  <c r="Z9" i="143"/>
  <c r="Y9" i="143"/>
  <c r="X9" i="143"/>
  <c r="W9" i="143"/>
  <c r="V9" i="143"/>
  <c r="U9" i="143"/>
  <c r="T9" i="143"/>
  <c r="S9" i="143"/>
  <c r="R9" i="143"/>
  <c r="Q9" i="143"/>
  <c r="P9" i="143"/>
  <c r="O9" i="143"/>
  <c r="N9" i="143"/>
  <c r="M9" i="143"/>
  <c r="L9" i="143"/>
  <c r="K9" i="143"/>
  <c r="J9" i="143"/>
  <c r="I9" i="143"/>
  <c r="H9" i="143"/>
  <c r="G9" i="143"/>
  <c r="F9" i="143"/>
  <c r="E9" i="143"/>
  <c r="D9" i="143"/>
  <c r="C9" i="143"/>
  <c r="AB8" i="143" a="1"/>
  <c r="AB8" i="143"/>
  <c r="AA8" i="143"/>
  <c r="Z8" i="143"/>
  <c r="Y8" i="143"/>
  <c r="X8" i="143"/>
  <c r="W8" i="143"/>
  <c r="V8" i="143"/>
  <c r="U8" i="143"/>
  <c r="T8" i="143"/>
  <c r="S8" i="143"/>
  <c r="R8" i="143"/>
  <c r="Q8" i="143"/>
  <c r="P8" i="143"/>
  <c r="O8" i="143"/>
  <c r="N8" i="143"/>
  <c r="M8" i="143"/>
  <c r="L8" i="143"/>
  <c r="K8" i="143"/>
  <c r="J8" i="143"/>
  <c r="I8" i="143"/>
  <c r="H8" i="143"/>
  <c r="G8" i="143"/>
  <c r="F8" i="143"/>
  <c r="E8" i="143"/>
  <c r="D8" i="143"/>
  <c r="C8" i="143"/>
  <c r="AB7" i="143" a="1"/>
  <c r="AB7" i="143"/>
  <c r="AA7" i="143"/>
  <c r="Z7" i="143"/>
  <c r="Y7" i="143"/>
  <c r="X7" i="143"/>
  <c r="W7" i="143"/>
  <c r="V7" i="143"/>
  <c r="U7" i="143"/>
  <c r="T7" i="143"/>
  <c r="S7" i="143"/>
  <c r="R7" i="143"/>
  <c r="Q7" i="143"/>
  <c r="P7" i="143"/>
  <c r="O7" i="143"/>
  <c r="N7" i="143"/>
  <c r="M7" i="143"/>
  <c r="L7" i="143"/>
  <c r="K7" i="143"/>
  <c r="J7" i="143"/>
  <c r="I7" i="143"/>
  <c r="H7" i="143"/>
  <c r="G7" i="143"/>
  <c r="F7" i="143"/>
  <c r="E7" i="143"/>
  <c r="D7" i="143"/>
  <c r="C7" i="143"/>
  <c r="AB6" i="143" a="1"/>
  <c r="AB6" i="143"/>
  <c r="AA6" i="143"/>
  <c r="Z6" i="143"/>
  <c r="Y6" i="143"/>
  <c r="X6" i="143"/>
  <c r="W6" i="143"/>
  <c r="V6" i="143"/>
  <c r="U6" i="143"/>
  <c r="T6" i="143"/>
  <c r="S6" i="143"/>
  <c r="R6" i="143"/>
  <c r="Q6" i="143"/>
  <c r="P6" i="143"/>
  <c r="O6" i="143"/>
  <c r="N6" i="143"/>
  <c r="M6" i="143"/>
  <c r="L6" i="143"/>
  <c r="K6" i="143"/>
  <c r="J6" i="143"/>
  <c r="I6" i="143"/>
  <c r="H6" i="143"/>
  <c r="G6" i="143"/>
  <c r="F6" i="143"/>
  <c r="E6" i="143"/>
  <c r="D6" i="143"/>
  <c r="C6" i="143"/>
  <c r="AB5" i="143" a="1"/>
  <c r="AB5" i="143"/>
  <c r="AA5" i="143"/>
  <c r="Z5" i="143"/>
  <c r="Y5" i="143"/>
  <c r="X5" i="143"/>
  <c r="W5" i="143"/>
  <c r="V5" i="143"/>
  <c r="U5" i="143"/>
  <c r="T5" i="143"/>
  <c r="S5" i="143"/>
  <c r="R5" i="143"/>
  <c r="Q5" i="143"/>
  <c r="P5" i="143"/>
  <c r="O5" i="143"/>
  <c r="N5" i="143"/>
  <c r="M5" i="143"/>
  <c r="L5" i="143"/>
  <c r="K5" i="143"/>
  <c r="J5" i="143"/>
  <c r="I5" i="143"/>
  <c r="H5" i="143"/>
  <c r="G5" i="143"/>
  <c r="F5" i="143"/>
  <c r="E5" i="143"/>
  <c r="D5" i="143"/>
  <c r="C5" i="143"/>
  <c r="AB4" i="143" a="1"/>
  <c r="AB4" i="143"/>
  <c r="AA4" i="143"/>
  <c r="Z4" i="143"/>
  <c r="Y4" i="143"/>
  <c r="X4" i="143"/>
  <c r="W4" i="143"/>
  <c r="V4" i="143"/>
  <c r="U4" i="143"/>
  <c r="T4" i="143"/>
  <c r="S4" i="143"/>
  <c r="R4" i="143"/>
  <c r="Q4" i="143"/>
  <c r="P4" i="143"/>
  <c r="O4" i="143"/>
  <c r="N4" i="143"/>
  <c r="M4" i="143"/>
  <c r="L4" i="143"/>
  <c r="K4" i="143"/>
  <c r="J4" i="143"/>
  <c r="I4" i="143"/>
  <c r="H4" i="143"/>
  <c r="G4" i="143"/>
  <c r="F4" i="143"/>
  <c r="E4" i="143"/>
  <c r="D4" i="143"/>
  <c r="C4" i="143"/>
  <c r="AB3" i="143" a="1"/>
  <c r="AB3" i="143"/>
  <c r="AA3" i="143"/>
  <c r="Z3" i="143"/>
  <c r="Y3" i="143"/>
  <c r="X3" i="143"/>
  <c r="W3" i="143"/>
  <c r="V3" i="143"/>
  <c r="U3" i="143"/>
  <c r="T3" i="143"/>
  <c r="S3" i="143"/>
  <c r="R3" i="143"/>
  <c r="Q3" i="143"/>
  <c r="P3" i="143"/>
  <c r="O3" i="143"/>
  <c r="N3" i="143"/>
  <c r="M3" i="143"/>
  <c r="L3" i="143"/>
  <c r="K3" i="143"/>
  <c r="J3" i="143"/>
  <c r="I3" i="143"/>
  <c r="H3" i="143"/>
  <c r="G3" i="143"/>
  <c r="F3" i="143"/>
  <c r="E3" i="143"/>
  <c r="D3" i="143"/>
  <c r="C3" i="143"/>
  <c r="AB2" i="143" a="1"/>
  <c r="AB2" i="143"/>
  <c r="AA2" i="143"/>
  <c r="Z2" i="143"/>
  <c r="Y2" i="143"/>
  <c r="X2" i="143"/>
  <c r="W2" i="143"/>
  <c r="V2" i="143"/>
  <c r="U2" i="143"/>
  <c r="T2" i="143"/>
  <c r="S2" i="143"/>
  <c r="R2" i="143"/>
  <c r="Q2" i="143"/>
  <c r="P2" i="143"/>
  <c r="O2" i="143"/>
  <c r="N2" i="143"/>
  <c r="M2" i="143"/>
  <c r="L2" i="143"/>
  <c r="K2" i="143"/>
  <c r="J2" i="143"/>
  <c r="I2" i="143"/>
  <c r="H2" i="143"/>
  <c r="G2" i="143"/>
  <c r="F2" i="143"/>
  <c r="E2" i="143"/>
  <c r="D2" i="143"/>
  <c r="C2" i="143"/>
  <c r="E32" i="177"/>
  <c r="D32" i="177"/>
  <c r="F29" i="177" a="1"/>
  <c r="D29" i="177"/>
  <c r="C29" i="177"/>
  <c r="F28" i="177" a="1"/>
  <c r="D28" i="177"/>
  <c r="C28" i="177"/>
  <c r="F27" i="177" a="1"/>
  <c r="D27" i="177"/>
  <c r="C27" i="177"/>
  <c r="Z26" i="177" a="1"/>
  <c r="Y26" i="177" a="1"/>
  <c r="X26" i="177" a="1"/>
  <c r="W26" i="177" a="1"/>
  <c r="V26" i="177" a="1"/>
  <c r="U26" i="177" a="1"/>
  <c r="T26" i="177" a="1"/>
  <c r="S26" i="177" a="1"/>
  <c r="R26" i="177" a="1"/>
  <c r="Q26" i="177" a="1"/>
  <c r="P26" i="177" a="1"/>
  <c r="O26" i="177" a="1"/>
  <c r="N26" i="177" a="1"/>
  <c r="M26" i="177" a="1"/>
  <c r="L26" i="177" a="1"/>
  <c r="K26" i="177" a="1"/>
  <c r="J26" i="177" a="1"/>
  <c r="I26" i="177" a="1"/>
  <c r="H26" i="177" a="1"/>
  <c r="G26" i="177" a="1"/>
  <c r="F26" i="177" a="1"/>
  <c r="D26" i="177"/>
  <c r="C26" i="177"/>
  <c r="F29" i="176" a="1"/>
  <c r="D29" i="176"/>
  <c r="C29" i="176"/>
  <c r="F28" i="176" a="1"/>
  <c r="D28" i="176"/>
  <c r="C28" i="176"/>
  <c r="F27" i="176" a="1"/>
  <c r="D27" i="176"/>
  <c r="C27" i="176"/>
  <c r="Z26" i="176" a="1"/>
  <c r="Y26" i="176" a="1"/>
  <c r="X26" i="176" a="1"/>
  <c r="W26" i="176" a="1"/>
  <c r="V26" i="176" a="1"/>
  <c r="U26" i="176" a="1"/>
  <c r="T26" i="176" a="1"/>
  <c r="S26" i="176" a="1"/>
  <c r="R26" i="176" a="1"/>
  <c r="Q26" i="176" a="1"/>
  <c r="P26" i="176" a="1"/>
  <c r="O26" i="176" a="1"/>
  <c r="N26" i="176" a="1"/>
  <c r="M26" i="176" a="1"/>
  <c r="L26" i="176" a="1"/>
  <c r="K26" i="176" a="1"/>
  <c r="J26" i="176" a="1"/>
  <c r="I26" i="176" a="1"/>
  <c r="H26" i="176" a="1"/>
  <c r="G26" i="176" a="1"/>
  <c r="F26" i="176" a="1"/>
  <c r="D26" i="176"/>
  <c r="C26" i="176"/>
  <c r="F29" i="169" a="1"/>
  <c r="D29" i="169"/>
  <c r="C29" i="169"/>
  <c r="F28" i="169" a="1"/>
  <c r="D28" i="169"/>
  <c r="C28" i="169"/>
  <c r="F27" i="169" a="1"/>
  <c r="D27" i="169"/>
  <c r="C27" i="169"/>
  <c r="Z26" i="169" a="1"/>
  <c r="Y26" i="169" a="1"/>
  <c r="X26" i="169" a="1"/>
  <c r="W26" i="169" a="1"/>
  <c r="V26" i="169" a="1"/>
  <c r="U26" i="169" a="1"/>
  <c r="T26" i="169" a="1"/>
  <c r="S26" i="169" a="1"/>
  <c r="R26" i="169" a="1"/>
  <c r="Q26" i="169" a="1"/>
  <c r="P26" i="169" a="1"/>
  <c r="O26" i="169" a="1"/>
  <c r="N26" i="169" a="1"/>
  <c r="M26" i="169" a="1"/>
  <c r="L26" i="169" a="1"/>
  <c r="K26" i="169" a="1"/>
  <c r="J26" i="169" a="1"/>
  <c r="I26" i="169" a="1"/>
  <c r="H26" i="169" a="1"/>
  <c r="G26" i="169" a="1"/>
  <c r="F26" i="169" a="1"/>
  <c r="D26" i="169"/>
  <c r="C26" i="169"/>
  <c r="BK60" i="159"/>
  <c r="BK58" i="159" a="1"/>
  <c r="BK58" i="159"/>
  <c r="BK56" i="159" a="1"/>
  <c r="BK56" i="159"/>
  <c r="BK54" i="159" a="1"/>
  <c r="BK54" i="159"/>
  <c r="BD54" i="159"/>
  <c r="AX54" i="159"/>
  <c r="AR54" i="159"/>
  <c r="AL54" i="159"/>
  <c r="AF54" i="159"/>
  <c r="Z54" i="159"/>
  <c r="T54" i="159"/>
  <c r="N54" i="159"/>
  <c r="H54" i="159"/>
  <c r="B54" i="159"/>
  <c r="BH28" i="159" a="1"/>
  <c r="BH28" i="159"/>
  <c r="BF28" i="159" a="1"/>
  <c r="BF28" i="159"/>
  <c r="BE28" i="159" a="1"/>
  <c r="BE28" i="159"/>
  <c r="BB28" i="159" a="1"/>
  <c r="BB28" i="159"/>
  <c r="AZ28" i="159" a="1"/>
  <c r="AZ28" i="159"/>
  <c r="AY28" i="159" a="1"/>
  <c r="AY28" i="159"/>
  <c r="AV28" i="159" a="1"/>
  <c r="AV28" i="159"/>
  <c r="AT28" i="159" a="1"/>
  <c r="AT28" i="159"/>
  <c r="AS28" i="159" a="1"/>
  <c r="AS28" i="159"/>
  <c r="AP28" i="159" a="1"/>
  <c r="AP28" i="159"/>
  <c r="AN28" i="159" a="1"/>
  <c r="AN28" i="159"/>
  <c r="AM28" i="159" a="1"/>
  <c r="AM28" i="159"/>
  <c r="AJ28" i="159" a="1"/>
  <c r="AJ28" i="159"/>
  <c r="AH28" i="159" a="1"/>
  <c r="AH28" i="159"/>
  <c r="AG28" i="159" a="1"/>
  <c r="AG28" i="159"/>
  <c r="AD28" i="159" a="1"/>
  <c r="AD28" i="159"/>
  <c r="AB28" i="159" a="1"/>
  <c r="AB28" i="159"/>
  <c r="AA28" i="159" a="1"/>
  <c r="AA28" i="159"/>
  <c r="X28" i="159" a="1"/>
  <c r="X28" i="159"/>
  <c r="V28" i="159" a="1"/>
  <c r="V28" i="159"/>
  <c r="U28" i="159" a="1"/>
  <c r="U28" i="159"/>
  <c r="R28" i="159" a="1"/>
  <c r="R28" i="159"/>
  <c r="P28" i="159" a="1"/>
  <c r="P28" i="159"/>
  <c r="O28" i="159" a="1"/>
  <c r="O28" i="159"/>
  <c r="L28" i="159" a="1"/>
  <c r="L28" i="159"/>
  <c r="J28" i="159" a="1"/>
  <c r="J28" i="159"/>
  <c r="I28" i="159" a="1"/>
  <c r="I28" i="159"/>
  <c r="F28" i="159" a="1"/>
  <c r="F28" i="159"/>
  <c r="D28" i="159" a="1"/>
  <c r="D28" i="159"/>
  <c r="C28" i="159" a="1"/>
  <c r="C28" i="159"/>
  <c r="BH2" i="159" a="1"/>
  <c r="BH2" i="159"/>
  <c r="BF2" i="159" a="1"/>
  <c r="BF2" i="159"/>
  <c r="BE2" i="159" a="1"/>
  <c r="BE2" i="159"/>
  <c r="BB2" i="159" a="1"/>
  <c r="BB2" i="159"/>
  <c r="AZ2" i="159" a="1"/>
  <c r="AZ2" i="159"/>
  <c r="AY2" i="159" a="1"/>
  <c r="AY2" i="159"/>
  <c r="AV2" i="159" a="1"/>
  <c r="AV2" i="159"/>
  <c r="AT2" i="159" a="1"/>
  <c r="AT2" i="159"/>
  <c r="AS2" i="159" a="1"/>
  <c r="AS2" i="159"/>
  <c r="AP2" i="159" a="1"/>
  <c r="AP2" i="159"/>
  <c r="AN2" i="159" a="1"/>
  <c r="AN2" i="159"/>
  <c r="AM2" i="159" a="1"/>
  <c r="AM2" i="159"/>
  <c r="AJ2" i="159" a="1"/>
  <c r="AJ2" i="159"/>
  <c r="AH2" i="159" a="1"/>
  <c r="AH2" i="159"/>
  <c r="AG2" i="159" a="1"/>
  <c r="AG2" i="159"/>
  <c r="AD2" i="159" a="1"/>
  <c r="AD2" i="159"/>
  <c r="AB2" i="159" a="1"/>
  <c r="AB2" i="159"/>
  <c r="AA2" i="159" a="1"/>
  <c r="AA2" i="159"/>
  <c r="X2" i="159" a="1"/>
  <c r="X2" i="159"/>
  <c r="V2" i="159" a="1"/>
  <c r="V2" i="159"/>
  <c r="U2" i="159" a="1"/>
  <c r="U2" i="159"/>
  <c r="R2" i="159" a="1"/>
  <c r="R2" i="159"/>
  <c r="P2" i="159" a="1"/>
  <c r="P2" i="159"/>
  <c r="O2" i="159" a="1"/>
  <c r="O2" i="159"/>
  <c r="L2" i="159" a="1"/>
  <c r="L2" i="159"/>
  <c r="J2" i="159" a="1"/>
  <c r="J2" i="159"/>
  <c r="I2" i="159" a="1"/>
  <c r="I2" i="159"/>
  <c r="F2" i="159" a="1"/>
  <c r="F2" i="159"/>
  <c r="D2" i="159" a="1"/>
  <c r="D2" i="159"/>
  <c r="C2" i="159" a="1"/>
  <c r="C2" i="159"/>
  <c r="BD1" i="159"/>
  <c r="AX1" i="159"/>
  <c r="AR1" i="159"/>
  <c r="AL1" i="159"/>
  <c r="AF1" i="159"/>
  <c r="Z1" i="159"/>
  <c r="T1" i="159"/>
  <c r="N1" i="159"/>
  <c r="H1" i="159"/>
  <c r="H10" i="172"/>
  <c r="G10" i="172"/>
  <c r="H9" i="172"/>
  <c r="N6" i="172"/>
  <c r="M6" i="172"/>
  <c r="L6" i="172"/>
  <c r="K6" i="172"/>
  <c r="J6" i="172"/>
  <c r="I6" i="172"/>
  <c r="H6" i="172"/>
  <c r="G6" i="172"/>
  <c r="F6" i="172"/>
  <c r="E6" i="172"/>
  <c r="D6" i="172"/>
  <c r="C6" i="172"/>
  <c r="N5" i="172"/>
  <c r="M5" i="172"/>
  <c r="L5" i="172"/>
  <c r="K5" i="172"/>
  <c r="J5" i="172"/>
  <c r="I5" i="172"/>
  <c r="H5" i="172"/>
  <c r="G5" i="172"/>
  <c r="N4" i="172"/>
  <c r="M4" i="172"/>
  <c r="L4" i="172"/>
  <c r="K4" i="172"/>
  <c r="J4" i="172"/>
  <c r="I4" i="172"/>
  <c r="H4" i="172"/>
  <c r="G4" i="172"/>
  <c r="F4" i="172"/>
  <c r="E4" i="172"/>
  <c r="N3" i="172"/>
  <c r="M3" i="172"/>
  <c r="L3" i="172"/>
  <c r="K3" i="172"/>
  <c r="J3" i="172"/>
  <c r="I3" i="172"/>
  <c r="H3" i="172"/>
  <c r="G3" i="172"/>
  <c r="F3" i="172"/>
  <c r="E3" i="172"/>
  <c r="BD60" i="155"/>
  <c r="BD58" i="155" a="1"/>
  <c r="BD58" i="155"/>
  <c r="BD56" i="155" a="1"/>
  <c r="BD56" i="155"/>
  <c r="BD54" i="155" a="1"/>
  <c r="BD54" i="155"/>
  <c r="AX54" i="155"/>
  <c r="AR54" i="155"/>
  <c r="AL54" i="155"/>
  <c r="AF54" i="155"/>
  <c r="Z54" i="155"/>
  <c r="T54" i="155"/>
  <c r="N54" i="155"/>
  <c r="H54" i="155"/>
  <c r="B54" i="155"/>
  <c r="BB28" i="155" a="1"/>
  <c r="BB28" i="155"/>
  <c r="AZ28" i="155" a="1"/>
  <c r="AZ28" i="155"/>
  <c r="AY28" i="155" a="1"/>
  <c r="AY28" i="155"/>
  <c r="AV28" i="155" a="1"/>
  <c r="AV28" i="155"/>
  <c r="AT28" i="155" a="1"/>
  <c r="AT28" i="155"/>
  <c r="AS28" i="155" a="1"/>
  <c r="AS28" i="155"/>
  <c r="AP28" i="155" a="1"/>
  <c r="AP28" i="155"/>
  <c r="AN28" i="155" a="1"/>
  <c r="AN28" i="155"/>
  <c r="AM28" i="155" a="1"/>
  <c r="AM28" i="155"/>
  <c r="AJ28" i="155" a="1"/>
  <c r="AJ28" i="155"/>
  <c r="AH28" i="155" a="1"/>
  <c r="AH28" i="155"/>
  <c r="AG28" i="155" a="1"/>
  <c r="AG28" i="155"/>
  <c r="AD28" i="155" a="1"/>
  <c r="AD28" i="155"/>
  <c r="AB28" i="155" a="1"/>
  <c r="AB28" i="155"/>
  <c r="AA28" i="155" a="1"/>
  <c r="AA28" i="155"/>
  <c r="X28" i="155" a="1"/>
  <c r="X28" i="155"/>
  <c r="V28" i="155" a="1"/>
  <c r="V28" i="155"/>
  <c r="U28" i="155" a="1"/>
  <c r="U28" i="155"/>
  <c r="R28" i="155" a="1"/>
  <c r="R28" i="155"/>
  <c r="P28" i="155" a="1"/>
  <c r="P28" i="155"/>
  <c r="O28" i="155" a="1"/>
  <c r="O28" i="155"/>
  <c r="L28" i="155" a="1"/>
  <c r="L28" i="155"/>
  <c r="J28" i="155" a="1"/>
  <c r="J28" i="155"/>
  <c r="I28" i="155" a="1"/>
  <c r="I28" i="155"/>
  <c r="F28" i="155" a="1"/>
  <c r="F28" i="155"/>
  <c r="D28" i="155" a="1"/>
  <c r="D28" i="155"/>
  <c r="C28" i="155" a="1"/>
  <c r="C28" i="155"/>
  <c r="BB2" i="155" a="1"/>
  <c r="BB2" i="155"/>
  <c r="AZ2" i="155" a="1"/>
  <c r="AZ2" i="155"/>
  <c r="AY2" i="155" a="1"/>
  <c r="AY2" i="155"/>
  <c r="AV2" i="155" a="1"/>
  <c r="AV2" i="155"/>
  <c r="AT2" i="155" a="1"/>
  <c r="AT2" i="155"/>
  <c r="AS2" i="155" a="1"/>
  <c r="AS2" i="155"/>
  <c r="AP2" i="155" a="1"/>
  <c r="AP2" i="155"/>
  <c r="AN2" i="155" a="1"/>
  <c r="AN2" i="155"/>
  <c r="AM2" i="155" a="1"/>
  <c r="AM2" i="155"/>
  <c r="AJ2" i="155" a="1"/>
  <c r="AJ2" i="155"/>
  <c r="AH2" i="155" a="1"/>
  <c r="AH2" i="155"/>
  <c r="AG2" i="155" a="1"/>
  <c r="AG2" i="155"/>
  <c r="AD2" i="155" a="1"/>
  <c r="AD2" i="155"/>
  <c r="AB2" i="155" a="1"/>
  <c r="AB2" i="155"/>
  <c r="AA2" i="155" a="1"/>
  <c r="AA2" i="155"/>
  <c r="X2" i="155" a="1"/>
  <c r="X2" i="155"/>
  <c r="V2" i="155" a="1"/>
  <c r="V2" i="155"/>
  <c r="U2" i="155" a="1"/>
  <c r="U2" i="155"/>
  <c r="R2" i="155" a="1"/>
  <c r="R2" i="155"/>
  <c r="P2" i="155" a="1"/>
  <c r="P2" i="155"/>
  <c r="O2" i="155" a="1"/>
  <c r="O2" i="155"/>
  <c r="L2" i="155" a="1"/>
  <c r="L2" i="155"/>
  <c r="J2" i="155" a="1"/>
  <c r="J2" i="155"/>
  <c r="I2" i="155" a="1"/>
  <c r="I2" i="155"/>
  <c r="F2" i="155" a="1"/>
  <c r="F2" i="155"/>
  <c r="D2" i="155" a="1"/>
  <c r="D2" i="155"/>
  <c r="C2" i="155" a="1"/>
  <c r="C2" i="155"/>
  <c r="AE202" i="184"/>
  <c r="AE201" i="184"/>
  <c r="AE200" i="184"/>
  <c r="AE199" i="184"/>
  <c r="AE198" i="184"/>
  <c r="AE197" i="184"/>
  <c r="AE196" i="184"/>
  <c r="AE195" i="184"/>
  <c r="AE194" i="184"/>
  <c r="AE193" i="184"/>
  <c r="AE192" i="184"/>
  <c r="AE191" i="184"/>
  <c r="AE190" i="184"/>
  <c r="AE189" i="184"/>
  <c r="AE188" i="184"/>
  <c r="AE187" i="184"/>
  <c r="AE186" i="184"/>
  <c r="AE185" i="184"/>
  <c r="AE184" i="184"/>
  <c r="AE183" i="184"/>
  <c r="AE182" i="184"/>
  <c r="AE181" i="184"/>
  <c r="AE180" i="184"/>
  <c r="AE179" i="184"/>
  <c r="AE178" i="184"/>
  <c r="AE177" i="184"/>
  <c r="AE176" i="184"/>
  <c r="AE175" i="184"/>
  <c r="AE174" i="184"/>
  <c r="AE173" i="184"/>
  <c r="AE172" i="184"/>
  <c r="AE171" i="184"/>
  <c r="AE170" i="184"/>
  <c r="AE169" i="184"/>
  <c r="AE168" i="184"/>
  <c r="AE167" i="184"/>
  <c r="AE166" i="184"/>
  <c r="AE165" i="184"/>
  <c r="AE164" i="184"/>
  <c r="AE163" i="184"/>
  <c r="AE162" i="184"/>
  <c r="AE161" i="184"/>
  <c r="AE160" i="184"/>
  <c r="AE159" i="184"/>
  <c r="AE158" i="184"/>
  <c r="AE157" i="184"/>
  <c r="AE156" i="184"/>
  <c r="AE155" i="184"/>
  <c r="AE154" i="184"/>
  <c r="AE153" i="184"/>
  <c r="AE152" i="184"/>
  <c r="AE151" i="184"/>
  <c r="AE150" i="184"/>
  <c r="AE149" i="184"/>
  <c r="AE148" i="184"/>
  <c r="AE147" i="184"/>
  <c r="AE146" i="184"/>
  <c r="AE145" i="184"/>
  <c r="AE144" i="184"/>
  <c r="AE143" i="184"/>
  <c r="AE142" i="184"/>
  <c r="AE141" i="184"/>
  <c r="AE140" i="184"/>
  <c r="AE139" i="184"/>
  <c r="AE138" i="184"/>
  <c r="AE137" i="184"/>
  <c r="AE136" i="184"/>
  <c r="AE135" i="184"/>
  <c r="AE134" i="184"/>
  <c r="AE133" i="184"/>
  <c r="AE132" i="184"/>
  <c r="AE131" i="184"/>
  <c r="AE130" i="184"/>
  <c r="AE129" i="184"/>
  <c r="AE128" i="184"/>
  <c r="AE127" i="184"/>
  <c r="AE126" i="184"/>
  <c r="AE125" i="184"/>
  <c r="AE124" i="184"/>
  <c r="AE123" i="184"/>
  <c r="AE122" i="184"/>
  <c r="AE121" i="184"/>
  <c r="AE120" i="184"/>
  <c r="AE119" i="184"/>
  <c r="AE118" i="184"/>
  <c r="AE117" i="184"/>
  <c r="AE116" i="184"/>
  <c r="AE115" i="184"/>
  <c r="AE114" i="184"/>
  <c r="AE113" i="184"/>
  <c r="AE112" i="184"/>
  <c r="AE111" i="184"/>
  <c r="AE110" i="184"/>
  <c r="AE109" i="184"/>
  <c r="AE108" i="184"/>
  <c r="AE107" i="184"/>
  <c r="AE106" i="184"/>
  <c r="AE105" i="184"/>
  <c r="AE104" i="184"/>
  <c r="AE103" i="184"/>
  <c r="AE102" i="184"/>
  <c r="AE101" i="184"/>
  <c r="AA4" i="184"/>
  <c r="AA5" i="184" s="1"/>
  <c r="AA6" i="184" s="1"/>
  <c r="AA7" i="184" s="1"/>
  <c r="AA8" i="184" s="1"/>
  <c r="AA9" i="184" s="1"/>
  <c r="AA10" i="184" s="1"/>
  <c r="AA11" i="184" s="1"/>
  <c r="AA12" i="184" s="1"/>
  <c r="AA13" i="184" s="1"/>
  <c r="AA14" i="184" s="1"/>
  <c r="AA15" i="184" s="1"/>
  <c r="AA16" i="184" s="1"/>
  <c r="AA17" i="184" s="1"/>
  <c r="AA18" i="184" s="1"/>
  <c r="AA19" i="184" s="1"/>
  <c r="AA20" i="184" s="1"/>
  <c r="AA21" i="184" s="1"/>
  <c r="AA22" i="184" s="1"/>
  <c r="AA23" i="184" s="1"/>
  <c r="AA24" i="184" s="1"/>
  <c r="AA25" i="184" s="1"/>
  <c r="AA26" i="184" s="1"/>
  <c r="AA27" i="184" s="1"/>
  <c r="AA28" i="184" s="1"/>
  <c r="AA29" i="184" s="1"/>
  <c r="AA30" i="184" s="1"/>
  <c r="AA31" i="184" s="1"/>
  <c r="AA32" i="184" s="1"/>
  <c r="AA33" i="184" s="1"/>
  <c r="AA34" i="184" s="1"/>
  <c r="AA35" i="184" s="1"/>
  <c r="AA36" i="184" s="1"/>
  <c r="AA37" i="184" s="1"/>
  <c r="AA38" i="184" s="1"/>
  <c r="AA39" i="184" s="1"/>
  <c r="AA40" i="184" s="1"/>
  <c r="AA41" i="184" s="1"/>
  <c r="AA42" i="184" s="1"/>
  <c r="AA43" i="184" s="1"/>
  <c r="AA44" i="184" s="1"/>
  <c r="AA45" i="184" s="1"/>
  <c r="AA46" i="184" s="1"/>
  <c r="AA47" i="184" s="1"/>
  <c r="AA48" i="184" s="1"/>
  <c r="AA49" i="184" s="1"/>
  <c r="AA50" i="184" s="1"/>
  <c r="AA51" i="184" s="1"/>
  <c r="AA52" i="184" s="1"/>
  <c r="AA53" i="184" s="1"/>
  <c r="AA54" i="184" s="1"/>
  <c r="AA55" i="184" s="1"/>
  <c r="AA56" i="184" s="1"/>
  <c r="AA57" i="184" s="1"/>
  <c r="AA58" i="184" s="1"/>
  <c r="AA59" i="184" s="1"/>
  <c r="AA60" i="184" s="1"/>
  <c r="AA61" i="184" s="1"/>
  <c r="AA62" i="184" s="1"/>
  <c r="AA63" i="184" s="1"/>
  <c r="AA64" i="184" s="1"/>
  <c r="AA65" i="184" s="1"/>
  <c r="AA66" i="184" s="1"/>
  <c r="AA67" i="184" s="1"/>
  <c r="AA68" i="184" s="1"/>
  <c r="AA69" i="184" s="1"/>
  <c r="AA70" i="184" s="1"/>
  <c r="AA71" i="184" s="1"/>
  <c r="AA72" i="184" s="1"/>
  <c r="AA73" i="184" s="1"/>
  <c r="AA74" i="184" s="1"/>
  <c r="AA75" i="184" s="1"/>
  <c r="AA76" i="184" s="1"/>
  <c r="AA77" i="184" s="1"/>
  <c r="AA78" i="184" s="1"/>
  <c r="AA79" i="184" s="1"/>
  <c r="AA80" i="184" s="1"/>
  <c r="AA81" i="184" s="1"/>
  <c r="AA82" i="184" s="1"/>
  <c r="AA83" i="184" s="1"/>
  <c r="AA84" i="184" s="1"/>
  <c r="AA85" i="184" s="1"/>
  <c r="AA86" i="184" s="1"/>
  <c r="AA87" i="184" s="1"/>
  <c r="AA88" i="184" s="1"/>
  <c r="AA89" i="184" s="1"/>
  <c r="AA90" i="184" s="1"/>
  <c r="AA91" i="184" s="1"/>
  <c r="AA92" i="184" s="1"/>
  <c r="AA93" i="184" s="1"/>
  <c r="AA94" i="184" s="1"/>
  <c r="AA95" i="184" s="1"/>
  <c r="AA96" i="184" s="1"/>
  <c r="AA97" i="184" s="1"/>
  <c r="AA98" i="184" s="1"/>
  <c r="AA99" i="184" s="1"/>
  <c r="AA100" i="184" s="1"/>
  <c r="Z4" i="184"/>
  <c r="Z5" i="184" s="1"/>
  <c r="Z6" i="184" s="1"/>
  <c r="Z7" i="184" s="1"/>
  <c r="Z8" i="184" s="1"/>
  <c r="Z9" i="184" s="1"/>
  <c r="Z10" i="184" s="1"/>
  <c r="Z11" i="184" s="1"/>
  <c r="Z12" i="184" s="1"/>
  <c r="Z13" i="184" s="1"/>
  <c r="Z14" i="184" s="1"/>
  <c r="Z15" i="184" s="1"/>
  <c r="Z16" i="184" s="1"/>
  <c r="Z17" i="184" s="1"/>
  <c r="Z18" i="184" s="1"/>
  <c r="Z19" i="184" s="1"/>
  <c r="Z20" i="184" s="1"/>
  <c r="Z21" i="184" s="1"/>
  <c r="Z22" i="184" s="1"/>
  <c r="Z23" i="184" s="1"/>
  <c r="Z24" i="184" s="1"/>
  <c r="Z25" i="184" s="1"/>
  <c r="Z26" i="184" s="1"/>
  <c r="Z27" i="184" s="1"/>
  <c r="Z28" i="184" s="1"/>
  <c r="Z29" i="184" s="1"/>
  <c r="Z30" i="184" s="1"/>
  <c r="Z31" i="184" s="1"/>
  <c r="Z32" i="184" s="1"/>
  <c r="Z33" i="184" s="1"/>
  <c r="Z34" i="184" s="1"/>
  <c r="Z35" i="184" s="1"/>
  <c r="Z36" i="184" s="1"/>
  <c r="Z37" i="184" s="1"/>
  <c r="Z38" i="184" s="1"/>
  <c r="Z39" i="184" s="1"/>
  <c r="Z40" i="184" s="1"/>
  <c r="Z41" i="184" s="1"/>
  <c r="Z42" i="184" s="1"/>
  <c r="Z43" i="184" s="1"/>
  <c r="Z44" i="184" s="1"/>
  <c r="Z45" i="184" s="1"/>
  <c r="Z46" i="184" s="1"/>
  <c r="Z47" i="184" s="1"/>
  <c r="Z48" i="184" s="1"/>
  <c r="Z49" i="184" s="1"/>
  <c r="Z50" i="184" s="1"/>
  <c r="Z51" i="184" s="1"/>
  <c r="Z52" i="184" s="1"/>
  <c r="Z53" i="184" s="1"/>
  <c r="Z54" i="184" s="1"/>
  <c r="Z55" i="184" s="1"/>
  <c r="Z56" i="184" s="1"/>
  <c r="Z57" i="184" s="1"/>
  <c r="Z58" i="184" s="1"/>
  <c r="Z59" i="184" s="1"/>
  <c r="Z60" i="184" s="1"/>
  <c r="Z61" i="184" s="1"/>
  <c r="Z62" i="184" s="1"/>
  <c r="Z63" i="184" s="1"/>
  <c r="Z64" i="184" s="1"/>
  <c r="Z65" i="184" s="1"/>
  <c r="Z66" i="184" s="1"/>
  <c r="Z67" i="184" s="1"/>
  <c r="Z68" i="184" s="1"/>
  <c r="Z69" i="184" s="1"/>
  <c r="Z70" i="184" s="1"/>
  <c r="Z71" i="184" s="1"/>
  <c r="Z72" i="184" s="1"/>
  <c r="Z73" i="184" s="1"/>
  <c r="Z74" i="184" s="1"/>
  <c r="Z75" i="184" s="1"/>
  <c r="Z76" i="184" s="1"/>
  <c r="Z77" i="184" s="1"/>
  <c r="Z78" i="184" s="1"/>
  <c r="Z79" i="184" s="1"/>
  <c r="Z80" i="184" s="1"/>
  <c r="Z81" i="184" s="1"/>
  <c r="Z82" i="184" s="1"/>
  <c r="Z83" i="184" s="1"/>
  <c r="Z84" i="184" s="1"/>
  <c r="Z85" i="184" s="1"/>
  <c r="Z86" i="184" s="1"/>
  <c r="Z87" i="184" s="1"/>
  <c r="Z88" i="184" s="1"/>
  <c r="Z89" i="184" s="1"/>
  <c r="Z90" i="184" s="1"/>
  <c r="Z91" i="184" s="1"/>
  <c r="Z92" i="184" s="1"/>
  <c r="Z93" i="184" s="1"/>
  <c r="Z94" i="184" s="1"/>
  <c r="Z95" i="184" s="1"/>
  <c r="Z96" i="184" s="1"/>
  <c r="Z97" i="184" s="1"/>
  <c r="Z98" i="184" s="1"/>
  <c r="Z99" i="184" s="1"/>
  <c r="Z100" i="184" s="1"/>
  <c r="Y4" i="184"/>
  <c r="Y5" i="184" s="1"/>
  <c r="Y6" i="184" s="1"/>
  <c r="Y7" i="184" s="1"/>
  <c r="Y8" i="184" s="1"/>
  <c r="Y9" i="184" s="1"/>
  <c r="Y10" i="184" s="1"/>
  <c r="Y11" i="184" s="1"/>
  <c r="Y12" i="184" s="1"/>
  <c r="Y13" i="184" s="1"/>
  <c r="Y14" i="184" s="1"/>
  <c r="Y15" i="184" s="1"/>
  <c r="Y16" i="184" s="1"/>
  <c r="Y17" i="184" s="1"/>
  <c r="Y18" i="184" s="1"/>
  <c r="Y19" i="184" s="1"/>
  <c r="Y20" i="184" s="1"/>
  <c r="Y21" i="184" s="1"/>
  <c r="Y22" i="184" s="1"/>
  <c r="Y23" i="184" s="1"/>
  <c r="Y24" i="184" s="1"/>
  <c r="Y25" i="184" s="1"/>
  <c r="Y26" i="184" s="1"/>
  <c r="Y27" i="184" s="1"/>
  <c r="Y28" i="184" s="1"/>
  <c r="Y29" i="184" s="1"/>
  <c r="Y30" i="184" s="1"/>
  <c r="Y31" i="184" s="1"/>
  <c r="Y32" i="184" s="1"/>
  <c r="Y33" i="184" s="1"/>
  <c r="Y34" i="184" s="1"/>
  <c r="Y35" i="184" s="1"/>
  <c r="Y36" i="184" s="1"/>
  <c r="Y37" i="184" s="1"/>
  <c r="Y38" i="184" s="1"/>
  <c r="Y39" i="184" s="1"/>
  <c r="Y40" i="184" s="1"/>
  <c r="Y41" i="184" s="1"/>
  <c r="Y42" i="184" s="1"/>
  <c r="Y43" i="184" s="1"/>
  <c r="Y44" i="184" s="1"/>
  <c r="Y45" i="184" s="1"/>
  <c r="Y46" i="184" s="1"/>
  <c r="Y47" i="184" s="1"/>
  <c r="Y48" i="184" s="1"/>
  <c r="Y49" i="184" s="1"/>
  <c r="Y50" i="184" s="1"/>
  <c r="Y51" i="184" s="1"/>
  <c r="Y52" i="184" s="1"/>
  <c r="Y53" i="184" s="1"/>
  <c r="Y54" i="184" s="1"/>
  <c r="Y55" i="184" s="1"/>
  <c r="Y56" i="184" s="1"/>
  <c r="Y57" i="184" s="1"/>
  <c r="Y58" i="184" s="1"/>
  <c r="Y59" i="184" s="1"/>
  <c r="Y60" i="184" s="1"/>
  <c r="Y61" i="184" s="1"/>
  <c r="Y62" i="184" s="1"/>
  <c r="Y63" i="184" s="1"/>
  <c r="Y64" i="184" s="1"/>
  <c r="Y65" i="184" s="1"/>
  <c r="Y66" i="184" s="1"/>
  <c r="Y67" i="184" s="1"/>
  <c r="Y68" i="184" s="1"/>
  <c r="Y69" i="184" s="1"/>
  <c r="Y70" i="184" s="1"/>
  <c r="Y71" i="184" s="1"/>
  <c r="Y72" i="184" s="1"/>
  <c r="Y73" i="184" s="1"/>
  <c r="Y74" i="184" s="1"/>
  <c r="Y75" i="184" s="1"/>
  <c r="Y76" i="184" s="1"/>
  <c r="Y77" i="184" s="1"/>
  <c r="Y78" i="184" s="1"/>
  <c r="Y79" i="184" s="1"/>
  <c r="Y80" i="184" s="1"/>
  <c r="Y81" i="184" s="1"/>
  <c r="Y82" i="184" s="1"/>
  <c r="Y83" i="184" s="1"/>
  <c r="Y84" i="184" s="1"/>
  <c r="Y85" i="184" s="1"/>
  <c r="Y86" i="184" s="1"/>
  <c r="Y87" i="184" s="1"/>
  <c r="Y88" i="184" s="1"/>
  <c r="Y89" i="184" s="1"/>
  <c r="Y90" i="184" s="1"/>
  <c r="Y91" i="184" s="1"/>
  <c r="Y92" i="184" s="1"/>
  <c r="Y93" i="184" s="1"/>
  <c r="Y94" i="184" s="1"/>
  <c r="Y95" i="184" s="1"/>
  <c r="Y96" i="184" s="1"/>
  <c r="Y97" i="184" s="1"/>
  <c r="Y98" i="184" s="1"/>
  <c r="Y99" i="184" s="1"/>
  <c r="Y100" i="184" s="1"/>
  <c r="B1" i="184"/>
  <c r="X4" i="184" s="1"/>
  <c r="X5" i="184" s="1"/>
  <c r="X6" i="184" s="1"/>
  <c r="X7" i="184" s="1"/>
  <c r="X8" i="184" s="1"/>
  <c r="X9" i="184" s="1"/>
  <c r="X10" i="184" s="1"/>
  <c r="X11" i="184" s="1"/>
  <c r="X12" i="184" s="1"/>
  <c r="X13" i="184" s="1"/>
  <c r="X14" i="184" s="1"/>
  <c r="X15" i="184" s="1"/>
  <c r="X16" i="184" s="1"/>
  <c r="X17" i="184" s="1"/>
  <c r="X18" i="184" s="1"/>
  <c r="X19" i="184" s="1"/>
  <c r="X20" i="184" s="1"/>
  <c r="X21" i="184" s="1"/>
  <c r="X22" i="184" s="1"/>
  <c r="X23" i="184" s="1"/>
  <c r="X24" i="184" s="1"/>
  <c r="X25" i="184" s="1"/>
  <c r="X26" i="184" s="1"/>
  <c r="X27" i="184" s="1"/>
  <c r="X28" i="184" s="1"/>
  <c r="X29" i="184" s="1"/>
  <c r="X30" i="184" s="1"/>
  <c r="X31" i="184" s="1"/>
  <c r="X32" i="184" s="1"/>
  <c r="X33" i="184" s="1"/>
  <c r="X34" i="184" s="1"/>
  <c r="X35" i="184" s="1"/>
  <c r="X36" i="184" s="1"/>
  <c r="X37" i="184" s="1"/>
  <c r="X38" i="184" s="1"/>
  <c r="X39" i="184" s="1"/>
  <c r="X40" i="184" s="1"/>
  <c r="X41" i="184" s="1"/>
  <c r="X42" i="184" s="1"/>
  <c r="X43" i="184" s="1"/>
  <c r="X44" i="184" s="1"/>
  <c r="X45" i="184" s="1"/>
  <c r="X46" i="184" s="1"/>
  <c r="X47" i="184" s="1"/>
  <c r="X48" i="184" s="1"/>
  <c r="X49" i="184" s="1"/>
  <c r="X50" i="184" s="1"/>
  <c r="X51" i="184" s="1"/>
  <c r="X52" i="184" s="1"/>
  <c r="X53" i="184" s="1"/>
  <c r="X54" i="184" s="1"/>
  <c r="X55" i="184" s="1"/>
  <c r="X56" i="184" s="1"/>
  <c r="X57" i="184" s="1"/>
  <c r="X58" i="184" s="1"/>
  <c r="X59" i="184" s="1"/>
  <c r="X60" i="184" s="1"/>
  <c r="X61" i="184" s="1"/>
  <c r="X62" i="184" s="1"/>
  <c r="X63" i="184" s="1"/>
  <c r="X64" i="184" s="1"/>
  <c r="X65" i="184" s="1"/>
  <c r="X66" i="184" s="1"/>
  <c r="X67" i="184" s="1"/>
  <c r="X68" i="184" s="1"/>
  <c r="X69" i="184" s="1"/>
  <c r="X70" i="184" s="1"/>
  <c r="X71" i="184" s="1"/>
  <c r="X72" i="184" s="1"/>
  <c r="X73" i="184" s="1"/>
  <c r="X74" i="184" s="1"/>
  <c r="X75" i="184" s="1"/>
  <c r="X76" i="184" s="1"/>
  <c r="X77" i="184" s="1"/>
  <c r="X78" i="184" s="1"/>
  <c r="X79" i="184" s="1"/>
  <c r="X80" i="184" s="1"/>
  <c r="X81" i="184" s="1"/>
  <c r="X82" i="184" s="1"/>
  <c r="X83" i="184" s="1"/>
  <c r="X84" i="184" s="1"/>
  <c r="X85" i="184" s="1"/>
  <c r="X86" i="184" s="1"/>
  <c r="X87" i="184" s="1"/>
  <c r="X88" i="184" s="1"/>
  <c r="X89" i="184" s="1"/>
  <c r="X90" i="184" s="1"/>
  <c r="X91" i="184" s="1"/>
  <c r="X92" i="184" s="1"/>
  <c r="X93" i="184" s="1"/>
  <c r="X94" i="184" s="1"/>
  <c r="X95" i="184" s="1"/>
  <c r="X96" i="184" s="1"/>
  <c r="X97" i="184" s="1"/>
  <c r="X98" i="184" s="1"/>
  <c r="X99" i="184" s="1"/>
  <c r="X100" i="184" s="1"/>
  <c r="AL362" i="185"/>
  <c r="AL361" i="185"/>
  <c r="AL353" i="185"/>
  <c r="AL352" i="185"/>
  <c r="AL344" i="185"/>
  <c r="AL343" i="185"/>
  <c r="AL335" i="185"/>
  <c r="AL334" i="185"/>
  <c r="AL321" i="185"/>
  <c r="AL320" i="185"/>
  <c r="AL312" i="185"/>
  <c r="AL311" i="185"/>
  <c r="AL299" i="185"/>
  <c r="AL296" i="185"/>
  <c r="AL292" i="185"/>
  <c r="AL291" i="185"/>
  <c r="AG262" i="185"/>
  <c r="AE262" i="185"/>
  <c r="AG259" i="185"/>
  <c r="AE259" i="185"/>
  <c r="AL256" i="185"/>
  <c r="AL253" i="185"/>
  <c r="AG247" i="185"/>
  <c r="AE247" i="185"/>
  <c r="AG241" i="185"/>
  <c r="AE241" i="185"/>
  <c r="AL233" i="185"/>
  <c r="AL228" i="185"/>
  <c r="AB219" i="185"/>
  <c r="AB218" i="185"/>
  <c r="AB217" i="185"/>
  <c r="AB216" i="185"/>
  <c r="AL214" i="185"/>
  <c r="AB214" i="185"/>
  <c r="AL213" i="185"/>
  <c r="AB211" i="185"/>
  <c r="AB209" i="185"/>
  <c r="AB208" i="185"/>
  <c r="AB207" i="185"/>
  <c r="AB206" i="185"/>
  <c r="AB205" i="185"/>
  <c r="AB204" i="185"/>
  <c r="AB203" i="185"/>
  <c r="AB202" i="185"/>
  <c r="AB201" i="185"/>
  <c r="AB200" i="185"/>
  <c r="AB199" i="185"/>
  <c r="AB198" i="185"/>
  <c r="W196" i="185"/>
  <c r="AL195" i="185"/>
  <c r="W194" i="185"/>
  <c r="W192" i="185"/>
  <c r="W190" i="185"/>
  <c r="AL187" i="185"/>
  <c r="W187" i="185"/>
  <c r="W185" i="185"/>
  <c r="W183" i="185"/>
  <c r="W181" i="185"/>
  <c r="AA176" i="185"/>
  <c r="AA175" i="185"/>
  <c r="AA174" i="185"/>
  <c r="AA173" i="185"/>
  <c r="AA172" i="185"/>
  <c r="AL160" i="185"/>
  <c r="AL157" i="185"/>
  <c r="X81" i="185"/>
  <c r="X80" i="185"/>
  <c r="X79" i="185"/>
  <c r="X78" i="185"/>
  <c r="X75" i="185"/>
  <c r="X62" i="185"/>
  <c r="X61" i="185"/>
  <c r="X60" i="185"/>
  <c r="AG57" i="185"/>
  <c r="AD57" i="185"/>
  <c r="AA57" i="185"/>
  <c r="X57" i="185"/>
  <c r="AG55" i="185"/>
  <c r="AD55" i="185"/>
  <c r="AA55" i="185"/>
  <c r="X55" i="185"/>
  <c r="AB50" i="185"/>
  <c r="Z50" i="185"/>
  <c r="X50" i="185"/>
  <c r="AB49" i="185"/>
  <c r="Z49" i="185"/>
  <c r="X49" i="185"/>
  <c r="AB48" i="185"/>
  <c r="Z48" i="185"/>
  <c r="X48" i="185"/>
  <c r="Z46" i="185"/>
  <c r="AB46" i="185" s="1"/>
  <c r="X46" i="185"/>
  <c r="Z45" i="185"/>
  <c r="X45" i="185"/>
  <c r="AG44" i="185"/>
  <c r="AD44" i="185"/>
  <c r="AB44" i="185"/>
  <c r="Z44" i="185"/>
  <c r="X44" i="185"/>
  <c r="Z43" i="185"/>
  <c r="X43" i="185"/>
  <c r="X40" i="185"/>
  <c r="X39" i="185"/>
  <c r="X37" i="185"/>
  <c r="X36" i="185"/>
  <c r="X34" i="185"/>
  <c r="X33" i="185"/>
  <c r="X32" i="185"/>
  <c r="AE31" i="185"/>
  <c r="AE29" i="185"/>
  <c r="X29" i="185"/>
  <c r="AE28" i="185"/>
  <c r="X28" i="185"/>
  <c r="AE27" i="185"/>
  <c r="X27" i="185"/>
  <c r="X25" i="185"/>
  <c r="X24" i="185"/>
  <c r="X23" i="185"/>
  <c r="AE22" i="185"/>
  <c r="X22" i="185"/>
  <c r="X20" i="185"/>
  <c r="X18" i="185"/>
  <c r="X17" i="185"/>
  <c r="X14" i="185"/>
  <c r="AE14" i="185" s="1"/>
  <c r="X13" i="185"/>
  <c r="X12" i="185"/>
  <c r="AG65" i="186"/>
  <c r="AF65" i="186"/>
  <c r="AE65" i="186"/>
  <c r="AD65" i="186"/>
  <c r="AC65" i="186"/>
  <c r="AB65" i="186"/>
  <c r="AA65" i="186"/>
  <c r="Z65" i="186"/>
  <c r="X65" i="186"/>
  <c r="W65" i="186"/>
  <c r="V65" i="186"/>
  <c r="U65" i="186"/>
  <c r="T65" i="186"/>
  <c r="S65" i="186"/>
  <c r="R65" i="186"/>
  <c r="Q65" i="186"/>
  <c r="P65" i="186"/>
  <c r="O65" i="186"/>
  <c r="N65" i="186"/>
  <c r="M65" i="186"/>
  <c r="L65" i="186"/>
  <c r="K65" i="186"/>
  <c r="J65" i="186"/>
  <c r="I65" i="186"/>
  <c r="H65" i="186"/>
  <c r="G65" i="186"/>
  <c r="F65" i="186"/>
  <c r="E65" i="186"/>
  <c r="Y64" i="186"/>
  <c r="Y65" i="186" s="1"/>
  <c r="D64" i="186"/>
  <c r="D65" i="186" s="1"/>
  <c r="B63" i="186" a="1"/>
  <c r="B62" i="186" a="1"/>
  <c r="V57" i="186"/>
  <c r="U57" i="186"/>
  <c r="AX55" i="186"/>
  <c r="AV55" i="186"/>
  <c r="AU55" i="186"/>
  <c r="AR55" i="186"/>
  <c r="AQ55" i="186"/>
  <c r="AP55" i="186"/>
  <c r="M55" i="186"/>
  <c r="AW54" i="186"/>
  <c r="AW55" i="186" s="1"/>
  <c r="AT54" i="186"/>
  <c r="AT55" i="186" s="1"/>
  <c r="AS54" i="186"/>
  <c r="AS55" i="186" s="1"/>
  <c r="AO54" i="186"/>
  <c r="AO55" i="186" s="1"/>
  <c r="AN54" i="186"/>
  <c r="AN55" i="186" s="1"/>
  <c r="AM54" i="186"/>
  <c r="AM55" i="186" s="1"/>
  <c r="AL54" i="186"/>
  <c r="AL55" i="186" s="1"/>
  <c r="AK54" i="186"/>
  <c r="AK55" i="186" s="1"/>
  <c r="AK56" i="186" s="1"/>
  <c r="AJ54" i="186"/>
  <c r="AJ55" i="186" s="1"/>
  <c r="AJ56" i="186" s="1"/>
  <c r="AI54" i="186"/>
  <c r="AI55" i="186" s="1"/>
  <c r="AI56" i="186" s="1"/>
  <c r="AH54" i="186"/>
  <c r="AH55" i="186" s="1"/>
  <c r="AG54" i="186"/>
  <c r="AG55" i="186" s="1"/>
  <c r="AF54" i="186"/>
  <c r="AF55" i="186" s="1"/>
  <c r="AF56" i="186" s="1"/>
  <c r="AE54" i="186"/>
  <c r="AE55" i="186" s="1"/>
  <c r="AD54" i="186"/>
  <c r="AD55" i="186" s="1"/>
  <c r="AC54" i="186"/>
  <c r="AC55" i="186" s="1"/>
  <c r="AB54" i="186"/>
  <c r="AB55" i="186" s="1"/>
  <c r="AA54" i="186"/>
  <c r="AA55" i="186" s="1"/>
  <c r="Z54" i="186"/>
  <c r="Z55" i="186" s="1"/>
  <c r="Y54" i="186"/>
  <c r="Y55" i="186" s="1"/>
  <c r="X54" i="186"/>
  <c r="X55" i="186" s="1"/>
  <c r="W54" i="186"/>
  <c r="W55" i="186" s="1"/>
  <c r="V54" i="186"/>
  <c r="V55" i="186" s="1"/>
  <c r="U54" i="186"/>
  <c r="U55" i="186" s="1"/>
  <c r="T54" i="186"/>
  <c r="T55" i="186" s="1"/>
  <c r="S54" i="186"/>
  <c r="S55" i="186" s="1"/>
  <c r="R54" i="186"/>
  <c r="R55" i="186" s="1"/>
  <c r="Q54" i="186"/>
  <c r="Q55" i="186" s="1"/>
  <c r="P54" i="186"/>
  <c r="P55" i="186" s="1"/>
  <c r="O54" i="186"/>
  <c r="O55" i="186" s="1"/>
  <c r="N54" i="186"/>
  <c r="N55" i="186" s="1"/>
  <c r="L54" i="186"/>
  <c r="L55" i="186" s="1"/>
  <c r="K54" i="186"/>
  <c r="K55" i="186" s="1"/>
  <c r="J54" i="186"/>
  <c r="J55" i="186" s="1"/>
  <c r="I54" i="186"/>
  <c r="I55" i="186" s="1"/>
  <c r="H54" i="186"/>
  <c r="H55" i="186" s="1"/>
  <c r="G54" i="186"/>
  <c r="G55" i="186" s="1"/>
  <c r="F54" i="186"/>
  <c r="F55" i="186" s="1"/>
  <c r="E54" i="186"/>
  <c r="E55" i="186" s="1"/>
  <c r="D54" i="186"/>
  <c r="D55" i="186" s="1"/>
  <c r="B53" i="186" a="1"/>
  <c r="B52" i="186" a="1"/>
  <c r="AC47" i="186"/>
  <c r="AB47" i="186"/>
  <c r="AA47" i="186"/>
  <c r="Z47" i="186"/>
  <c r="Y47" i="186"/>
  <c r="X47" i="186"/>
  <c r="W47" i="186"/>
  <c r="V47" i="186"/>
  <c r="U47" i="186"/>
  <c r="T47" i="186"/>
  <c r="S47" i="186"/>
  <c r="R47" i="186"/>
  <c r="Q47" i="186"/>
  <c r="AE45" i="186"/>
  <c r="AG44" i="186"/>
  <c r="AG45" i="186" s="1"/>
  <c r="AF44" i="186"/>
  <c r="AF45" i="186" s="1"/>
  <c r="AF46" i="186" s="1"/>
  <c r="AD44" i="186"/>
  <c r="AD45" i="186" s="1"/>
  <c r="AC44" i="186"/>
  <c r="AC45" i="186" s="1"/>
  <c r="AC46" i="186" s="1"/>
  <c r="AC48" i="186" s="1"/>
  <c r="AB44" i="186"/>
  <c r="AB45" i="186" s="1"/>
  <c r="AB46" i="186" s="1"/>
  <c r="AB48" i="186" s="1"/>
  <c r="AA44" i="186"/>
  <c r="AA45" i="186" s="1"/>
  <c r="AA46" i="186" s="1"/>
  <c r="AA48" i="186" s="1"/>
  <c r="Z44" i="186"/>
  <c r="Z45" i="186" s="1"/>
  <c r="Z46" i="186" s="1"/>
  <c r="Z48" i="186" s="1"/>
  <c r="Y44" i="186"/>
  <c r="Y45" i="186" s="1"/>
  <c r="Y46" i="186" s="1"/>
  <c r="Y48" i="186" s="1"/>
  <c r="X44" i="186"/>
  <c r="X45" i="186" s="1"/>
  <c r="X46" i="186" s="1"/>
  <c r="X48" i="186" s="1"/>
  <c r="W44" i="186"/>
  <c r="W45" i="186" s="1"/>
  <c r="W46" i="186" s="1"/>
  <c r="W48" i="186" s="1"/>
  <c r="V44" i="186"/>
  <c r="V45" i="186" s="1"/>
  <c r="V46" i="186" s="1"/>
  <c r="V48" i="186" s="1"/>
  <c r="U44" i="186"/>
  <c r="U45" i="186" s="1"/>
  <c r="U46" i="186" s="1"/>
  <c r="U48" i="186" s="1"/>
  <c r="T44" i="186"/>
  <c r="T45" i="186" s="1"/>
  <c r="T46" i="186" s="1"/>
  <c r="T48" i="186" s="1"/>
  <c r="S44" i="186"/>
  <c r="S45" i="186" s="1"/>
  <c r="S46" i="186" s="1"/>
  <c r="S48" i="186" s="1"/>
  <c r="R44" i="186"/>
  <c r="R45" i="186" s="1"/>
  <c r="R46" i="186" s="1"/>
  <c r="R48" i="186" s="1"/>
  <c r="Q44" i="186"/>
  <c r="Q45" i="186" s="1"/>
  <c r="Q46" i="186" s="1"/>
  <c r="Q48" i="186" s="1"/>
  <c r="P44" i="186"/>
  <c r="P45" i="186" s="1"/>
  <c r="O44" i="186"/>
  <c r="O45" i="186" s="1"/>
  <c r="N44" i="186"/>
  <c r="N45" i="186" s="1"/>
  <c r="M44" i="186"/>
  <c r="M45" i="186" s="1"/>
  <c r="L44" i="186"/>
  <c r="L45" i="186" s="1"/>
  <c r="K44" i="186"/>
  <c r="K45" i="186" s="1"/>
  <c r="J44" i="186"/>
  <c r="J45" i="186" s="1"/>
  <c r="I44" i="186"/>
  <c r="I45" i="186" s="1"/>
  <c r="H44" i="186"/>
  <c r="H45" i="186" s="1"/>
  <c r="G44" i="186"/>
  <c r="G45" i="186" s="1"/>
  <c r="F44" i="186"/>
  <c r="F45" i="186" s="1"/>
  <c r="E44" i="186"/>
  <c r="E45" i="186" s="1"/>
  <c r="D44" i="186"/>
  <c r="D45" i="186" s="1"/>
  <c r="B43" i="186" a="1"/>
  <c r="B42" i="186" a="1"/>
  <c r="Z35" i="186"/>
  <c r="Y35" i="186"/>
  <c r="X35" i="186"/>
  <c r="W35" i="186"/>
  <c r="S35" i="186"/>
  <c r="R35" i="186"/>
  <c r="O35" i="186"/>
  <c r="N35" i="186"/>
  <c r="K35" i="186"/>
  <c r="J35" i="186"/>
  <c r="G35" i="186"/>
  <c r="F35" i="186"/>
  <c r="C35" i="186"/>
  <c r="V34" i="186"/>
  <c r="V35" i="186" s="1"/>
  <c r="U34" i="186"/>
  <c r="U35" i="186" s="1"/>
  <c r="T34" i="186"/>
  <c r="T35" i="186" s="1"/>
  <c r="T36" i="186" s="1"/>
  <c r="Q34" i="186"/>
  <c r="Q35" i="186" s="1"/>
  <c r="P34" i="186"/>
  <c r="P35" i="186" s="1"/>
  <c r="M34" i="186"/>
  <c r="M35" i="186" s="1"/>
  <c r="L34" i="186"/>
  <c r="L35" i="186" s="1"/>
  <c r="I34" i="186"/>
  <c r="I35" i="186" s="1"/>
  <c r="H34" i="186"/>
  <c r="H35" i="186" s="1"/>
  <c r="E34" i="186"/>
  <c r="E35" i="186" s="1"/>
  <c r="D34" i="186"/>
  <c r="D35" i="186" s="1"/>
  <c r="B33" i="186" a="1"/>
  <c r="B32" i="186" a="1"/>
  <c r="X25" i="186"/>
  <c r="W25" i="186"/>
  <c r="T25" i="186"/>
  <c r="R25" i="186"/>
  <c r="R26" i="186" s="1"/>
  <c r="D25" i="186"/>
  <c r="C25" i="186"/>
  <c r="AP24" i="186"/>
  <c r="AP25" i="186" s="1"/>
  <c r="AO24" i="186"/>
  <c r="AO25" i="186" s="1"/>
  <c r="AN24" i="186"/>
  <c r="AN25" i="186" s="1"/>
  <c r="AM24" i="186"/>
  <c r="AM25" i="186" s="1"/>
  <c r="AL24" i="186"/>
  <c r="AL25" i="186" s="1"/>
  <c r="AK24" i="186"/>
  <c r="AK25" i="186" s="1"/>
  <c r="AJ24" i="186"/>
  <c r="AJ25" i="186" s="1"/>
  <c r="AI24" i="186"/>
  <c r="AI25" i="186" s="1"/>
  <c r="AH24" i="186"/>
  <c r="AH25" i="186" s="1"/>
  <c r="AH27" i="186" s="1"/>
  <c r="AG24" i="186"/>
  <c r="AG25" i="186" s="1"/>
  <c r="AF24" i="186"/>
  <c r="AF25" i="186" s="1"/>
  <c r="AE24" i="186"/>
  <c r="AE25" i="186" s="1"/>
  <c r="AE27" i="186" s="1"/>
  <c r="AD24" i="186"/>
  <c r="AD25" i="186" s="1"/>
  <c r="AD27" i="186" s="1"/>
  <c r="AC24" i="186"/>
  <c r="AC25" i="186" s="1"/>
  <c r="AB24" i="186"/>
  <c r="AB25" i="186" s="1"/>
  <c r="AA24" i="186"/>
  <c r="AA25" i="186" s="1"/>
  <c r="Z24" i="186"/>
  <c r="Z25" i="186" s="1"/>
  <c r="Y24" i="186"/>
  <c r="Y25" i="186" s="1"/>
  <c r="V24" i="186"/>
  <c r="V25" i="186" s="1"/>
  <c r="U24" i="186"/>
  <c r="U25" i="186" s="1"/>
  <c r="S24" i="186"/>
  <c r="S25" i="186" s="1"/>
  <c r="Q24" i="186"/>
  <c r="Q25" i="186" s="1"/>
  <c r="P24" i="186"/>
  <c r="P25" i="186" s="1"/>
  <c r="O24" i="186"/>
  <c r="O25" i="186" s="1"/>
  <c r="N24" i="186"/>
  <c r="N25" i="186" s="1"/>
  <c r="L24" i="186"/>
  <c r="L25" i="186" s="1"/>
  <c r="K24" i="186"/>
  <c r="K25" i="186" s="1"/>
  <c r="J24" i="186"/>
  <c r="J25" i="186" s="1"/>
  <c r="J26" i="186" s="1"/>
  <c r="I24" i="186"/>
  <c r="I25" i="186" s="1"/>
  <c r="I26" i="186" s="1"/>
  <c r="H24" i="186"/>
  <c r="H25" i="186" s="1"/>
  <c r="H26" i="186" s="1"/>
  <c r="G24" i="186"/>
  <c r="G25" i="186" s="1"/>
  <c r="F24" i="186"/>
  <c r="F25" i="186" s="1"/>
  <c r="E24" i="186"/>
  <c r="E25" i="186" s="1"/>
  <c r="B23" i="186" a="1"/>
  <c r="B22" i="186" a="1"/>
  <c r="O14" i="186"/>
  <c r="O15" i="186" s="1"/>
  <c r="O16" i="186" s="1"/>
  <c r="N14" i="186"/>
  <c r="N15" i="186" s="1"/>
  <c r="N16" i="186" s="1"/>
  <c r="M14" i="186"/>
  <c r="M15" i="186" s="1"/>
  <c r="M16" i="186" s="1"/>
  <c r="L14" i="186"/>
  <c r="L15" i="186" s="1"/>
  <c r="L16" i="186" s="1"/>
  <c r="K14" i="186"/>
  <c r="K15" i="186" s="1"/>
  <c r="K16" i="186" s="1"/>
  <c r="K18" i="186" s="1"/>
  <c r="J14" i="186"/>
  <c r="J15" i="186" s="1"/>
  <c r="J16" i="186" s="1"/>
  <c r="I14" i="186"/>
  <c r="I15" i="186" s="1"/>
  <c r="I16" i="186" s="1"/>
  <c r="H14" i="186"/>
  <c r="H15" i="186" s="1"/>
  <c r="H16" i="186" s="1"/>
  <c r="G14" i="186"/>
  <c r="G15" i="186" s="1"/>
  <c r="G16" i="186" s="1"/>
  <c r="F14" i="186"/>
  <c r="F15" i="186" s="1"/>
  <c r="F16" i="186" s="1"/>
  <c r="E14" i="186"/>
  <c r="E15" i="186" s="1"/>
  <c r="E16" i="186" s="1"/>
  <c r="D14" i="186"/>
  <c r="D15" i="186" s="1"/>
  <c r="D16" i="186" s="1"/>
  <c r="B13" i="186" a="1"/>
  <c r="B12" i="186" a="1"/>
  <c r="O5" i="186"/>
  <c r="N4" i="186"/>
  <c r="N5" i="186" s="1"/>
  <c r="M4" i="186"/>
  <c r="M5" i="186" s="1"/>
  <c r="L4" i="186"/>
  <c r="L5" i="186" s="1"/>
  <c r="K4" i="186"/>
  <c r="K5" i="186" s="1"/>
  <c r="J4" i="186"/>
  <c r="J5" i="186" s="1"/>
  <c r="I4" i="186"/>
  <c r="I5" i="186" s="1"/>
  <c r="H4" i="186"/>
  <c r="H5" i="186" s="1"/>
  <c r="H6" i="186" s="1"/>
  <c r="G4" i="186"/>
  <c r="G5" i="186" s="1"/>
  <c r="G6" i="186" s="1"/>
  <c r="F4" i="186"/>
  <c r="F5" i="186" s="1"/>
  <c r="F6" i="186" s="1"/>
  <c r="E4" i="186"/>
  <c r="E5" i="186" s="1"/>
  <c r="D4" i="186"/>
  <c r="D5" i="186" s="1"/>
  <c r="D6" i="186" s="1"/>
  <c r="C4" i="186"/>
  <c r="C5" i="186" s="1"/>
  <c r="B4" i="186"/>
  <c r="B5" i="186" s="1"/>
  <c r="B3" i="186" a="1"/>
  <c r="B2" i="186" a="1"/>
  <c r="B1" i="186"/>
  <c r="P239" i="131"/>
  <c r="V235" i="131"/>
  <c r="U235" i="131"/>
  <c r="T235" i="131"/>
  <c r="S235" i="131"/>
  <c r="V234" i="131"/>
  <c r="U234" i="131"/>
  <c r="S234" i="131"/>
  <c r="AB233" i="131"/>
  <c r="AA233" i="131"/>
  <c r="Z233" i="131"/>
  <c r="Y233" i="131"/>
  <c r="X233" i="131"/>
  <c r="W233" i="131"/>
  <c r="V233" i="131"/>
  <c r="U233" i="131"/>
  <c r="T233" i="131"/>
  <c r="S233" i="131"/>
  <c r="S232" i="131"/>
  <c r="S231" i="131"/>
  <c r="S230" i="131"/>
  <c r="S229" i="131"/>
  <c r="AA228" i="131"/>
  <c r="Z228" i="131"/>
  <c r="Y228" i="131"/>
  <c r="X228" i="131"/>
  <c r="W228" i="131"/>
  <c r="V228" i="131"/>
  <c r="U228" i="131"/>
  <c r="T228" i="131"/>
  <c r="S228" i="131"/>
  <c r="AA227" i="131"/>
  <c r="Z227" i="131"/>
  <c r="Y227" i="131"/>
  <c r="X227" i="131"/>
  <c r="W227" i="131"/>
  <c r="V227" i="131"/>
  <c r="U227" i="131"/>
  <c r="T227" i="131"/>
  <c r="S227" i="131"/>
  <c r="AA226" i="131"/>
  <c r="Z226" i="131"/>
  <c r="Y226" i="131"/>
  <c r="X226" i="131"/>
  <c r="W226" i="131"/>
  <c r="V226" i="131"/>
  <c r="U226" i="131"/>
  <c r="T226" i="131"/>
  <c r="AA224" i="131"/>
  <c r="Z224" i="131"/>
  <c r="Y224" i="131"/>
  <c r="X224" i="131"/>
  <c r="W224" i="131"/>
  <c r="V224" i="131"/>
  <c r="U224" i="131"/>
  <c r="T224" i="131"/>
  <c r="Y223" i="131"/>
  <c r="X223" i="131"/>
  <c r="W223" i="131"/>
  <c r="V223" i="131"/>
  <c r="U223" i="131"/>
  <c r="T223" i="131"/>
  <c r="S223" i="131"/>
  <c r="R223" i="131"/>
  <c r="Y222" i="131"/>
  <c r="X222" i="131"/>
  <c r="W222" i="131"/>
  <c r="V222" i="131"/>
  <c r="U222" i="131"/>
  <c r="T222" i="131"/>
  <c r="S222" i="131"/>
  <c r="R222" i="131"/>
  <c r="Q222" i="131"/>
  <c r="Y221" i="131"/>
  <c r="X221" i="131"/>
  <c r="W221" i="131"/>
  <c r="V221" i="131"/>
  <c r="U221" i="131"/>
  <c r="T221" i="131"/>
  <c r="S221" i="131"/>
  <c r="R221" i="131"/>
  <c r="Y220" i="131"/>
  <c r="X220" i="131"/>
  <c r="W220" i="131"/>
  <c r="V220" i="131"/>
  <c r="U220" i="131"/>
  <c r="T220" i="131"/>
  <c r="S220" i="131"/>
  <c r="R220" i="131"/>
  <c r="Y219" i="131"/>
  <c r="X219" i="131"/>
  <c r="W219" i="131"/>
  <c r="V219" i="131"/>
  <c r="U219" i="131"/>
  <c r="T219" i="131"/>
  <c r="S219" i="131"/>
  <c r="R219" i="131"/>
  <c r="Q219" i="131"/>
  <c r="Y218" i="131"/>
  <c r="X218" i="131"/>
  <c r="W218" i="131"/>
  <c r="V218" i="131"/>
  <c r="U218" i="131"/>
  <c r="T218" i="131"/>
  <c r="S218" i="131"/>
  <c r="R218" i="131"/>
  <c r="Q218" i="131"/>
  <c r="Y217" i="131"/>
  <c r="X217" i="131"/>
  <c r="W217" i="131"/>
  <c r="V217" i="131"/>
  <c r="U217" i="131"/>
  <c r="T217" i="131"/>
  <c r="S217" i="131"/>
  <c r="R217" i="131"/>
  <c r="Q217" i="131"/>
  <c r="Y216" i="131"/>
  <c r="X216" i="131"/>
  <c r="W216" i="131"/>
  <c r="V216" i="131"/>
  <c r="U216" i="131"/>
  <c r="T216" i="131"/>
  <c r="S216" i="131"/>
  <c r="R216" i="131"/>
  <c r="Q216" i="131"/>
  <c r="Y215" i="131"/>
  <c r="X215" i="131"/>
  <c r="W215" i="131"/>
  <c r="V215" i="131"/>
  <c r="U215" i="131"/>
  <c r="T215" i="131"/>
  <c r="S215" i="131"/>
  <c r="R215" i="131"/>
  <c r="Q215" i="131"/>
  <c r="Y214" i="131"/>
  <c r="X214" i="131"/>
  <c r="W214" i="131"/>
  <c r="V214" i="131"/>
  <c r="U214" i="131"/>
  <c r="T214" i="131"/>
  <c r="S214" i="131"/>
  <c r="R214" i="131"/>
  <c r="Q214" i="131"/>
  <c r="Y213" i="131"/>
  <c r="X213" i="131"/>
  <c r="W213" i="131"/>
  <c r="V213" i="131"/>
  <c r="U213" i="131"/>
  <c r="T213" i="131"/>
  <c r="S213" i="131"/>
  <c r="R213" i="131"/>
  <c r="Q213" i="131"/>
  <c r="Y212" i="131"/>
  <c r="X212" i="131"/>
  <c r="W212" i="131"/>
  <c r="V212" i="131"/>
  <c r="U212" i="131"/>
  <c r="T212" i="131"/>
  <c r="S212" i="131"/>
  <c r="R212" i="131"/>
  <c r="Q212" i="131"/>
  <c r="Y211" i="131"/>
  <c r="X211" i="131"/>
  <c r="W211" i="131"/>
  <c r="V211" i="131"/>
  <c r="U211" i="131"/>
  <c r="T211" i="131"/>
  <c r="S211" i="131"/>
  <c r="R211" i="131"/>
  <c r="Q211" i="131"/>
  <c r="Y210" i="131"/>
  <c r="X210" i="131"/>
  <c r="W210" i="131"/>
  <c r="V210" i="131"/>
  <c r="U210" i="131"/>
  <c r="T210" i="131"/>
  <c r="S210" i="131"/>
  <c r="R210" i="131"/>
  <c r="Q210" i="131"/>
  <c r="Y209" i="131"/>
  <c r="X209" i="131"/>
  <c r="W209" i="131"/>
  <c r="V209" i="131"/>
  <c r="U209" i="131"/>
  <c r="T209" i="131"/>
  <c r="S209" i="131"/>
  <c r="R209" i="131"/>
  <c r="Q209" i="131"/>
  <c r="Y208" i="131"/>
  <c r="X208" i="131"/>
  <c r="W208" i="131"/>
  <c r="V208" i="131"/>
  <c r="U208" i="131"/>
  <c r="T208" i="131"/>
  <c r="S208" i="131"/>
  <c r="R208" i="131"/>
  <c r="Q208" i="131"/>
  <c r="Y207" i="131"/>
  <c r="X207" i="131"/>
  <c r="W207" i="131"/>
  <c r="V207" i="131"/>
  <c r="U207" i="131"/>
  <c r="T207" i="131"/>
  <c r="S207" i="131"/>
  <c r="R207" i="131"/>
  <c r="Q207" i="131"/>
  <c r="Y206" i="131"/>
  <c r="X206" i="131"/>
  <c r="W206" i="131"/>
  <c r="V206" i="131"/>
  <c r="U206" i="131"/>
  <c r="T206" i="131"/>
  <c r="S206" i="131"/>
  <c r="R206" i="131"/>
  <c r="Q206" i="131"/>
  <c r="Y205" i="131"/>
  <c r="X205" i="131"/>
  <c r="W205" i="131"/>
  <c r="V205" i="131"/>
  <c r="U205" i="131"/>
  <c r="T205" i="131"/>
  <c r="S205" i="131"/>
  <c r="R205" i="131"/>
  <c r="Q205" i="131"/>
  <c r="Y204" i="131"/>
  <c r="X204" i="131"/>
  <c r="W204" i="131"/>
  <c r="V204" i="131"/>
  <c r="U204" i="131"/>
  <c r="T204" i="131"/>
  <c r="S204" i="131"/>
  <c r="R204" i="131"/>
  <c r="Y203" i="131"/>
  <c r="X203" i="131"/>
  <c r="W203" i="131"/>
  <c r="V203" i="131"/>
  <c r="U203" i="131"/>
  <c r="T203" i="131"/>
  <c r="S203" i="131"/>
  <c r="R203" i="131"/>
  <c r="Q203" i="131"/>
  <c r="P201" i="131"/>
  <c r="N201" i="131"/>
  <c r="L201" i="131"/>
  <c r="V199" i="131"/>
  <c r="U199" i="131"/>
  <c r="T199" i="131"/>
  <c r="R199" i="131"/>
  <c r="V198" i="131"/>
  <c r="U198" i="131"/>
  <c r="R198" i="131"/>
  <c r="AB197" i="131"/>
  <c r="AA197" i="131"/>
  <c r="Z197" i="131"/>
  <c r="Y197" i="131"/>
  <c r="X197" i="131"/>
  <c r="W197" i="131"/>
  <c r="V197" i="131"/>
  <c r="U197" i="131"/>
  <c r="T197" i="131"/>
  <c r="R197" i="131"/>
  <c r="R196" i="131"/>
  <c r="R195" i="131"/>
  <c r="R194" i="131"/>
  <c r="R193" i="131"/>
  <c r="AA192" i="131"/>
  <c r="Z192" i="131"/>
  <c r="Y192" i="131"/>
  <c r="X192" i="131"/>
  <c r="W192" i="131"/>
  <c r="V192" i="131"/>
  <c r="U192" i="131"/>
  <c r="T192" i="131"/>
  <c r="R192" i="131"/>
  <c r="AA191" i="131"/>
  <c r="Z191" i="131"/>
  <c r="Y191" i="131"/>
  <c r="X191" i="131"/>
  <c r="W191" i="131"/>
  <c r="V191" i="131"/>
  <c r="U191" i="131"/>
  <c r="T191" i="131"/>
  <c r="R191" i="131"/>
  <c r="AA190" i="131"/>
  <c r="Z190" i="131"/>
  <c r="Y190" i="131"/>
  <c r="X190" i="131"/>
  <c r="W190" i="131"/>
  <c r="V190" i="131"/>
  <c r="U190" i="131"/>
  <c r="T190" i="131"/>
  <c r="AA188" i="131"/>
  <c r="Z188" i="131"/>
  <c r="Y188" i="131"/>
  <c r="X188" i="131"/>
  <c r="W188" i="131"/>
  <c r="V188" i="131"/>
  <c r="U188" i="131"/>
  <c r="T188" i="131"/>
  <c r="Y187" i="131"/>
  <c r="X187" i="131"/>
  <c r="W187" i="131"/>
  <c r="V187" i="131"/>
  <c r="U187" i="131"/>
  <c r="T187" i="131"/>
  <c r="S187" i="131"/>
  <c r="R187" i="131"/>
  <c r="Y186" i="131"/>
  <c r="X186" i="131"/>
  <c r="W186" i="131"/>
  <c r="V186" i="131"/>
  <c r="U186" i="131"/>
  <c r="T186" i="131"/>
  <c r="S186" i="131"/>
  <c r="R186" i="131"/>
  <c r="Q186" i="131"/>
  <c r="Y185" i="131"/>
  <c r="X185" i="131"/>
  <c r="W185" i="131"/>
  <c r="V185" i="131"/>
  <c r="U185" i="131"/>
  <c r="T185" i="131"/>
  <c r="S185" i="131"/>
  <c r="R185" i="131"/>
  <c r="Y184" i="131"/>
  <c r="X184" i="131"/>
  <c r="W184" i="131"/>
  <c r="V184" i="131"/>
  <c r="U184" i="131"/>
  <c r="T184" i="131"/>
  <c r="S184" i="131"/>
  <c r="R184" i="131"/>
  <c r="Y183" i="131"/>
  <c r="X183" i="131"/>
  <c r="W183" i="131"/>
  <c r="V183" i="131"/>
  <c r="U183" i="131"/>
  <c r="T183" i="131"/>
  <c r="S183" i="131"/>
  <c r="R183" i="131"/>
  <c r="Q183" i="131"/>
  <c r="Y182" i="131"/>
  <c r="X182" i="131"/>
  <c r="W182" i="131"/>
  <c r="V182" i="131"/>
  <c r="U182" i="131"/>
  <c r="T182" i="131"/>
  <c r="S182" i="131"/>
  <c r="R182" i="131"/>
  <c r="Q182" i="131"/>
  <c r="Y181" i="131"/>
  <c r="X181" i="131"/>
  <c r="W181" i="131"/>
  <c r="V181" i="131"/>
  <c r="U181" i="131"/>
  <c r="T181" i="131"/>
  <c r="S181" i="131"/>
  <c r="R181" i="131"/>
  <c r="Q181" i="131"/>
  <c r="Y180" i="131"/>
  <c r="X180" i="131"/>
  <c r="W180" i="131"/>
  <c r="V180" i="131"/>
  <c r="U180" i="131"/>
  <c r="T180" i="131"/>
  <c r="S180" i="131"/>
  <c r="R180" i="131"/>
  <c r="Q180" i="131"/>
  <c r="Y179" i="131"/>
  <c r="X179" i="131"/>
  <c r="W179" i="131"/>
  <c r="V179" i="131"/>
  <c r="U179" i="131"/>
  <c r="T179" i="131"/>
  <c r="S179" i="131"/>
  <c r="R179" i="131"/>
  <c r="Q179" i="131"/>
  <c r="Y178" i="131"/>
  <c r="X178" i="131"/>
  <c r="W178" i="131"/>
  <c r="V178" i="131"/>
  <c r="U178" i="131"/>
  <c r="T178" i="131"/>
  <c r="S178" i="131"/>
  <c r="R178" i="131"/>
  <c r="Q178" i="131"/>
  <c r="Y177" i="131"/>
  <c r="X177" i="131"/>
  <c r="W177" i="131"/>
  <c r="V177" i="131"/>
  <c r="U177" i="131"/>
  <c r="T177" i="131"/>
  <c r="S177" i="131"/>
  <c r="R177" i="131"/>
  <c r="Q177" i="131"/>
  <c r="Y176" i="131"/>
  <c r="X176" i="131"/>
  <c r="W176" i="131"/>
  <c r="V176" i="131"/>
  <c r="U176" i="131"/>
  <c r="T176" i="131"/>
  <c r="S176" i="131"/>
  <c r="R176" i="131"/>
  <c r="Q176" i="131"/>
  <c r="Y175" i="131"/>
  <c r="X175" i="131"/>
  <c r="W175" i="131"/>
  <c r="V175" i="131"/>
  <c r="U175" i="131"/>
  <c r="T175" i="131"/>
  <c r="S175" i="131"/>
  <c r="R175" i="131"/>
  <c r="Q175" i="131"/>
  <c r="Y174" i="131"/>
  <c r="X174" i="131"/>
  <c r="W174" i="131"/>
  <c r="V174" i="131"/>
  <c r="U174" i="131"/>
  <c r="T174" i="131"/>
  <c r="S174" i="131"/>
  <c r="R174" i="131"/>
  <c r="Q174" i="131"/>
  <c r="Y173" i="131"/>
  <c r="X173" i="131"/>
  <c r="W173" i="131"/>
  <c r="V173" i="131"/>
  <c r="U173" i="131"/>
  <c r="T173" i="131"/>
  <c r="S173" i="131"/>
  <c r="R173" i="131"/>
  <c r="Q173" i="131"/>
  <c r="Y172" i="131"/>
  <c r="X172" i="131"/>
  <c r="W172" i="131"/>
  <c r="V172" i="131"/>
  <c r="U172" i="131"/>
  <c r="T172" i="131"/>
  <c r="S172" i="131"/>
  <c r="R172" i="131"/>
  <c r="Q172" i="131"/>
  <c r="Y171" i="131"/>
  <c r="X171" i="131"/>
  <c r="W171" i="131"/>
  <c r="V171" i="131"/>
  <c r="U171" i="131"/>
  <c r="T171" i="131"/>
  <c r="S171" i="131"/>
  <c r="R171" i="131"/>
  <c r="Q171" i="131"/>
  <c r="Y170" i="131"/>
  <c r="X170" i="131"/>
  <c r="W170" i="131"/>
  <c r="V170" i="131"/>
  <c r="U170" i="131"/>
  <c r="T170" i="131"/>
  <c r="S170" i="131"/>
  <c r="R170" i="131"/>
  <c r="Q170" i="131"/>
  <c r="Y169" i="131"/>
  <c r="X169" i="131"/>
  <c r="W169" i="131"/>
  <c r="V169" i="131"/>
  <c r="U169" i="131"/>
  <c r="T169" i="131"/>
  <c r="S169" i="131"/>
  <c r="R169" i="131"/>
  <c r="Q169" i="131"/>
  <c r="Y168" i="131"/>
  <c r="X168" i="131"/>
  <c r="W168" i="131"/>
  <c r="V168" i="131"/>
  <c r="U168" i="131"/>
  <c r="T168" i="131"/>
  <c r="S168" i="131"/>
  <c r="R168" i="131"/>
  <c r="Y167" i="131"/>
  <c r="X167" i="131"/>
  <c r="W167" i="131"/>
  <c r="V167" i="131"/>
  <c r="U167" i="131"/>
  <c r="T167" i="131"/>
  <c r="S167" i="131"/>
  <c r="R167" i="131"/>
  <c r="Q167" i="131"/>
  <c r="P165" i="131"/>
  <c r="N165" i="131"/>
  <c r="L165" i="131"/>
  <c r="V163" i="131"/>
  <c r="U163" i="131"/>
  <c r="T163" i="131"/>
  <c r="S163" i="131"/>
  <c r="V162" i="131"/>
  <c r="U162" i="131"/>
  <c r="S162" i="131"/>
  <c r="AB161" i="131"/>
  <c r="AA161" i="131"/>
  <c r="Z161" i="131"/>
  <c r="Y161" i="131"/>
  <c r="X161" i="131"/>
  <c r="W161" i="131"/>
  <c r="V161" i="131"/>
  <c r="U161" i="131"/>
  <c r="T161" i="131"/>
  <c r="S161" i="131"/>
  <c r="S160" i="131"/>
  <c r="S159" i="131"/>
  <c r="S158" i="131"/>
  <c r="S157" i="131"/>
  <c r="AA156" i="131"/>
  <c r="Z156" i="131"/>
  <c r="Y156" i="131"/>
  <c r="X156" i="131"/>
  <c r="W156" i="131"/>
  <c r="V156" i="131"/>
  <c r="U156" i="131"/>
  <c r="T156" i="131"/>
  <c r="S156" i="131"/>
  <c r="AA155" i="131"/>
  <c r="Z155" i="131"/>
  <c r="Y155" i="131"/>
  <c r="X155" i="131"/>
  <c r="W155" i="131"/>
  <c r="V155" i="131"/>
  <c r="U155" i="131"/>
  <c r="T155" i="131"/>
  <c r="S155" i="131"/>
  <c r="AA154" i="131"/>
  <c r="Z154" i="131"/>
  <c r="Y154" i="131"/>
  <c r="X154" i="131"/>
  <c r="W154" i="131"/>
  <c r="V154" i="131"/>
  <c r="U154" i="131"/>
  <c r="T154" i="131"/>
  <c r="AA152" i="131"/>
  <c r="Z152" i="131"/>
  <c r="Y152" i="131"/>
  <c r="X152" i="131"/>
  <c r="W152" i="131"/>
  <c r="V152" i="131"/>
  <c r="U152" i="131"/>
  <c r="T152" i="131"/>
  <c r="Y151" i="131"/>
  <c r="X151" i="131"/>
  <c r="W151" i="131"/>
  <c r="V151" i="131"/>
  <c r="U151" i="131"/>
  <c r="T151" i="131"/>
  <c r="S151" i="131"/>
  <c r="R151" i="131"/>
  <c r="Y150" i="131"/>
  <c r="X150" i="131"/>
  <c r="W150" i="131"/>
  <c r="V150" i="131"/>
  <c r="U150" i="131"/>
  <c r="T150" i="131"/>
  <c r="S150" i="131"/>
  <c r="R150" i="131"/>
  <c r="Q150" i="131"/>
  <c r="Y149" i="131"/>
  <c r="X149" i="131"/>
  <c r="W149" i="131"/>
  <c r="V149" i="131"/>
  <c r="U149" i="131"/>
  <c r="T149" i="131"/>
  <c r="S149" i="131"/>
  <c r="R149" i="131"/>
  <c r="Y148" i="131"/>
  <c r="X148" i="131"/>
  <c r="W148" i="131"/>
  <c r="V148" i="131"/>
  <c r="U148" i="131"/>
  <c r="T148" i="131"/>
  <c r="S148" i="131"/>
  <c r="R148" i="131"/>
  <c r="Y147" i="131"/>
  <c r="X147" i="131"/>
  <c r="W147" i="131"/>
  <c r="V147" i="131"/>
  <c r="U147" i="131"/>
  <c r="T147" i="131"/>
  <c r="S147" i="131"/>
  <c r="R147" i="131"/>
  <c r="Q147" i="131"/>
  <c r="Y146" i="131"/>
  <c r="X146" i="131"/>
  <c r="W146" i="131"/>
  <c r="V146" i="131"/>
  <c r="U146" i="131"/>
  <c r="T146" i="131"/>
  <c r="S146" i="131"/>
  <c r="R146" i="131"/>
  <c r="Q146" i="131"/>
  <c r="Y145" i="131"/>
  <c r="X145" i="131"/>
  <c r="W145" i="131"/>
  <c r="V145" i="131"/>
  <c r="U145" i="131"/>
  <c r="T145" i="131"/>
  <c r="S145" i="131"/>
  <c r="R145" i="131"/>
  <c r="Q145" i="131"/>
  <c r="Y144" i="131"/>
  <c r="X144" i="131"/>
  <c r="W144" i="131"/>
  <c r="V144" i="131"/>
  <c r="U144" i="131"/>
  <c r="T144" i="131"/>
  <c r="S144" i="131"/>
  <c r="R144" i="131"/>
  <c r="Q144" i="131"/>
  <c r="Y143" i="131"/>
  <c r="X143" i="131"/>
  <c r="W143" i="131"/>
  <c r="V143" i="131"/>
  <c r="U143" i="131"/>
  <c r="T143" i="131"/>
  <c r="S143" i="131"/>
  <c r="R143" i="131"/>
  <c r="Q143" i="131"/>
  <c r="Y142" i="131"/>
  <c r="X142" i="131"/>
  <c r="W142" i="131"/>
  <c r="V142" i="131"/>
  <c r="U142" i="131"/>
  <c r="T142" i="131"/>
  <c r="S142" i="131"/>
  <c r="R142" i="131"/>
  <c r="Q142" i="131"/>
  <c r="Y141" i="131"/>
  <c r="X141" i="131"/>
  <c r="W141" i="131"/>
  <c r="V141" i="131"/>
  <c r="U141" i="131"/>
  <c r="T141" i="131"/>
  <c r="S141" i="131"/>
  <c r="R141" i="131"/>
  <c r="Q141" i="131"/>
  <c r="Y140" i="131"/>
  <c r="X140" i="131"/>
  <c r="W140" i="131"/>
  <c r="V140" i="131"/>
  <c r="U140" i="131"/>
  <c r="T140" i="131"/>
  <c r="S140" i="131"/>
  <c r="R140" i="131"/>
  <c r="Q140" i="131"/>
  <c r="Y139" i="131"/>
  <c r="X139" i="131"/>
  <c r="W139" i="131"/>
  <c r="V139" i="131"/>
  <c r="U139" i="131"/>
  <c r="T139" i="131"/>
  <c r="S139" i="131"/>
  <c r="R139" i="131"/>
  <c r="Q139" i="131"/>
  <c r="Y138" i="131"/>
  <c r="X138" i="131"/>
  <c r="W138" i="131"/>
  <c r="V138" i="131"/>
  <c r="U138" i="131"/>
  <c r="T138" i="131"/>
  <c r="S138" i="131"/>
  <c r="R138" i="131"/>
  <c r="Q138" i="131"/>
  <c r="Y137" i="131"/>
  <c r="X137" i="131"/>
  <c r="W137" i="131"/>
  <c r="V137" i="131"/>
  <c r="U137" i="131"/>
  <c r="T137" i="131"/>
  <c r="S137" i="131"/>
  <c r="R137" i="131"/>
  <c r="Q137" i="131"/>
  <c r="Y136" i="131"/>
  <c r="X136" i="131"/>
  <c r="W136" i="131"/>
  <c r="V136" i="131"/>
  <c r="U136" i="131"/>
  <c r="T136" i="131"/>
  <c r="S136" i="131"/>
  <c r="R136" i="131"/>
  <c r="Q136" i="131"/>
  <c r="Y135" i="131"/>
  <c r="X135" i="131"/>
  <c r="W135" i="131"/>
  <c r="V135" i="131"/>
  <c r="U135" i="131"/>
  <c r="T135" i="131"/>
  <c r="S135" i="131"/>
  <c r="R135" i="131"/>
  <c r="Q135" i="131"/>
  <c r="Y134" i="131"/>
  <c r="X134" i="131"/>
  <c r="W134" i="131"/>
  <c r="V134" i="131"/>
  <c r="U134" i="131"/>
  <c r="T134" i="131"/>
  <c r="S134" i="131"/>
  <c r="R134" i="131"/>
  <c r="Q134" i="131"/>
  <c r="Y133" i="131"/>
  <c r="X133" i="131"/>
  <c r="W133" i="131"/>
  <c r="V133" i="131"/>
  <c r="U133" i="131"/>
  <c r="T133" i="131"/>
  <c r="S133" i="131"/>
  <c r="R133" i="131"/>
  <c r="Q133" i="131"/>
  <c r="Y132" i="131"/>
  <c r="X132" i="131"/>
  <c r="W132" i="131"/>
  <c r="V132" i="131"/>
  <c r="U132" i="131"/>
  <c r="T132" i="131"/>
  <c r="S132" i="131"/>
  <c r="R132" i="131"/>
  <c r="Q132" i="131"/>
  <c r="Y131" i="131"/>
  <c r="X131" i="131"/>
  <c r="W131" i="131"/>
  <c r="V131" i="131"/>
  <c r="U131" i="131"/>
  <c r="T131" i="131"/>
  <c r="S131" i="131"/>
  <c r="R131" i="131"/>
  <c r="Q131" i="131"/>
  <c r="Y130" i="131"/>
  <c r="X130" i="131"/>
  <c r="W130" i="131"/>
  <c r="V130" i="131"/>
  <c r="U130" i="131"/>
  <c r="T130" i="131"/>
  <c r="S130" i="131"/>
  <c r="R130" i="131"/>
  <c r="Y129" i="131"/>
  <c r="X129" i="131"/>
  <c r="W129" i="131"/>
  <c r="V129" i="131"/>
  <c r="U129" i="131"/>
  <c r="T129" i="131"/>
  <c r="S129" i="131"/>
  <c r="R129" i="131"/>
  <c r="Q129" i="131"/>
  <c r="P127" i="131"/>
  <c r="N127" i="131"/>
  <c r="L127" i="131"/>
  <c r="V126" i="131"/>
  <c r="U126" i="131"/>
  <c r="T126" i="131"/>
  <c r="R126" i="131"/>
  <c r="V125" i="131"/>
  <c r="U125" i="131"/>
  <c r="R125" i="131"/>
  <c r="AB124" i="131"/>
  <c r="AA124" i="131"/>
  <c r="Z124" i="131"/>
  <c r="Y124" i="131"/>
  <c r="X124" i="131"/>
  <c r="W124" i="131"/>
  <c r="V124" i="131"/>
  <c r="U124" i="131"/>
  <c r="T124" i="131"/>
  <c r="R124" i="131"/>
  <c r="R123" i="131"/>
  <c r="R122" i="131"/>
  <c r="R121" i="131"/>
  <c r="R120" i="131"/>
  <c r="AA119" i="131"/>
  <c r="Z119" i="131"/>
  <c r="Y119" i="131"/>
  <c r="X119" i="131"/>
  <c r="W119" i="131"/>
  <c r="V119" i="131"/>
  <c r="U119" i="131"/>
  <c r="T119" i="131"/>
  <c r="R119" i="131"/>
  <c r="AA118" i="131"/>
  <c r="Z118" i="131"/>
  <c r="Y118" i="131"/>
  <c r="X118" i="131"/>
  <c r="W118" i="131"/>
  <c r="V118" i="131"/>
  <c r="U118" i="131"/>
  <c r="T118" i="131"/>
  <c r="R118" i="131"/>
  <c r="AA117" i="131"/>
  <c r="Z117" i="131"/>
  <c r="Y117" i="131"/>
  <c r="X117" i="131"/>
  <c r="W117" i="131"/>
  <c r="V117" i="131"/>
  <c r="U117" i="131"/>
  <c r="T117" i="131"/>
  <c r="AA115" i="131"/>
  <c r="Z115" i="131"/>
  <c r="Y115" i="131"/>
  <c r="X115" i="131"/>
  <c r="W115" i="131"/>
  <c r="V115" i="131"/>
  <c r="U115" i="131"/>
  <c r="T115" i="131"/>
  <c r="Y114" i="131"/>
  <c r="X114" i="131"/>
  <c r="W114" i="131"/>
  <c r="V114" i="131"/>
  <c r="U114" i="131"/>
  <c r="T114" i="131"/>
  <c r="S114" i="131"/>
  <c r="R114" i="131"/>
  <c r="Y113" i="131"/>
  <c r="X113" i="131"/>
  <c r="W113" i="131"/>
  <c r="V113" i="131"/>
  <c r="U113" i="131"/>
  <c r="T113" i="131"/>
  <c r="S113" i="131"/>
  <c r="R113" i="131"/>
  <c r="Q113" i="131"/>
  <c r="Y112" i="131"/>
  <c r="X112" i="131"/>
  <c r="W112" i="131"/>
  <c r="V112" i="131"/>
  <c r="U112" i="131"/>
  <c r="T112" i="131"/>
  <c r="S112" i="131"/>
  <c r="R112" i="131"/>
  <c r="Y111" i="131"/>
  <c r="X111" i="131"/>
  <c r="W111" i="131"/>
  <c r="V111" i="131"/>
  <c r="U111" i="131"/>
  <c r="T111" i="131"/>
  <c r="S111" i="131"/>
  <c r="R111" i="131"/>
  <c r="Y110" i="131"/>
  <c r="X110" i="131"/>
  <c r="W110" i="131"/>
  <c r="V110" i="131"/>
  <c r="U110" i="131"/>
  <c r="T110" i="131"/>
  <c r="S110" i="131"/>
  <c r="R110" i="131"/>
  <c r="Q110" i="131"/>
  <c r="Y109" i="131"/>
  <c r="X109" i="131"/>
  <c r="W109" i="131"/>
  <c r="V109" i="131"/>
  <c r="U109" i="131"/>
  <c r="T109" i="131"/>
  <c r="S109" i="131"/>
  <c r="R109" i="131"/>
  <c r="Q109" i="131"/>
  <c r="Y108" i="131"/>
  <c r="X108" i="131"/>
  <c r="W108" i="131"/>
  <c r="V108" i="131"/>
  <c r="U108" i="131"/>
  <c r="T108" i="131"/>
  <c r="S108" i="131"/>
  <c r="R108" i="131"/>
  <c r="Q108" i="131"/>
  <c r="Y107" i="131"/>
  <c r="X107" i="131"/>
  <c r="W107" i="131"/>
  <c r="V107" i="131"/>
  <c r="U107" i="131"/>
  <c r="T107" i="131"/>
  <c r="S107" i="131"/>
  <c r="R107" i="131"/>
  <c r="Q107" i="131"/>
  <c r="Y106" i="131"/>
  <c r="X106" i="131"/>
  <c r="W106" i="131"/>
  <c r="V106" i="131"/>
  <c r="U106" i="131"/>
  <c r="T106" i="131"/>
  <c r="S106" i="131"/>
  <c r="R106" i="131"/>
  <c r="Q106" i="131"/>
  <c r="Y105" i="131"/>
  <c r="X105" i="131"/>
  <c r="W105" i="131"/>
  <c r="V105" i="131"/>
  <c r="U105" i="131"/>
  <c r="T105" i="131"/>
  <c r="S105" i="131"/>
  <c r="R105" i="131"/>
  <c r="Q105" i="131"/>
  <c r="Y104" i="131"/>
  <c r="X104" i="131"/>
  <c r="W104" i="131"/>
  <c r="V104" i="131"/>
  <c r="U104" i="131"/>
  <c r="T104" i="131"/>
  <c r="S104" i="131"/>
  <c r="R104" i="131"/>
  <c r="Q104" i="131"/>
  <c r="Y103" i="131"/>
  <c r="X103" i="131"/>
  <c r="W103" i="131"/>
  <c r="V103" i="131"/>
  <c r="U103" i="131"/>
  <c r="T103" i="131"/>
  <c r="S103" i="131"/>
  <c r="R103" i="131"/>
  <c r="Q103" i="131"/>
  <c r="Y102" i="131"/>
  <c r="X102" i="131"/>
  <c r="W102" i="131"/>
  <c r="V102" i="131"/>
  <c r="U102" i="131"/>
  <c r="T102" i="131"/>
  <c r="S102" i="131"/>
  <c r="R102" i="131"/>
  <c r="Q102" i="131"/>
  <c r="Y101" i="131"/>
  <c r="X101" i="131"/>
  <c r="W101" i="131"/>
  <c r="V101" i="131"/>
  <c r="U101" i="131"/>
  <c r="T101" i="131"/>
  <c r="S101" i="131"/>
  <c r="R101" i="131"/>
  <c r="Q101" i="131"/>
  <c r="Y100" i="131"/>
  <c r="X100" i="131"/>
  <c r="W100" i="131"/>
  <c r="V100" i="131"/>
  <c r="U100" i="131"/>
  <c r="T100" i="131"/>
  <c r="S100" i="131"/>
  <c r="R100" i="131"/>
  <c r="Q100" i="131"/>
  <c r="Y99" i="131"/>
  <c r="X99" i="131"/>
  <c r="W99" i="131"/>
  <c r="V99" i="131"/>
  <c r="U99" i="131"/>
  <c r="T99" i="131"/>
  <c r="S99" i="131"/>
  <c r="R99" i="131"/>
  <c r="Q99" i="131"/>
  <c r="Y98" i="131"/>
  <c r="X98" i="131"/>
  <c r="W98" i="131"/>
  <c r="V98" i="131"/>
  <c r="U98" i="131"/>
  <c r="T98" i="131"/>
  <c r="S98" i="131"/>
  <c r="R98" i="131"/>
  <c r="Q98" i="131"/>
  <c r="Y97" i="131"/>
  <c r="X97" i="131"/>
  <c r="W97" i="131"/>
  <c r="V97" i="131"/>
  <c r="U97" i="131"/>
  <c r="T97" i="131"/>
  <c r="S97" i="131"/>
  <c r="R97" i="131"/>
  <c r="Q97" i="131"/>
  <c r="Y96" i="131"/>
  <c r="X96" i="131"/>
  <c r="W96" i="131"/>
  <c r="V96" i="131"/>
  <c r="U96" i="131"/>
  <c r="T96" i="131"/>
  <c r="S96" i="131"/>
  <c r="R96" i="131"/>
  <c r="Q96" i="131"/>
  <c r="Y95" i="131"/>
  <c r="X95" i="131"/>
  <c r="W95" i="131"/>
  <c r="V95" i="131"/>
  <c r="U95" i="131"/>
  <c r="T95" i="131"/>
  <c r="S95" i="131"/>
  <c r="R95" i="131"/>
  <c r="Q95" i="131"/>
  <c r="Y94" i="131"/>
  <c r="X94" i="131"/>
  <c r="W94" i="131"/>
  <c r="V94" i="131"/>
  <c r="U94" i="131"/>
  <c r="T94" i="131"/>
  <c r="S94" i="131"/>
  <c r="R94" i="131"/>
  <c r="Q94" i="131"/>
  <c r="Y93" i="131"/>
  <c r="X93" i="131"/>
  <c r="W93" i="131"/>
  <c r="V93" i="131"/>
  <c r="U93" i="131"/>
  <c r="T93" i="131"/>
  <c r="S93" i="131"/>
  <c r="R93" i="131"/>
  <c r="Y92" i="131"/>
  <c r="X92" i="131"/>
  <c r="W92" i="131"/>
  <c r="V92" i="131"/>
  <c r="U92" i="131"/>
  <c r="T92" i="131"/>
  <c r="S92" i="131"/>
  <c r="R92" i="131"/>
  <c r="Q92" i="131"/>
  <c r="P90" i="131"/>
  <c r="N90" i="131"/>
  <c r="L90" i="131"/>
  <c r="Z89" i="131"/>
  <c r="U87" i="131"/>
  <c r="Q87" i="131"/>
  <c r="P87" i="131"/>
  <c r="M87" i="131"/>
  <c r="K87" i="131"/>
  <c r="J87" i="131"/>
  <c r="U86" i="131"/>
  <c r="Q86" i="131"/>
  <c r="P86" i="131"/>
  <c r="M86" i="131"/>
  <c r="K86" i="131"/>
  <c r="J86" i="131"/>
  <c r="U85" i="131"/>
  <c r="S85" i="131"/>
  <c r="Q85" i="131"/>
  <c r="Z84" i="131"/>
  <c r="V84" i="131"/>
  <c r="R83" i="131"/>
  <c r="N83" i="131"/>
  <c r="M83" i="131"/>
  <c r="R82" i="131"/>
  <c r="Q82" i="131"/>
  <c r="N82" i="131"/>
  <c r="M82" i="131"/>
  <c r="Y80" i="131"/>
  <c r="X80" i="131"/>
  <c r="W80" i="131"/>
  <c r="V80" i="131"/>
  <c r="U80" i="131"/>
  <c r="T80" i="131"/>
  <c r="S80" i="131"/>
  <c r="R80" i="131"/>
  <c r="Y79" i="131"/>
  <c r="X79" i="131"/>
  <c r="W79" i="131"/>
  <c r="V79" i="131"/>
  <c r="U79" i="131"/>
  <c r="T79" i="131"/>
  <c r="S79" i="131"/>
  <c r="R79" i="131"/>
  <c r="Y78" i="131"/>
  <c r="X78" i="131"/>
  <c r="W78" i="131"/>
  <c r="V78" i="131"/>
  <c r="U78" i="131"/>
  <c r="T78" i="131"/>
  <c r="S78" i="131"/>
  <c r="R78" i="131"/>
  <c r="Y77" i="131"/>
  <c r="X77" i="131"/>
  <c r="W77" i="131"/>
  <c r="V77" i="131"/>
  <c r="U77" i="131"/>
  <c r="T77" i="131"/>
  <c r="S77" i="131"/>
  <c r="R77" i="131"/>
  <c r="Y76" i="131"/>
  <c r="X76" i="131"/>
  <c r="W76" i="131"/>
  <c r="V76" i="131"/>
  <c r="U76" i="131"/>
  <c r="T76" i="131"/>
  <c r="S76" i="131"/>
  <c r="R76" i="131"/>
  <c r="Y75" i="131"/>
  <c r="X75" i="131"/>
  <c r="W75" i="131"/>
  <c r="V75" i="131"/>
  <c r="U75" i="131"/>
  <c r="T75" i="131"/>
  <c r="S75" i="131"/>
  <c r="R75" i="131"/>
  <c r="Y74" i="131"/>
  <c r="X74" i="131"/>
  <c r="W74" i="131"/>
  <c r="V74" i="131"/>
  <c r="U74" i="131"/>
  <c r="T74" i="131"/>
  <c r="S74" i="131"/>
  <c r="R74" i="131"/>
  <c r="Y73" i="131"/>
  <c r="X73" i="131"/>
  <c r="W73" i="131"/>
  <c r="V73" i="131"/>
  <c r="U73" i="131"/>
  <c r="T73" i="131"/>
  <c r="S73" i="131"/>
  <c r="R73" i="131"/>
  <c r="Y72" i="131"/>
  <c r="X72" i="131"/>
  <c r="W72" i="131"/>
  <c r="V72" i="131"/>
  <c r="U72" i="131"/>
  <c r="T72" i="131"/>
  <c r="S72" i="131"/>
  <c r="R72" i="131"/>
  <c r="Y71" i="131"/>
  <c r="X71" i="131"/>
  <c r="W71" i="131"/>
  <c r="V71" i="131"/>
  <c r="U71" i="131"/>
  <c r="T71" i="131"/>
  <c r="S71" i="131"/>
  <c r="R71" i="131"/>
  <c r="Y70" i="131"/>
  <c r="X70" i="131"/>
  <c r="W70" i="131"/>
  <c r="V70" i="131"/>
  <c r="U70" i="131"/>
  <c r="T70" i="131"/>
  <c r="S70" i="131"/>
  <c r="R70" i="131"/>
  <c r="Y69" i="131"/>
  <c r="X69" i="131"/>
  <c r="W69" i="131"/>
  <c r="V69" i="131"/>
  <c r="U69" i="131"/>
  <c r="T69" i="131"/>
  <c r="S69" i="131"/>
  <c r="R69" i="131"/>
  <c r="Y68" i="131"/>
  <c r="X68" i="131"/>
  <c r="W68" i="131"/>
  <c r="V68" i="131"/>
  <c r="U68" i="131"/>
  <c r="T68" i="131"/>
  <c r="S68" i="131"/>
  <c r="R68" i="131"/>
  <c r="K67" i="131"/>
  <c r="J67" i="131"/>
  <c r="U63" i="131"/>
  <c r="Q63" i="131"/>
  <c r="P63" i="131"/>
  <c r="M63" i="131"/>
  <c r="K63" i="131"/>
  <c r="J63" i="131"/>
  <c r="U62" i="131"/>
  <c r="Q62" i="131"/>
  <c r="P62" i="131"/>
  <c r="M62" i="131"/>
  <c r="K62" i="131"/>
  <c r="J62" i="131"/>
  <c r="U61" i="131"/>
  <c r="S61" i="131"/>
  <c r="Q61" i="131"/>
  <c r="Z60" i="131"/>
  <c r="V60" i="131"/>
  <c r="R59" i="131"/>
  <c r="N59" i="131"/>
  <c r="M59" i="131"/>
  <c r="R58" i="131"/>
  <c r="Q58" i="131"/>
  <c r="O58" i="131"/>
  <c r="N58" i="131"/>
  <c r="M58" i="131"/>
  <c r="Y56" i="131"/>
  <c r="X56" i="131"/>
  <c r="W56" i="131"/>
  <c r="V56" i="131"/>
  <c r="U56" i="131"/>
  <c r="T56" i="131"/>
  <c r="S56" i="131"/>
  <c r="R56" i="131"/>
  <c r="Y55" i="131"/>
  <c r="X55" i="131"/>
  <c r="W55" i="131"/>
  <c r="V55" i="131"/>
  <c r="U55" i="131"/>
  <c r="T55" i="131"/>
  <c r="S55" i="131"/>
  <c r="R55" i="131"/>
  <c r="Y54" i="131"/>
  <c r="X54" i="131"/>
  <c r="W54" i="131"/>
  <c r="V54" i="131"/>
  <c r="U54" i="131"/>
  <c r="T54" i="131"/>
  <c r="S54" i="131"/>
  <c r="R54" i="131"/>
  <c r="Y53" i="131"/>
  <c r="X53" i="131"/>
  <c r="W53" i="131"/>
  <c r="V53" i="131"/>
  <c r="U53" i="131"/>
  <c r="T53" i="131"/>
  <c r="S53" i="131"/>
  <c r="R53" i="131"/>
  <c r="Y52" i="131"/>
  <c r="X52" i="131"/>
  <c r="W52" i="131"/>
  <c r="V52" i="131"/>
  <c r="U52" i="131"/>
  <c r="T52" i="131"/>
  <c r="S52" i="131"/>
  <c r="R52" i="131"/>
  <c r="Y51" i="131"/>
  <c r="X51" i="131"/>
  <c r="W51" i="131"/>
  <c r="V51" i="131"/>
  <c r="U51" i="131"/>
  <c r="T51" i="131"/>
  <c r="S51" i="131"/>
  <c r="R51" i="131"/>
  <c r="Y50" i="131"/>
  <c r="X50" i="131"/>
  <c r="W50" i="131"/>
  <c r="V50" i="131"/>
  <c r="U50" i="131"/>
  <c r="T50" i="131"/>
  <c r="S50" i="131"/>
  <c r="R50" i="131"/>
  <c r="Y49" i="131"/>
  <c r="X49" i="131"/>
  <c r="W49" i="131"/>
  <c r="V49" i="131"/>
  <c r="U49" i="131"/>
  <c r="T49" i="131"/>
  <c r="S49" i="131"/>
  <c r="R49" i="131"/>
  <c r="Y48" i="131"/>
  <c r="X48" i="131"/>
  <c r="W48" i="131"/>
  <c r="V48" i="131"/>
  <c r="U48" i="131"/>
  <c r="T48" i="131"/>
  <c r="S48" i="131"/>
  <c r="R48" i="131"/>
  <c r="Y47" i="131"/>
  <c r="X47" i="131"/>
  <c r="W47" i="131"/>
  <c r="V47" i="131"/>
  <c r="U47" i="131"/>
  <c r="T47" i="131"/>
  <c r="S47" i="131"/>
  <c r="R47" i="131"/>
  <c r="Y46" i="131"/>
  <c r="X46" i="131"/>
  <c r="W46" i="131"/>
  <c r="V46" i="131"/>
  <c r="U46" i="131"/>
  <c r="T46" i="131"/>
  <c r="S46" i="131"/>
  <c r="R46" i="131"/>
  <c r="Y45" i="131"/>
  <c r="X45" i="131"/>
  <c r="W45" i="131"/>
  <c r="V45" i="131"/>
  <c r="U45" i="131"/>
  <c r="T45" i="131"/>
  <c r="S45" i="131"/>
  <c r="R45" i="131"/>
  <c r="Y44" i="131"/>
  <c r="X44" i="131"/>
  <c r="W44" i="131"/>
  <c r="V44" i="131"/>
  <c r="U44" i="131"/>
  <c r="T44" i="131"/>
  <c r="S44" i="131"/>
  <c r="R44" i="131"/>
  <c r="K43" i="131"/>
  <c r="J43" i="131"/>
  <c r="H39" i="131"/>
  <c r="N35" i="131"/>
  <c r="M35" i="131"/>
  <c r="L35" i="131"/>
  <c r="N34" i="131"/>
  <c r="M34" i="131"/>
  <c r="L34" i="131"/>
  <c r="K34" i="131"/>
  <c r="J34" i="131"/>
  <c r="I34" i="131"/>
  <c r="H34" i="131"/>
  <c r="G34" i="131"/>
  <c r="F34" i="131"/>
  <c r="E34" i="131"/>
  <c r="D34" i="131"/>
  <c r="N33" i="131"/>
  <c r="M33" i="131"/>
  <c r="L33" i="131"/>
  <c r="K33" i="131"/>
  <c r="J33" i="131"/>
  <c r="I33" i="131"/>
  <c r="H33" i="131"/>
  <c r="G33" i="131"/>
  <c r="F33" i="131"/>
  <c r="E33" i="131"/>
  <c r="D33" i="131"/>
  <c r="N32" i="131"/>
  <c r="M32" i="131"/>
  <c r="L32" i="131"/>
  <c r="K32" i="131"/>
  <c r="J32" i="131"/>
  <c r="I32" i="131"/>
  <c r="H32" i="131"/>
  <c r="G32" i="131"/>
  <c r="F32" i="131"/>
  <c r="E32" i="131"/>
  <c r="D32" i="131"/>
  <c r="N31" i="131"/>
  <c r="M31" i="131"/>
  <c r="L31" i="131"/>
  <c r="K31" i="131"/>
  <c r="J31" i="131"/>
  <c r="I31" i="131"/>
  <c r="H31" i="131"/>
  <c r="G31" i="131"/>
  <c r="F31" i="131"/>
  <c r="E31" i="131"/>
  <c r="D31" i="131"/>
  <c r="N30" i="131"/>
  <c r="M30" i="131"/>
  <c r="L30" i="131"/>
  <c r="K30" i="131"/>
  <c r="J30" i="131"/>
  <c r="I30" i="131"/>
  <c r="H30" i="131"/>
  <c r="G30" i="131"/>
  <c r="F30" i="131"/>
  <c r="E30" i="131"/>
  <c r="D30" i="131"/>
  <c r="N29" i="131"/>
  <c r="M29" i="131"/>
  <c r="L29" i="131"/>
  <c r="K29" i="131"/>
  <c r="J29" i="131"/>
  <c r="I29" i="131"/>
  <c r="H29" i="131"/>
  <c r="G29" i="131"/>
  <c r="F29" i="131"/>
  <c r="E29" i="131"/>
  <c r="D29" i="131"/>
  <c r="N28" i="131"/>
  <c r="M28" i="131"/>
  <c r="L28" i="131"/>
  <c r="N27" i="131"/>
  <c r="M27" i="131"/>
  <c r="L27" i="131"/>
  <c r="K27" i="131"/>
  <c r="J27" i="131"/>
  <c r="I27" i="131"/>
  <c r="H27" i="131"/>
  <c r="G27" i="131"/>
  <c r="F27" i="131"/>
  <c r="E27" i="131"/>
  <c r="D27" i="131"/>
  <c r="N26" i="131"/>
  <c r="M26" i="131"/>
  <c r="L26" i="131"/>
  <c r="K26" i="131"/>
  <c r="J26" i="131"/>
  <c r="I26" i="131"/>
  <c r="H26" i="131"/>
  <c r="G26" i="131"/>
  <c r="F26" i="131"/>
  <c r="E26" i="131"/>
  <c r="D26" i="131"/>
  <c r="N25" i="131"/>
  <c r="M25" i="131"/>
  <c r="L25" i="131"/>
  <c r="K25" i="131"/>
  <c r="J25" i="131"/>
  <c r="I25" i="131"/>
  <c r="H25" i="131"/>
  <c r="G25" i="131"/>
  <c r="F25" i="131"/>
  <c r="E25" i="131"/>
  <c r="D25" i="131"/>
  <c r="N24" i="131"/>
  <c r="M24" i="131"/>
  <c r="L24" i="131"/>
  <c r="K24" i="131"/>
  <c r="J24" i="131"/>
  <c r="I24" i="131"/>
  <c r="H24" i="131"/>
  <c r="G24" i="131"/>
  <c r="F24" i="131"/>
  <c r="E24" i="131"/>
  <c r="D24" i="131"/>
  <c r="N23" i="131"/>
  <c r="M23" i="131"/>
  <c r="L23" i="131"/>
  <c r="N22" i="131"/>
  <c r="M22" i="131"/>
  <c r="L22" i="131"/>
  <c r="K22" i="131"/>
  <c r="J22" i="131"/>
  <c r="I22" i="131"/>
  <c r="H22" i="131"/>
  <c r="G22" i="131"/>
  <c r="F22" i="131"/>
  <c r="E22" i="131"/>
  <c r="D22" i="131"/>
  <c r="N21" i="131"/>
  <c r="M21" i="131"/>
  <c r="L21" i="131"/>
  <c r="K21" i="131"/>
  <c r="J21" i="131"/>
  <c r="I21" i="131"/>
  <c r="H21" i="131"/>
  <c r="G21" i="131"/>
  <c r="F21" i="131"/>
  <c r="E21" i="131"/>
  <c r="D21" i="131"/>
  <c r="N20" i="131"/>
  <c r="M20" i="131"/>
  <c r="L20" i="131"/>
  <c r="K20" i="131"/>
  <c r="J20" i="131"/>
  <c r="I20" i="131"/>
  <c r="H20" i="131"/>
  <c r="G20" i="131"/>
  <c r="F20" i="131"/>
  <c r="E20" i="131"/>
  <c r="D20" i="131"/>
  <c r="N19" i="131"/>
  <c r="M19" i="131"/>
  <c r="L19" i="131"/>
  <c r="K19" i="131"/>
  <c r="J19" i="131"/>
  <c r="I19" i="131"/>
  <c r="H19" i="131"/>
  <c r="G19" i="131"/>
  <c r="F19" i="131"/>
  <c r="E19" i="131"/>
  <c r="D19" i="131"/>
  <c r="E18" i="131"/>
  <c r="D18" i="131"/>
  <c r="C18" i="131"/>
  <c r="C16" i="131"/>
  <c r="C10" i="131"/>
  <c r="C9" i="131"/>
  <c r="C8" i="131"/>
  <c r="C7" i="131"/>
  <c r="C6" i="131"/>
  <c r="C5" i="131"/>
  <c r="C4" i="131"/>
  <c r="C3" i="131"/>
  <c r="C2" i="131"/>
  <c r="E11" i="158"/>
  <c r="D11" i="158"/>
  <c r="E10" i="158"/>
  <c r="D10" i="158"/>
  <c r="E9" i="158"/>
  <c r="D9" i="158"/>
  <c r="E7" i="158"/>
  <c r="D7" i="158"/>
  <c r="E6" i="158"/>
  <c r="D6" i="158"/>
  <c r="E5" i="158"/>
  <c r="D5" i="158"/>
  <c r="C5" i="158"/>
  <c r="E4" i="158"/>
  <c r="D4" i="158"/>
  <c r="C4" i="158"/>
  <c r="E3" i="158"/>
  <c r="D3" i="158"/>
  <c r="C3" i="158"/>
  <c r="D3" i="181"/>
  <c r="C3" i="181"/>
  <c r="AA12" i="130" a="1"/>
  <c r="AA12" i="130"/>
  <c r="S17" i="101"/>
  <c r="L15" i="101"/>
  <c r="L13" i="101"/>
  <c r="S12" i="101"/>
  <c r="L11" i="101"/>
  <c r="L9" i="101"/>
  <c r="M5" i="101" s="1"/>
  <c r="R10" i="99"/>
  <c r="N10" i="99"/>
  <c r="F9" i="99"/>
  <c r="G8" i="99"/>
  <c r="G7" i="99" s="1"/>
  <c r="E7" i="99" s="1"/>
  <c r="F7" i="99" s="1"/>
  <c r="F8" i="99"/>
  <c r="R7" i="99"/>
  <c r="N7" i="99"/>
  <c r="R4" i="99"/>
  <c r="N4" i="99"/>
  <c r="D4" i="99"/>
  <c r="E4" i="99" s="1"/>
  <c r="F29" i="177"/>
  <c r="B62" i="186"/>
  <c r="J26" i="176"/>
  <c r="X26" i="177"/>
  <c r="B2" i="186"/>
  <c r="B52" i="186"/>
  <c r="T26" i="177"/>
  <c r="N26" i="169"/>
  <c r="U26" i="169"/>
  <c r="M26" i="169"/>
  <c r="F29" i="169"/>
  <c r="Y26" i="176"/>
  <c r="F27" i="169"/>
  <c r="F27" i="177"/>
  <c r="G26" i="177"/>
  <c r="N26" i="177"/>
  <c r="M26" i="177"/>
  <c r="F28" i="176"/>
  <c r="B12" i="186"/>
  <c r="B42" i="186"/>
  <c r="W26" i="169"/>
  <c r="Z26" i="176"/>
  <c r="V26" i="176"/>
  <c r="B53" i="186"/>
  <c r="F26" i="169"/>
  <c r="Z26" i="177"/>
  <c r="F26" i="176"/>
  <c r="J26" i="169"/>
  <c r="Y26" i="177"/>
  <c r="Q26" i="169"/>
  <c r="L26" i="169"/>
  <c r="B22" i="186"/>
  <c r="S26" i="169"/>
  <c r="G26" i="169"/>
  <c r="L26" i="177"/>
  <c r="U26" i="176"/>
  <c r="H26" i="169"/>
  <c r="J26" i="177"/>
  <c r="T26" i="169"/>
  <c r="V26" i="169"/>
  <c r="O26" i="177"/>
  <c r="Y26" i="169"/>
  <c r="F27" i="176"/>
  <c r="B13" i="186"/>
  <c r="T26" i="176"/>
  <c r="Q26" i="176"/>
  <c r="K26" i="177"/>
  <c r="K26" i="176"/>
  <c r="Q26" i="177"/>
  <c r="P26" i="177"/>
  <c r="F29" i="176"/>
  <c r="I26" i="176"/>
  <c r="B23" i="186"/>
  <c r="H26" i="177"/>
  <c r="U26" i="177"/>
  <c r="I26" i="177"/>
  <c r="S26" i="176"/>
  <c r="P26" i="169"/>
  <c r="R26" i="177"/>
  <c r="I26" i="169"/>
  <c r="X26" i="176"/>
  <c r="B43" i="186"/>
  <c r="L26" i="176"/>
  <c r="B63" i="186"/>
  <c r="S26" i="177"/>
  <c r="F26" i="177"/>
  <c r="H26" i="176"/>
  <c r="B32" i="186"/>
  <c r="K26" i="169"/>
  <c r="X26" i="169"/>
  <c r="P26" i="176"/>
  <c r="G26" i="176"/>
  <c r="V26" i="177"/>
  <c r="Z26" i="169"/>
  <c r="R26" i="176"/>
  <c r="W26" i="177"/>
  <c r="F28" i="169"/>
  <c r="N26" i="176"/>
  <c r="B3" i="186"/>
  <c r="O26" i="176"/>
  <c r="B33" i="186"/>
  <c r="W26" i="176"/>
  <c r="F28" i="177"/>
  <c r="M26" i="176"/>
  <c r="R26" i="169"/>
  <c r="O26" i="169"/>
  <c r="AB45" i="185" l="1"/>
  <c r="AB43" i="185"/>
  <c r="S4" i="184"/>
  <c r="S5" i="184" s="1"/>
  <c r="S6" i="184" s="1"/>
  <c r="S7" i="184" s="1"/>
  <c r="S8" i="184" s="1"/>
  <c r="S9" i="184" s="1"/>
  <c r="S10" i="184" s="1"/>
  <c r="S11" i="184" s="1"/>
  <c r="S12" i="184" s="1"/>
  <c r="S13" i="184" s="1"/>
  <c r="S14" i="184" s="1"/>
  <c r="S15" i="184" s="1"/>
  <c r="S16" i="184" s="1"/>
  <c r="S17" i="184" s="1"/>
  <c r="S18" i="184" s="1"/>
  <c r="S19" i="184" s="1"/>
  <c r="S20" i="184" s="1"/>
  <c r="S21" i="184" s="1"/>
  <c r="S22" i="184" s="1"/>
  <c r="S23" i="184" s="1"/>
  <c r="S24" i="184" s="1"/>
  <c r="S25" i="184" s="1"/>
  <c r="S26" i="184" s="1"/>
  <c r="S27" i="184" s="1"/>
  <c r="S28" i="184" s="1"/>
  <c r="S29" i="184" s="1"/>
  <c r="S30" i="184" s="1"/>
  <c r="S31" i="184" s="1"/>
  <c r="S32" i="184" s="1"/>
  <c r="S33" i="184" s="1"/>
  <c r="S34" i="184" s="1"/>
  <c r="S35" i="184" s="1"/>
  <c r="S36" i="184" s="1"/>
  <c r="S37" i="184" s="1"/>
  <c r="S38" i="184" s="1"/>
  <c r="S39" i="184" s="1"/>
  <c r="S40" i="184" s="1"/>
  <c r="S41" i="184" s="1"/>
  <c r="S42" i="184" s="1"/>
  <c r="S43" i="184" s="1"/>
  <c r="S44" i="184" s="1"/>
  <c r="S45" i="184" s="1"/>
  <c r="S46" i="184" s="1"/>
  <c r="S47" i="184" s="1"/>
  <c r="S48" i="184" s="1"/>
  <c r="S49" i="184" s="1"/>
  <c r="S50" i="184" s="1"/>
  <c r="S51" i="184" s="1"/>
  <c r="S52" i="184" s="1"/>
  <c r="S53" i="184" s="1"/>
  <c r="S54" i="184" s="1"/>
  <c r="S55" i="184" s="1"/>
  <c r="S56" i="184" s="1"/>
  <c r="S57" i="184" s="1"/>
  <c r="S58" i="184" s="1"/>
  <c r="S59" i="184" s="1"/>
  <c r="S60" i="184" s="1"/>
  <c r="S61" i="184" s="1"/>
  <c r="S62" i="184" s="1"/>
  <c r="S63" i="184" s="1"/>
  <c r="S64" i="184" s="1"/>
  <c r="S65" i="184" s="1"/>
  <c r="S66" i="184" s="1"/>
  <c r="S67" i="184" s="1"/>
  <c r="S68" i="184" s="1"/>
  <c r="S69" i="184" s="1"/>
  <c r="S70" i="184" s="1"/>
  <c r="S71" i="184" s="1"/>
  <c r="S72" i="184" s="1"/>
  <c r="S73" i="184" s="1"/>
  <c r="S74" i="184" s="1"/>
  <c r="S75" i="184" s="1"/>
  <c r="S76" i="184" s="1"/>
  <c r="S77" i="184" s="1"/>
  <c r="S78" i="184" s="1"/>
  <c r="S79" i="184" s="1"/>
  <c r="S80" i="184" s="1"/>
  <c r="S81" i="184" s="1"/>
  <c r="S82" i="184" s="1"/>
  <c r="S83" i="184" s="1"/>
  <c r="S84" i="184" s="1"/>
  <c r="S85" i="184" s="1"/>
  <c r="S86" i="184" s="1"/>
  <c r="S87" i="184" s="1"/>
  <c r="S88" i="184" s="1"/>
  <c r="S89" i="184" s="1"/>
  <c r="S90" i="184" s="1"/>
  <c r="S91" i="184" s="1"/>
  <c r="S92" i="184" s="1"/>
  <c r="S93" i="184" s="1"/>
  <c r="S94" i="184" s="1"/>
  <c r="S95" i="184" s="1"/>
  <c r="S96" i="184" s="1"/>
  <c r="S97" i="184" s="1"/>
  <c r="S98" i="184" s="1"/>
  <c r="S99" i="184" s="1"/>
  <c r="S100" i="184" s="1"/>
  <c r="T4" i="184"/>
  <c r="T5" i="184" s="1"/>
  <c r="T6" i="184" s="1"/>
  <c r="T7" i="184" s="1"/>
  <c r="T8" i="184" s="1"/>
  <c r="T9" i="184" s="1"/>
  <c r="T10" i="184" s="1"/>
  <c r="T11" i="184" s="1"/>
  <c r="T12" i="184" s="1"/>
  <c r="T13" i="184" s="1"/>
  <c r="T14" i="184" s="1"/>
  <c r="T15" i="184" s="1"/>
  <c r="T16" i="184" s="1"/>
  <c r="T17" i="184" s="1"/>
  <c r="T18" i="184" s="1"/>
  <c r="T19" i="184" s="1"/>
  <c r="T20" i="184" s="1"/>
  <c r="T21" i="184" s="1"/>
  <c r="T22" i="184" s="1"/>
  <c r="T23" i="184" s="1"/>
  <c r="T24" i="184" s="1"/>
  <c r="T25" i="184" s="1"/>
  <c r="T26" i="184" s="1"/>
  <c r="T27" i="184" s="1"/>
  <c r="T28" i="184" s="1"/>
  <c r="T29" i="184" s="1"/>
  <c r="T30" i="184" s="1"/>
  <c r="T31" i="184" s="1"/>
  <c r="T32" i="184" s="1"/>
  <c r="T33" i="184" s="1"/>
  <c r="T34" i="184" s="1"/>
  <c r="T35" i="184" s="1"/>
  <c r="T36" i="184" s="1"/>
  <c r="T37" i="184" s="1"/>
  <c r="T38" i="184" s="1"/>
  <c r="T39" i="184" s="1"/>
  <c r="T40" i="184" s="1"/>
  <c r="T41" i="184" s="1"/>
  <c r="T42" i="184" s="1"/>
  <c r="T43" i="184" s="1"/>
  <c r="T44" i="184" s="1"/>
  <c r="T45" i="184" s="1"/>
  <c r="T46" i="184" s="1"/>
  <c r="T47" i="184" s="1"/>
  <c r="T48" i="184" s="1"/>
  <c r="T49" i="184" s="1"/>
  <c r="T50" i="184" s="1"/>
  <c r="T51" i="184" s="1"/>
  <c r="T52" i="184" s="1"/>
  <c r="T53" i="184" s="1"/>
  <c r="T54" i="184" s="1"/>
  <c r="T55" i="184" s="1"/>
  <c r="T56" i="184" s="1"/>
  <c r="T57" i="184" s="1"/>
  <c r="T58" i="184" s="1"/>
  <c r="T59" i="184" s="1"/>
  <c r="T60" i="184" s="1"/>
  <c r="T61" i="184" s="1"/>
  <c r="T62" i="184" s="1"/>
  <c r="T63" i="184" s="1"/>
  <c r="T64" i="184" s="1"/>
  <c r="T65" i="184" s="1"/>
  <c r="T66" i="184" s="1"/>
  <c r="T67" i="184" s="1"/>
  <c r="T68" i="184" s="1"/>
  <c r="T69" i="184" s="1"/>
  <c r="T70" i="184" s="1"/>
  <c r="T71" i="184" s="1"/>
  <c r="T72" i="184" s="1"/>
  <c r="T73" i="184" s="1"/>
  <c r="T74" i="184" s="1"/>
  <c r="T75" i="184" s="1"/>
  <c r="T76" i="184" s="1"/>
  <c r="T77" i="184" s="1"/>
  <c r="T78" i="184" s="1"/>
  <c r="T79" i="184" s="1"/>
  <c r="T80" i="184" s="1"/>
  <c r="T81" i="184" s="1"/>
  <c r="T82" i="184" s="1"/>
  <c r="T83" i="184" s="1"/>
  <c r="T84" i="184" s="1"/>
  <c r="T85" i="184" s="1"/>
  <c r="T86" i="184" s="1"/>
  <c r="T87" i="184" s="1"/>
  <c r="T88" i="184" s="1"/>
  <c r="T89" i="184" s="1"/>
  <c r="T90" i="184" s="1"/>
  <c r="T91" i="184" s="1"/>
  <c r="T92" i="184" s="1"/>
  <c r="T93" i="184" s="1"/>
  <c r="T94" i="184" s="1"/>
  <c r="T95" i="184" s="1"/>
  <c r="T96" i="184" s="1"/>
  <c r="T97" i="184" s="1"/>
  <c r="T98" i="184" s="1"/>
  <c r="T99" i="184" s="1"/>
  <c r="T100" i="184" s="1"/>
  <c r="AB4" i="184"/>
  <c r="AB5" i="184" s="1"/>
  <c r="AB6" i="184" s="1"/>
  <c r="AB7" i="184" s="1"/>
  <c r="AB8" i="184" s="1"/>
  <c r="AB9" i="184" s="1"/>
  <c r="AB10" i="184" s="1"/>
  <c r="AB11" i="184" s="1"/>
  <c r="AB12" i="184" s="1"/>
  <c r="AB13" i="184" s="1"/>
  <c r="AB14" i="184" s="1"/>
  <c r="AB15" i="184" s="1"/>
  <c r="AB16" i="184" s="1"/>
  <c r="AB17" i="184" s="1"/>
  <c r="AB18" i="184" s="1"/>
  <c r="AB19" i="184" s="1"/>
  <c r="AB20" i="184" s="1"/>
  <c r="AB21" i="184" s="1"/>
  <c r="AB22" i="184" s="1"/>
  <c r="AB23" i="184" s="1"/>
  <c r="AB24" i="184" s="1"/>
  <c r="AB25" i="184" s="1"/>
  <c r="AB26" i="184" s="1"/>
  <c r="AB27" i="184" s="1"/>
  <c r="AB28" i="184" s="1"/>
  <c r="AB29" i="184" s="1"/>
  <c r="AB30" i="184" s="1"/>
  <c r="AB31" i="184" s="1"/>
  <c r="AB32" i="184" s="1"/>
  <c r="AB33" i="184" s="1"/>
  <c r="AB34" i="184" s="1"/>
  <c r="AB35" i="184" s="1"/>
  <c r="AB36" i="184" s="1"/>
  <c r="AB37" i="184" s="1"/>
  <c r="AB38" i="184" s="1"/>
  <c r="AB39" i="184" s="1"/>
  <c r="AB40" i="184" s="1"/>
  <c r="AB41" i="184" s="1"/>
  <c r="AB42" i="184" s="1"/>
  <c r="AB43" i="184" s="1"/>
  <c r="AB44" i="184" s="1"/>
  <c r="AB45" i="184" s="1"/>
  <c r="AB46" i="184" s="1"/>
  <c r="AB47" i="184" s="1"/>
  <c r="AB48" i="184" s="1"/>
  <c r="AB49" i="184" s="1"/>
  <c r="AB50" i="184" s="1"/>
  <c r="AB51" i="184" s="1"/>
  <c r="AB52" i="184" s="1"/>
  <c r="AB53" i="184" s="1"/>
  <c r="AB54" i="184" s="1"/>
  <c r="AB55" i="184" s="1"/>
  <c r="AB56" i="184" s="1"/>
  <c r="AB57" i="184" s="1"/>
  <c r="AB58" i="184" s="1"/>
  <c r="AB59" i="184" s="1"/>
  <c r="AB60" i="184" s="1"/>
  <c r="AB61" i="184" s="1"/>
  <c r="AB62" i="184" s="1"/>
  <c r="AB63" i="184" s="1"/>
  <c r="AB64" i="184" s="1"/>
  <c r="AB65" i="184" s="1"/>
  <c r="AB66" i="184" s="1"/>
  <c r="AB67" i="184" s="1"/>
  <c r="AB68" i="184" s="1"/>
  <c r="AB69" i="184" s="1"/>
  <c r="AB70" i="184" s="1"/>
  <c r="AB71" i="184" s="1"/>
  <c r="AB72" i="184" s="1"/>
  <c r="AB73" i="184" s="1"/>
  <c r="AB74" i="184" s="1"/>
  <c r="AB75" i="184" s="1"/>
  <c r="AB76" i="184" s="1"/>
  <c r="AB77" i="184" s="1"/>
  <c r="AB78" i="184" s="1"/>
  <c r="AB79" i="184" s="1"/>
  <c r="AB80" i="184" s="1"/>
  <c r="AB81" i="184" s="1"/>
  <c r="AB82" i="184" s="1"/>
  <c r="AB83" i="184" s="1"/>
  <c r="AB84" i="184" s="1"/>
  <c r="AB85" i="184" s="1"/>
  <c r="AB86" i="184" s="1"/>
  <c r="AB87" i="184" s="1"/>
  <c r="AB88" i="184" s="1"/>
  <c r="AB89" i="184" s="1"/>
  <c r="AB90" i="184" s="1"/>
  <c r="AB91" i="184" s="1"/>
  <c r="AB92" i="184" s="1"/>
  <c r="AB93" i="184" s="1"/>
  <c r="AB94" i="184" s="1"/>
  <c r="AB95" i="184" s="1"/>
  <c r="AB96" i="184" s="1"/>
  <c r="AB97" i="184" s="1"/>
  <c r="AB98" i="184" s="1"/>
  <c r="AB99" i="184" s="1"/>
  <c r="AB100" i="184" s="1"/>
  <c r="Q4" i="184"/>
  <c r="R4" i="184"/>
  <c r="R5" i="184" s="1"/>
  <c r="R6" i="184" s="1"/>
  <c r="R7" i="184" s="1"/>
  <c r="R8" i="184" s="1"/>
  <c r="R9" i="184" s="1"/>
  <c r="R10" i="184" s="1"/>
  <c r="R11" i="184" s="1"/>
  <c r="R12" i="184" s="1"/>
  <c r="R13" i="184" s="1"/>
  <c r="R14" i="184" s="1"/>
  <c r="R15" i="184" s="1"/>
  <c r="R16" i="184" s="1"/>
  <c r="R17" i="184" s="1"/>
  <c r="R18" i="184" s="1"/>
  <c r="R19" i="184" s="1"/>
  <c r="R20" i="184" s="1"/>
  <c r="R21" i="184" s="1"/>
  <c r="R22" i="184" s="1"/>
  <c r="R23" i="184" s="1"/>
  <c r="R24" i="184" s="1"/>
  <c r="R25" i="184" s="1"/>
  <c r="R26" i="184" s="1"/>
  <c r="R27" i="184" s="1"/>
  <c r="R28" i="184" s="1"/>
  <c r="R29" i="184" s="1"/>
  <c r="R30" i="184" s="1"/>
  <c r="R31" i="184" s="1"/>
  <c r="R32" i="184" s="1"/>
  <c r="R33" i="184" s="1"/>
  <c r="R34" i="184" s="1"/>
  <c r="R35" i="184" s="1"/>
  <c r="R36" i="184" s="1"/>
  <c r="R37" i="184" s="1"/>
  <c r="R38" i="184" s="1"/>
  <c r="R39" i="184" s="1"/>
  <c r="R40" i="184" s="1"/>
  <c r="R41" i="184" s="1"/>
  <c r="R42" i="184" s="1"/>
  <c r="R43" i="184" s="1"/>
  <c r="R44" i="184" s="1"/>
  <c r="R45" i="184" s="1"/>
  <c r="R46" i="184" s="1"/>
  <c r="R47" i="184" s="1"/>
  <c r="R48" i="184" s="1"/>
  <c r="R49" i="184" s="1"/>
  <c r="R50" i="184" s="1"/>
  <c r="R51" i="184" s="1"/>
  <c r="R52" i="184" s="1"/>
  <c r="R53" i="184" s="1"/>
  <c r="R54" i="184" s="1"/>
  <c r="R55" i="184" s="1"/>
  <c r="R56" i="184" s="1"/>
  <c r="R57" i="184" s="1"/>
  <c r="R58" i="184" s="1"/>
  <c r="R59" i="184" s="1"/>
  <c r="R60" i="184" s="1"/>
  <c r="R61" i="184" s="1"/>
  <c r="R62" i="184" s="1"/>
  <c r="R63" i="184" s="1"/>
  <c r="R64" i="184" s="1"/>
  <c r="R65" i="184" s="1"/>
  <c r="R66" i="184" s="1"/>
  <c r="R67" i="184" s="1"/>
  <c r="R68" i="184" s="1"/>
  <c r="R69" i="184" s="1"/>
  <c r="R70" i="184" s="1"/>
  <c r="R71" i="184" s="1"/>
  <c r="R72" i="184" s="1"/>
  <c r="R73" i="184" s="1"/>
  <c r="R74" i="184" s="1"/>
  <c r="R75" i="184" s="1"/>
  <c r="R76" i="184" s="1"/>
  <c r="R77" i="184" s="1"/>
  <c r="R78" i="184" s="1"/>
  <c r="R79" i="184" s="1"/>
  <c r="R80" i="184" s="1"/>
  <c r="R81" i="184" s="1"/>
  <c r="R82" i="184" s="1"/>
  <c r="R83" i="184" s="1"/>
  <c r="R84" i="184" s="1"/>
  <c r="R85" i="184" s="1"/>
  <c r="R86" i="184" s="1"/>
  <c r="R87" i="184" s="1"/>
  <c r="R88" i="184" s="1"/>
  <c r="R89" i="184" s="1"/>
  <c r="R90" i="184" s="1"/>
  <c r="R91" i="184" s="1"/>
  <c r="R92" i="184" s="1"/>
  <c r="R93" i="184" s="1"/>
  <c r="R94" i="184" s="1"/>
  <c r="R95" i="184" s="1"/>
  <c r="R96" i="184" s="1"/>
  <c r="R97" i="184" s="1"/>
  <c r="R98" i="184" s="1"/>
  <c r="R99" i="184" s="1"/>
  <c r="R100" i="184" s="1"/>
  <c r="P26" i="186"/>
  <c r="O57" i="186" s="1"/>
  <c r="F7" i="186"/>
  <c r="E7" i="172"/>
  <c r="E9" i="172" s="1"/>
  <c r="F9" i="172" s="1"/>
  <c r="F10" i="172" s="1"/>
  <c r="C10" i="172" s="1"/>
  <c r="C30" i="172" s="1"/>
  <c r="C2" i="158" s="1"/>
  <c r="D2" i="158" s="1"/>
  <c r="E2" i="158" s="1"/>
  <c r="C1" i="158"/>
  <c r="F7" i="172"/>
  <c r="O26" i="186"/>
  <c r="AE26" i="186"/>
  <c r="Q5" i="184"/>
  <c r="U4" i="184"/>
  <c r="U5" i="184" s="1"/>
  <c r="U6" i="184" s="1"/>
  <c r="U7" i="184" s="1"/>
  <c r="U8" i="184" s="1"/>
  <c r="U9" i="184" s="1"/>
  <c r="U10" i="184" s="1"/>
  <c r="U11" i="184" s="1"/>
  <c r="U12" i="184" s="1"/>
  <c r="U13" i="184" s="1"/>
  <c r="U14" i="184" s="1"/>
  <c r="U15" i="184" s="1"/>
  <c r="U16" i="184" s="1"/>
  <c r="U17" i="184" s="1"/>
  <c r="U18" i="184" s="1"/>
  <c r="U19" i="184" s="1"/>
  <c r="U20" i="184" s="1"/>
  <c r="U21" i="184" s="1"/>
  <c r="U22" i="184" s="1"/>
  <c r="U23" i="184" s="1"/>
  <c r="U24" i="184" s="1"/>
  <c r="U25" i="184" s="1"/>
  <c r="U26" i="184" s="1"/>
  <c r="U27" i="184" s="1"/>
  <c r="U28" i="184" s="1"/>
  <c r="U29" i="184" s="1"/>
  <c r="U30" i="184" s="1"/>
  <c r="U31" i="184" s="1"/>
  <c r="U32" i="184" s="1"/>
  <c r="U33" i="184" s="1"/>
  <c r="U34" i="184" s="1"/>
  <c r="U35" i="184" s="1"/>
  <c r="U36" i="184" s="1"/>
  <c r="U37" i="184" s="1"/>
  <c r="U38" i="184" s="1"/>
  <c r="U39" i="184" s="1"/>
  <c r="U40" i="184" s="1"/>
  <c r="U41" i="184" s="1"/>
  <c r="U42" i="184" s="1"/>
  <c r="U43" i="184" s="1"/>
  <c r="U44" i="184" s="1"/>
  <c r="U45" i="184" s="1"/>
  <c r="U46" i="184" s="1"/>
  <c r="U47" i="184" s="1"/>
  <c r="U48" i="184" s="1"/>
  <c r="U49" i="184" s="1"/>
  <c r="U50" i="184" s="1"/>
  <c r="U51" i="184" s="1"/>
  <c r="U52" i="184" s="1"/>
  <c r="U53" i="184" s="1"/>
  <c r="U54" i="184" s="1"/>
  <c r="U55" i="184" s="1"/>
  <c r="U56" i="184" s="1"/>
  <c r="U57" i="184" s="1"/>
  <c r="U58" i="184" s="1"/>
  <c r="U59" i="184" s="1"/>
  <c r="U60" i="184" s="1"/>
  <c r="U61" i="184" s="1"/>
  <c r="U62" i="184" s="1"/>
  <c r="U63" i="184" s="1"/>
  <c r="U64" i="184" s="1"/>
  <c r="U65" i="184" s="1"/>
  <c r="U66" i="184" s="1"/>
  <c r="U67" i="184" s="1"/>
  <c r="U68" i="184" s="1"/>
  <c r="U69" i="184" s="1"/>
  <c r="U70" i="184" s="1"/>
  <c r="U71" i="184" s="1"/>
  <c r="U72" i="184" s="1"/>
  <c r="U73" i="184" s="1"/>
  <c r="U74" i="184" s="1"/>
  <c r="U75" i="184" s="1"/>
  <c r="U76" i="184" s="1"/>
  <c r="U77" i="184" s="1"/>
  <c r="U78" i="184" s="1"/>
  <c r="U79" i="184" s="1"/>
  <c r="U80" i="184" s="1"/>
  <c r="U81" i="184" s="1"/>
  <c r="U82" i="184" s="1"/>
  <c r="U83" i="184" s="1"/>
  <c r="U84" i="184" s="1"/>
  <c r="U85" i="184" s="1"/>
  <c r="U86" i="184" s="1"/>
  <c r="U87" i="184" s="1"/>
  <c r="U88" i="184" s="1"/>
  <c r="U89" i="184" s="1"/>
  <c r="U90" i="184" s="1"/>
  <c r="U91" i="184" s="1"/>
  <c r="U92" i="184" s="1"/>
  <c r="U93" i="184" s="1"/>
  <c r="U94" i="184" s="1"/>
  <c r="U95" i="184" s="1"/>
  <c r="U96" i="184" s="1"/>
  <c r="U97" i="184" s="1"/>
  <c r="U98" i="184" s="1"/>
  <c r="U99" i="184" s="1"/>
  <c r="U100" i="184" s="1"/>
  <c r="AC4" i="184"/>
  <c r="AC5" i="184" s="1"/>
  <c r="AC6" i="184" s="1"/>
  <c r="AC7" i="184" s="1"/>
  <c r="AC8" i="184" s="1"/>
  <c r="AC9" i="184" s="1"/>
  <c r="AC10" i="184" s="1"/>
  <c r="AC11" i="184" s="1"/>
  <c r="AC12" i="184" s="1"/>
  <c r="AC13" i="184" s="1"/>
  <c r="AC14" i="184" s="1"/>
  <c r="AC15" i="184" s="1"/>
  <c r="AC16" i="184" s="1"/>
  <c r="AC17" i="184" s="1"/>
  <c r="AC18" i="184" s="1"/>
  <c r="AC19" i="184" s="1"/>
  <c r="AC20" i="184" s="1"/>
  <c r="AC21" i="184" s="1"/>
  <c r="AC22" i="184" s="1"/>
  <c r="AC23" i="184" s="1"/>
  <c r="AC24" i="184" s="1"/>
  <c r="AC25" i="184" s="1"/>
  <c r="AC26" i="184" s="1"/>
  <c r="AC27" i="184" s="1"/>
  <c r="AC28" i="184" s="1"/>
  <c r="AC29" i="184" s="1"/>
  <c r="AC30" i="184" s="1"/>
  <c r="AC31" i="184" s="1"/>
  <c r="AC32" i="184" s="1"/>
  <c r="AC33" i="184" s="1"/>
  <c r="AC34" i="184" s="1"/>
  <c r="AC35" i="184" s="1"/>
  <c r="AC36" i="184" s="1"/>
  <c r="AC37" i="184" s="1"/>
  <c r="AC38" i="184" s="1"/>
  <c r="AC39" i="184" s="1"/>
  <c r="AC40" i="184" s="1"/>
  <c r="AC41" i="184" s="1"/>
  <c r="AC42" i="184" s="1"/>
  <c r="AC43" i="184" s="1"/>
  <c r="AC44" i="184" s="1"/>
  <c r="AC45" i="184" s="1"/>
  <c r="AC46" i="184" s="1"/>
  <c r="AC47" i="184" s="1"/>
  <c r="AC48" i="184" s="1"/>
  <c r="AC49" i="184" s="1"/>
  <c r="AC50" i="184" s="1"/>
  <c r="AC51" i="184" s="1"/>
  <c r="AC52" i="184" s="1"/>
  <c r="AC53" i="184" s="1"/>
  <c r="AC54" i="184" s="1"/>
  <c r="AC55" i="184" s="1"/>
  <c r="AC56" i="184" s="1"/>
  <c r="AC57" i="184" s="1"/>
  <c r="AC58" i="184" s="1"/>
  <c r="AC59" i="184" s="1"/>
  <c r="AC60" i="184" s="1"/>
  <c r="AC61" i="184" s="1"/>
  <c r="AC62" i="184" s="1"/>
  <c r="AC63" i="184" s="1"/>
  <c r="AC64" i="184" s="1"/>
  <c r="AC65" i="184" s="1"/>
  <c r="AC66" i="184" s="1"/>
  <c r="AC67" i="184" s="1"/>
  <c r="AC68" i="184" s="1"/>
  <c r="AC69" i="184" s="1"/>
  <c r="AC70" i="184" s="1"/>
  <c r="AC71" i="184" s="1"/>
  <c r="AC72" i="184" s="1"/>
  <c r="AC73" i="184" s="1"/>
  <c r="AC74" i="184" s="1"/>
  <c r="AC75" i="184" s="1"/>
  <c r="AC76" i="184" s="1"/>
  <c r="AC77" i="184" s="1"/>
  <c r="AC78" i="184" s="1"/>
  <c r="AC79" i="184" s="1"/>
  <c r="AC80" i="184" s="1"/>
  <c r="AC81" i="184" s="1"/>
  <c r="AC82" i="184" s="1"/>
  <c r="AC83" i="184" s="1"/>
  <c r="AC84" i="184" s="1"/>
  <c r="AC85" i="184" s="1"/>
  <c r="AC86" i="184" s="1"/>
  <c r="AC87" i="184" s="1"/>
  <c r="AC88" i="184" s="1"/>
  <c r="AC89" i="184" s="1"/>
  <c r="AC90" i="184" s="1"/>
  <c r="AC91" i="184" s="1"/>
  <c r="AC92" i="184" s="1"/>
  <c r="AC93" i="184" s="1"/>
  <c r="AC94" i="184" s="1"/>
  <c r="AC95" i="184" s="1"/>
  <c r="AC96" i="184" s="1"/>
  <c r="AC97" i="184" s="1"/>
  <c r="AC98" i="184" s="1"/>
  <c r="AC99" i="184" s="1"/>
  <c r="AC100" i="184" s="1"/>
  <c r="V4" i="184"/>
  <c r="V5" i="184" s="1"/>
  <c r="V6" i="184" s="1"/>
  <c r="V7" i="184" s="1"/>
  <c r="V8" i="184" s="1"/>
  <c r="V9" i="184" s="1"/>
  <c r="V10" i="184" s="1"/>
  <c r="V11" i="184" s="1"/>
  <c r="V12" i="184" s="1"/>
  <c r="V13" i="184" s="1"/>
  <c r="V14" i="184" s="1"/>
  <c r="V15" i="184" s="1"/>
  <c r="V16" i="184" s="1"/>
  <c r="V17" i="184" s="1"/>
  <c r="V18" i="184" s="1"/>
  <c r="V19" i="184" s="1"/>
  <c r="V20" i="184" s="1"/>
  <c r="V21" i="184" s="1"/>
  <c r="V22" i="184" s="1"/>
  <c r="V23" i="184" s="1"/>
  <c r="V24" i="184" s="1"/>
  <c r="V25" i="184" s="1"/>
  <c r="V26" i="184" s="1"/>
  <c r="V27" i="184" s="1"/>
  <c r="V28" i="184" s="1"/>
  <c r="V29" i="184" s="1"/>
  <c r="V30" i="184" s="1"/>
  <c r="V31" i="184" s="1"/>
  <c r="V32" i="184" s="1"/>
  <c r="V33" i="184" s="1"/>
  <c r="V34" i="184" s="1"/>
  <c r="V35" i="184" s="1"/>
  <c r="V36" i="184" s="1"/>
  <c r="V37" i="184" s="1"/>
  <c r="V38" i="184" s="1"/>
  <c r="V39" i="184" s="1"/>
  <c r="V40" i="184" s="1"/>
  <c r="V41" i="184" s="1"/>
  <c r="V42" i="184" s="1"/>
  <c r="V43" i="184" s="1"/>
  <c r="V44" i="184" s="1"/>
  <c r="V45" i="184" s="1"/>
  <c r="V46" i="184" s="1"/>
  <c r="V47" i="184" s="1"/>
  <c r="V48" i="184" s="1"/>
  <c r="V49" i="184" s="1"/>
  <c r="V50" i="184" s="1"/>
  <c r="V51" i="184" s="1"/>
  <c r="V52" i="184" s="1"/>
  <c r="V53" i="184" s="1"/>
  <c r="V54" i="184" s="1"/>
  <c r="V55" i="184" s="1"/>
  <c r="V56" i="184" s="1"/>
  <c r="V57" i="184" s="1"/>
  <c r="V58" i="184" s="1"/>
  <c r="V59" i="184" s="1"/>
  <c r="V60" i="184" s="1"/>
  <c r="V61" i="184" s="1"/>
  <c r="V62" i="184" s="1"/>
  <c r="V63" i="184" s="1"/>
  <c r="V64" i="184" s="1"/>
  <c r="V65" i="184" s="1"/>
  <c r="V66" i="184" s="1"/>
  <c r="V67" i="184" s="1"/>
  <c r="V68" i="184" s="1"/>
  <c r="V69" i="184" s="1"/>
  <c r="V70" i="184" s="1"/>
  <c r="V71" i="184" s="1"/>
  <c r="V72" i="184" s="1"/>
  <c r="V73" i="184" s="1"/>
  <c r="V74" i="184" s="1"/>
  <c r="V75" i="184" s="1"/>
  <c r="V76" i="184" s="1"/>
  <c r="V77" i="184" s="1"/>
  <c r="V78" i="184" s="1"/>
  <c r="V79" i="184" s="1"/>
  <c r="V80" i="184" s="1"/>
  <c r="V81" i="184" s="1"/>
  <c r="V82" i="184" s="1"/>
  <c r="V83" i="184" s="1"/>
  <c r="V84" i="184" s="1"/>
  <c r="V85" i="184" s="1"/>
  <c r="V86" i="184" s="1"/>
  <c r="V87" i="184" s="1"/>
  <c r="V88" i="184" s="1"/>
  <c r="V89" i="184" s="1"/>
  <c r="V90" i="184" s="1"/>
  <c r="V91" i="184" s="1"/>
  <c r="V92" i="184" s="1"/>
  <c r="V93" i="184" s="1"/>
  <c r="V94" i="184" s="1"/>
  <c r="V95" i="184" s="1"/>
  <c r="V96" i="184" s="1"/>
  <c r="V97" i="184" s="1"/>
  <c r="V98" i="184" s="1"/>
  <c r="V99" i="184" s="1"/>
  <c r="V100" i="184" s="1"/>
  <c r="AD4" i="184"/>
  <c r="AD5" i="184" s="1"/>
  <c r="AD6" i="184" s="1"/>
  <c r="AD7" i="184" s="1"/>
  <c r="AD8" i="184" s="1"/>
  <c r="AD9" i="184" s="1"/>
  <c r="AD10" i="184" s="1"/>
  <c r="AD11" i="184" s="1"/>
  <c r="AD12" i="184" s="1"/>
  <c r="AD13" i="184" s="1"/>
  <c r="AD14" i="184" s="1"/>
  <c r="AD15" i="184" s="1"/>
  <c r="AD16" i="184" s="1"/>
  <c r="AD17" i="184" s="1"/>
  <c r="AD18" i="184" s="1"/>
  <c r="AD19" i="184" s="1"/>
  <c r="AD20" i="184" s="1"/>
  <c r="AD21" i="184" s="1"/>
  <c r="AD22" i="184" s="1"/>
  <c r="AD23" i="184" s="1"/>
  <c r="AD24" i="184" s="1"/>
  <c r="AD25" i="184" s="1"/>
  <c r="AD26" i="184" s="1"/>
  <c r="AD27" i="184" s="1"/>
  <c r="AD28" i="184" s="1"/>
  <c r="AD29" i="184" s="1"/>
  <c r="AD30" i="184" s="1"/>
  <c r="AD31" i="184" s="1"/>
  <c r="AD32" i="184" s="1"/>
  <c r="AD33" i="184" s="1"/>
  <c r="AD34" i="184" s="1"/>
  <c r="AD35" i="184" s="1"/>
  <c r="AD36" i="184" s="1"/>
  <c r="AD37" i="184" s="1"/>
  <c r="AD38" i="184" s="1"/>
  <c r="AD39" i="184" s="1"/>
  <c r="AD40" i="184" s="1"/>
  <c r="AD41" i="184" s="1"/>
  <c r="AD42" i="184" s="1"/>
  <c r="AD43" i="184" s="1"/>
  <c r="AD44" i="184" s="1"/>
  <c r="AD45" i="184" s="1"/>
  <c r="AD46" i="184" s="1"/>
  <c r="AD47" i="184" s="1"/>
  <c r="AD48" i="184" s="1"/>
  <c r="AD49" i="184" s="1"/>
  <c r="AD50" i="184" s="1"/>
  <c r="AD51" i="184" s="1"/>
  <c r="AD52" i="184" s="1"/>
  <c r="AD53" i="184" s="1"/>
  <c r="AD54" i="184" s="1"/>
  <c r="AD55" i="184" s="1"/>
  <c r="AD56" i="184" s="1"/>
  <c r="AD57" i="184" s="1"/>
  <c r="AD58" i="184" s="1"/>
  <c r="AD59" i="184" s="1"/>
  <c r="AD60" i="184" s="1"/>
  <c r="AD61" i="184" s="1"/>
  <c r="AD62" i="184" s="1"/>
  <c r="AD63" i="184" s="1"/>
  <c r="AD64" i="184" s="1"/>
  <c r="AD65" i="184" s="1"/>
  <c r="AD66" i="184" s="1"/>
  <c r="AD67" i="184" s="1"/>
  <c r="AD68" i="184" s="1"/>
  <c r="AD69" i="184" s="1"/>
  <c r="AD70" i="184" s="1"/>
  <c r="AD71" i="184" s="1"/>
  <c r="AD72" i="184" s="1"/>
  <c r="AD73" i="184" s="1"/>
  <c r="AD74" i="184" s="1"/>
  <c r="AD75" i="184" s="1"/>
  <c r="AD76" i="184" s="1"/>
  <c r="AD77" i="184" s="1"/>
  <c r="AD78" i="184" s="1"/>
  <c r="AD79" i="184" s="1"/>
  <c r="AD80" i="184" s="1"/>
  <c r="AD81" i="184" s="1"/>
  <c r="AD82" i="184" s="1"/>
  <c r="AD83" i="184" s="1"/>
  <c r="AD84" i="184" s="1"/>
  <c r="AD85" i="184" s="1"/>
  <c r="AD86" i="184" s="1"/>
  <c r="AD87" i="184" s="1"/>
  <c r="AD88" i="184" s="1"/>
  <c r="AD89" i="184" s="1"/>
  <c r="AD90" i="184" s="1"/>
  <c r="AD91" i="184" s="1"/>
  <c r="AD92" i="184" s="1"/>
  <c r="AD93" i="184" s="1"/>
  <c r="AD94" i="184" s="1"/>
  <c r="AD95" i="184" s="1"/>
  <c r="AD96" i="184" s="1"/>
  <c r="AD97" i="184" s="1"/>
  <c r="AD98" i="184" s="1"/>
  <c r="AD99" i="184" s="1"/>
  <c r="AD100" i="184" s="1"/>
  <c r="M8" i="101"/>
  <c r="W4" i="184"/>
  <c r="W5" i="184" s="1"/>
  <c r="W6" i="184" s="1"/>
  <c r="W7" i="184" s="1"/>
  <c r="W8" i="184" s="1"/>
  <c r="W9" i="184" s="1"/>
  <c r="W10" i="184" s="1"/>
  <c r="W11" i="184" s="1"/>
  <c r="W12" i="184" s="1"/>
  <c r="W13" i="184" s="1"/>
  <c r="W14" i="184" s="1"/>
  <c r="W15" i="184" s="1"/>
  <c r="W16" i="184" s="1"/>
  <c r="W17" i="184" s="1"/>
  <c r="W18" i="184" s="1"/>
  <c r="W19" i="184" s="1"/>
  <c r="W20" i="184" s="1"/>
  <c r="W21" i="184" s="1"/>
  <c r="W22" i="184" s="1"/>
  <c r="W23" i="184" s="1"/>
  <c r="W24" i="184" s="1"/>
  <c r="W25" i="184" s="1"/>
  <c r="W26" i="184" s="1"/>
  <c r="W27" i="184" s="1"/>
  <c r="W28" i="184" s="1"/>
  <c r="W29" i="184" s="1"/>
  <c r="W30" i="184" s="1"/>
  <c r="W31" i="184" s="1"/>
  <c r="W32" i="184" s="1"/>
  <c r="W33" i="184" s="1"/>
  <c r="W34" i="184" s="1"/>
  <c r="W35" i="184" s="1"/>
  <c r="W36" i="184" s="1"/>
  <c r="W37" i="184" s="1"/>
  <c r="W38" i="184" s="1"/>
  <c r="W39" i="184" s="1"/>
  <c r="W40" i="184" s="1"/>
  <c r="W41" i="184" s="1"/>
  <c r="W42" i="184" s="1"/>
  <c r="W43" i="184" s="1"/>
  <c r="W44" i="184" s="1"/>
  <c r="W45" i="184" s="1"/>
  <c r="W46" i="184" s="1"/>
  <c r="W47" i="184" s="1"/>
  <c r="W48" i="184" s="1"/>
  <c r="W49" i="184" s="1"/>
  <c r="W50" i="184" s="1"/>
  <c r="W51" i="184" s="1"/>
  <c r="W52" i="184" s="1"/>
  <c r="W53" i="184" s="1"/>
  <c r="W54" i="184" s="1"/>
  <c r="W55" i="184" s="1"/>
  <c r="W56" i="184" s="1"/>
  <c r="W57" i="184" s="1"/>
  <c r="W58" i="184" s="1"/>
  <c r="W59" i="184" s="1"/>
  <c r="W60" i="184" s="1"/>
  <c r="W61" i="184" s="1"/>
  <c r="W62" i="184" s="1"/>
  <c r="W63" i="184" s="1"/>
  <c r="W64" i="184" s="1"/>
  <c r="W65" i="184" s="1"/>
  <c r="W66" i="184" s="1"/>
  <c r="W67" i="184" s="1"/>
  <c r="W68" i="184" s="1"/>
  <c r="W69" i="184" s="1"/>
  <c r="W70" i="184" s="1"/>
  <c r="W71" i="184" s="1"/>
  <c r="W72" i="184" s="1"/>
  <c r="W73" i="184" s="1"/>
  <c r="W74" i="184" s="1"/>
  <c r="W75" i="184" s="1"/>
  <c r="W76" i="184" s="1"/>
  <c r="W77" i="184" s="1"/>
  <c r="W78" i="184" s="1"/>
  <c r="W79" i="184" s="1"/>
  <c r="W80" i="184" s="1"/>
  <c r="W81" i="184" s="1"/>
  <c r="W82" i="184" s="1"/>
  <c r="W83" i="184" s="1"/>
  <c r="W84" i="184" s="1"/>
  <c r="W85" i="184" s="1"/>
  <c r="W86" i="184" s="1"/>
  <c r="W87" i="184" s="1"/>
  <c r="W88" i="184" s="1"/>
  <c r="W89" i="184" s="1"/>
  <c r="W90" i="184" s="1"/>
  <c r="W91" i="184" s="1"/>
  <c r="W92" i="184" s="1"/>
  <c r="W93" i="184" s="1"/>
  <c r="W94" i="184" s="1"/>
  <c r="W95" i="184" s="1"/>
  <c r="W96" i="184" s="1"/>
  <c r="W97" i="184" s="1"/>
  <c r="W98" i="184" s="1"/>
  <c r="W99" i="184" s="1"/>
  <c r="W100" i="184" s="1"/>
  <c r="J18" i="186"/>
  <c r="J17" i="186"/>
  <c r="S27" i="186"/>
  <c r="S26" i="186"/>
  <c r="E18" i="186"/>
  <c r="E17" i="186"/>
  <c r="M18" i="186"/>
  <c r="M17" i="186"/>
  <c r="O17" i="186"/>
  <c r="O18" i="186"/>
  <c r="L18" i="186"/>
  <c r="L17" i="186"/>
  <c r="N17" i="186"/>
  <c r="N18" i="186"/>
  <c r="L27" i="186"/>
  <c r="L26" i="186"/>
  <c r="AG26" i="186"/>
  <c r="AG27" i="186" s="1"/>
  <c r="F17" i="186"/>
  <c r="F18" i="186"/>
  <c r="H17" i="186"/>
  <c r="H18" i="186"/>
  <c r="D18" i="186"/>
  <c r="D17" i="186"/>
  <c r="D70" i="186"/>
  <c r="D69" i="186"/>
  <c r="D68" i="186"/>
  <c r="D67" i="186"/>
  <c r="D66" i="186"/>
  <c r="AF26" i="186"/>
  <c r="AF27" i="186" s="1"/>
  <c r="G17" i="186"/>
  <c r="G18" i="186"/>
  <c r="AI27" i="186"/>
  <c r="AI26" i="186"/>
  <c r="Q49" i="186"/>
  <c r="I17" i="186"/>
  <c r="I18" i="186"/>
  <c r="G27" i="186"/>
  <c r="G26" i="186"/>
  <c r="O56" i="186"/>
  <c r="M26" i="186"/>
  <c r="AH26" i="186"/>
  <c r="V36" i="186"/>
  <c r="V37" i="186" s="1"/>
  <c r="V38" i="186" s="1"/>
  <c r="AD26" i="186"/>
  <c r="B25" i="186"/>
  <c r="E26" i="169"/>
  <c r="E29" i="177"/>
  <c r="E28" i="169"/>
  <c r="E27" i="176"/>
  <c r="E26" i="177"/>
  <c r="E29" i="176"/>
  <c r="E28" i="177"/>
  <c r="E27" i="169"/>
  <c r="E26" i="176"/>
  <c r="E29" i="169"/>
  <c r="E28" i="176"/>
  <c r="E27" i="177"/>
  <c r="B35" i="186"/>
  <c r="AB52" i="185" l="1"/>
  <c r="AE4" i="184"/>
  <c r="Q6" i="184"/>
  <c r="AE5" i="184"/>
  <c r="A18" i="186"/>
  <c r="AD28" i="186"/>
  <c r="E32" i="169"/>
  <c r="C32" i="177" s="1"/>
  <c r="F32" i="177" s="1"/>
  <c r="D8" i="158" s="1"/>
  <c r="E8" i="158" s="1"/>
  <c r="E32" i="176"/>
  <c r="Q7" i="184" l="1"/>
  <c r="AE6" i="184"/>
  <c r="B12" i="158"/>
  <c r="B13" i="158"/>
  <c r="AE7" i="184" l="1"/>
  <c r="Q8" i="184"/>
  <c r="Q9" i="184" l="1"/>
  <c r="AE8" i="184"/>
  <c r="Q10" i="184" l="1"/>
  <c r="AE9" i="184"/>
  <c r="AE10" i="184" l="1"/>
  <c r="Q11" i="184"/>
  <c r="AE11" i="184" l="1"/>
  <c r="Q12" i="184"/>
  <c r="Q13" i="184" l="1"/>
  <c r="AE12" i="184"/>
  <c r="Q14" i="184" l="1"/>
  <c r="AE13" i="184"/>
  <c r="Q15" i="184" l="1"/>
  <c r="AE14" i="184"/>
  <c r="AE15" i="184" l="1"/>
  <c r="Q16" i="184"/>
  <c r="Q17" i="184" l="1"/>
  <c r="AE16" i="184"/>
  <c r="Q18" i="184" l="1"/>
  <c r="AE17" i="184"/>
  <c r="Q19" i="184" l="1"/>
  <c r="AE18" i="184"/>
  <c r="AE19" i="184" l="1"/>
  <c r="Q20" i="184"/>
  <c r="Q21" i="184" l="1"/>
  <c r="AE20" i="184"/>
  <c r="Q22" i="184" l="1"/>
  <c r="AE21" i="184"/>
  <c r="Q23" i="184" l="1"/>
  <c r="AE22" i="184"/>
  <c r="Q24" i="184" l="1"/>
  <c r="AE23" i="184"/>
  <c r="Q25" i="184" l="1"/>
  <c r="AE24" i="184"/>
  <c r="Q26" i="184" l="1"/>
  <c r="AE25" i="184"/>
  <c r="AE26" i="184" l="1"/>
  <c r="Q27" i="184"/>
  <c r="AE27" i="184" l="1"/>
  <c r="Q28" i="184"/>
  <c r="Q29" i="184" l="1"/>
  <c r="AE28" i="184"/>
  <c r="Q30" i="184" l="1"/>
  <c r="AE29" i="184"/>
  <c r="Q31" i="184" l="1"/>
  <c r="AE30" i="184"/>
  <c r="AE31" i="184" l="1"/>
  <c r="Q32" i="184"/>
  <c r="AE32" i="184" l="1"/>
  <c r="Q33" i="184"/>
  <c r="Q34" i="184" l="1"/>
  <c r="AE33" i="184"/>
  <c r="Q35" i="184" l="1"/>
  <c r="AE34" i="184"/>
  <c r="AE35" i="184" l="1"/>
  <c r="Q36" i="184"/>
  <c r="Q37" i="184" l="1"/>
  <c r="AE36" i="184"/>
  <c r="AE37" i="184" l="1"/>
  <c r="Q38" i="184"/>
  <c r="AE38" i="184" l="1"/>
  <c r="Q39" i="184"/>
  <c r="Q40" i="184" l="1"/>
  <c r="AE39" i="184"/>
  <c r="Q41" i="184" l="1"/>
  <c r="AE40" i="184"/>
  <c r="Q42" i="184" l="1"/>
  <c r="AE41" i="184"/>
  <c r="Q43" i="184" l="1"/>
  <c r="AE42" i="184"/>
  <c r="Q44" i="184" l="1"/>
  <c r="AE43" i="184"/>
  <c r="Q45" i="184" l="1"/>
  <c r="AE44" i="184"/>
  <c r="Q46" i="184" l="1"/>
  <c r="AE45" i="184"/>
  <c r="AE46" i="184" l="1"/>
  <c r="Q47" i="184"/>
  <c r="Q48" i="184" l="1"/>
  <c r="AE47" i="184"/>
  <c r="Q49" i="184" l="1"/>
  <c r="AE48" i="184"/>
  <c r="Q50" i="184" l="1"/>
  <c r="AE49" i="184"/>
  <c r="Q51" i="184" l="1"/>
  <c r="AE50" i="184"/>
  <c r="AE51" i="184" l="1"/>
  <c r="Q52" i="184"/>
  <c r="Q53" i="184" l="1"/>
  <c r="AE52" i="184"/>
  <c r="Q54" i="184" l="1"/>
  <c r="AE53" i="184"/>
  <c r="AE54" i="184" l="1"/>
  <c r="Q55" i="184"/>
  <c r="AE55" i="184" l="1"/>
  <c r="Q56" i="184"/>
  <c r="Q57" i="184" l="1"/>
  <c r="AE56" i="184"/>
  <c r="Q58" i="184" l="1"/>
  <c r="AE57" i="184"/>
  <c r="Q59" i="184" l="1"/>
  <c r="AE58" i="184"/>
  <c r="AE59" i="184" l="1"/>
  <c r="Q60" i="184"/>
  <c r="Q61" i="184" l="1"/>
  <c r="AE60" i="184"/>
  <c r="Q62" i="184" l="1"/>
  <c r="AE61" i="184"/>
  <c r="Q63" i="184" l="1"/>
  <c r="AE62" i="184"/>
  <c r="AE63" i="184" l="1"/>
  <c r="Q64" i="184"/>
  <c r="Q65" i="184" l="1"/>
  <c r="AE64" i="184"/>
  <c r="Q66" i="184" l="1"/>
  <c r="AE65" i="184"/>
  <c r="Q67" i="184" l="1"/>
  <c r="AE66" i="184"/>
  <c r="Q68" i="184" l="1"/>
  <c r="AE67" i="184"/>
  <c r="Q69" i="184" l="1"/>
  <c r="AE68" i="184"/>
  <c r="AE69" i="184" l="1"/>
  <c r="Q70" i="184"/>
  <c r="Q71" i="184" l="1"/>
  <c r="AE70" i="184"/>
  <c r="AE71" i="184" l="1"/>
  <c r="Q72" i="184"/>
  <c r="Q73" i="184" l="1"/>
  <c r="AE72" i="184"/>
  <c r="Q74" i="184" l="1"/>
  <c r="AE73" i="184"/>
  <c r="Q75" i="184" l="1"/>
  <c r="AE74" i="184"/>
  <c r="Q76" i="184" l="1"/>
  <c r="AE75" i="184"/>
  <c r="Q77" i="184" l="1"/>
  <c r="AE76" i="184"/>
  <c r="Q78" i="184" l="1"/>
  <c r="AE77" i="184"/>
  <c r="Q79" i="184" l="1"/>
  <c r="AE78" i="184"/>
  <c r="AE79" i="184" l="1"/>
  <c r="Q80" i="184"/>
  <c r="Q81" i="184" l="1"/>
  <c r="AE80" i="184"/>
  <c r="Q82" i="184" l="1"/>
  <c r="AE81" i="184"/>
  <c r="Q83" i="184" l="1"/>
  <c r="AE82" i="184"/>
  <c r="Q84" i="184" l="1"/>
  <c r="AE83" i="184"/>
  <c r="Q85" i="184" l="1"/>
  <c r="AE84" i="184"/>
  <c r="Q86" i="184" l="1"/>
  <c r="AE85" i="184"/>
  <c r="Q87" i="184" l="1"/>
  <c r="AE86" i="184"/>
  <c r="AE87" i="184" l="1"/>
  <c r="Q88" i="184"/>
  <c r="Q89" i="184" l="1"/>
  <c r="AE88" i="184"/>
  <c r="Q90" i="184" l="1"/>
  <c r="AE89" i="184"/>
  <c r="Q91" i="184" l="1"/>
  <c r="AE90" i="184"/>
  <c r="Q92" i="184" l="1"/>
  <c r="AE91" i="184"/>
  <c r="AE92" i="184" l="1"/>
  <c r="Q93" i="184"/>
  <c r="Q94" i="184" l="1"/>
  <c r="AE93" i="184"/>
  <c r="Q95" i="184" l="1"/>
  <c r="AE94" i="184"/>
  <c r="AE95" i="184" l="1"/>
  <c r="Q96" i="184"/>
  <c r="Q97" i="184" l="1"/>
  <c r="AE96" i="184"/>
  <c r="Q98" i="184" l="1"/>
  <c r="AE97" i="184"/>
  <c r="Q99" i="184" l="1"/>
  <c r="AE98" i="184"/>
  <c r="Q100" i="184" l="1"/>
  <c r="AE100" i="184" s="1"/>
  <c r="AE99" i="18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Query - 03 Property" description="Connection to the '03 Property' query in the workbook." type="5" refreshedVersion="2" saveData="1">
    <dbPr connection="" command=""/>
  </connection>
  <connection id="2" xr16:uid="{00000000-0015-0000-FFFF-FFFF01000000}" name="Query - 04 Boundaries" description="Connection to the '04 Boundaries' query in the workbook." type="5" refreshedVersion="2" saveData="1">
    <dbPr connection="" command=""/>
  </connection>
  <connection id="3" xr16:uid="{00000000-0015-0000-FFFF-FFFF02000000}" name="Query - 05 Inspections" description="Connection to the '05 Inspections' query in the workbook." type="5" refreshedVersion="2" saveData="1">
    <dbPr connection="" command=""/>
  </connection>
  <connection id="4" xr16:uid="{00000000-0015-0000-FFFF-FFFF03000000}" name="Query - 06 Building" description="Connection to the '06 Building' query in the workbook." type="5" refreshedVersion="2" saveData="1">
    <dbPr connection="" command=""/>
  </connection>
  <connection id="5" xr16:uid="{00000000-0015-0000-FFFF-FFFF04000000}" name="Query - 06 Building2" description="Connection to the '06 Building2' query in the workbook." type="5" refreshedVersion="2" saveData="1">
    <dbPr connection="" command=""/>
  </connection>
  <connection id="6" xr16:uid="{00000000-0015-0000-FFFF-FFFF05000000}" name="Query - 07 PhotosandLoc" description="Connection to the '07 PhotosandLoc' query in the workbook." type="5" refreshedVersion="2"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<sst xmlns="http://schemas.openxmlformats.org/spreadsheetml/2006/main" count="4496" uniqueCount="1576">
  <si>
    <t>Converter</t>
  </si>
  <si>
    <t>Enter Land Value Per Cent</t>
  </si>
  <si>
    <r>
      <rPr>
        <b/>
        <sz val="12"/>
        <color theme="1"/>
        <rFont val="Calibri"/>
        <family val="2"/>
        <scheme val="minor"/>
      </rPr>
      <t xml:space="preserve">Land Value/SqM
</t>
    </r>
    <r>
      <rPr>
        <b/>
        <sz val="8"/>
        <color theme="1"/>
        <rFont val="Calibri"/>
        <family val="2"/>
        <scheme val="minor"/>
      </rPr>
      <t>{for HDFC and Muthoot)</t>
    </r>
  </si>
  <si>
    <r>
      <rPr>
        <b/>
        <sz val="12"/>
        <color theme="1"/>
        <rFont val="Calibri"/>
        <family val="2"/>
        <scheme val="minor"/>
      </rPr>
      <t xml:space="preserve">Land Value/SqFt 
</t>
    </r>
    <r>
      <rPr>
        <b/>
        <sz val="9"/>
        <color theme="1"/>
        <rFont val="Calibri"/>
        <family val="2"/>
        <scheme val="minor"/>
      </rPr>
      <t>{for Bajaj}</t>
    </r>
  </si>
  <si>
    <t>SqFt</t>
  </si>
  <si>
    <t>to</t>
  </si>
  <si>
    <t>SqM</t>
  </si>
  <si>
    <t>Building Value</t>
  </si>
  <si>
    <t>Rate per SqFt.</t>
  </si>
  <si>
    <t>Rate Per SqM</t>
  </si>
  <si>
    <t>Ares</t>
  </si>
  <si>
    <t>Cent</t>
  </si>
  <si>
    <t>Reconstruction Cost</t>
  </si>
  <si>
    <t>RCC Roof</t>
  </si>
  <si>
    <t>Year of Construction</t>
  </si>
  <si>
    <t>Age of Building</t>
  </si>
  <si>
    <t>Tiled Roof with steel purlings</t>
  </si>
  <si>
    <t>Roof Type</t>
  </si>
  <si>
    <t>Total Life of Building</t>
  </si>
  <si>
    <t>Old Tiled/Sheet Roof</t>
  </si>
  <si>
    <t>ce16s57023133</t>
  </si>
  <si>
    <t>I</t>
  </si>
  <si>
    <t>Application Details</t>
  </si>
  <si>
    <t>Save file and Folder</t>
  </si>
  <si>
    <t>File Name</t>
  </si>
  <si>
    <t>*</t>
  </si>
  <si>
    <t>1.Bank File No.</t>
  </si>
  <si>
    <t>2.Applicant</t>
  </si>
  <si>
    <t>Folder Name</t>
  </si>
  <si>
    <t>3.Loan Type</t>
  </si>
  <si>
    <t>Purchase</t>
  </si>
  <si>
    <t>District</t>
  </si>
  <si>
    <t>Kannur</t>
  </si>
  <si>
    <t>Date</t>
  </si>
  <si>
    <t>If Alappuzha,Village</t>
  </si>
  <si>
    <t>None of Above</t>
  </si>
  <si>
    <t>Office File No for Drafting</t>
  </si>
  <si>
    <t>Site Staff</t>
  </si>
  <si>
    <t>106JOJ</t>
  </si>
  <si>
    <t>Status</t>
  </si>
  <si>
    <t>Office Staff</t>
  </si>
  <si>
    <t>118XXX</t>
  </si>
  <si>
    <t>Type of Document</t>
  </si>
  <si>
    <t>Agreement</t>
  </si>
  <si>
    <t>Title Deed</t>
  </si>
  <si>
    <t>Possession Certificate</t>
  </si>
  <si>
    <t>Land Tax Receipt</t>
  </si>
  <si>
    <t>Descrapency In Doc No.</t>
  </si>
  <si>
    <t>Document No.</t>
  </si>
  <si>
    <t>153/2022</t>
  </si>
  <si>
    <t>294/2025</t>
  </si>
  <si>
    <t>Schedule No.</t>
  </si>
  <si>
    <t>Document Date.</t>
  </si>
  <si>
    <t>Seller Name</t>
  </si>
  <si>
    <t>Jayan</t>
  </si>
  <si>
    <t>Shantha and leela</t>
  </si>
  <si>
    <t>Owner/ Purchaser Name</t>
  </si>
  <si>
    <t>Jobin</t>
  </si>
  <si>
    <t>Thiruvanthapuram</t>
  </si>
  <si>
    <t>Sub-District</t>
  </si>
  <si>
    <t>Murukkumpuzha</t>
  </si>
  <si>
    <t>Taluk</t>
  </si>
  <si>
    <t>Thiruvanthupuram</t>
  </si>
  <si>
    <t>Village</t>
  </si>
  <si>
    <t>Veilyoor</t>
  </si>
  <si>
    <t>Local Body</t>
  </si>
  <si>
    <t>Grama Panchayat</t>
  </si>
  <si>
    <t>Local Body Name</t>
  </si>
  <si>
    <t>Mangalapuram</t>
  </si>
  <si>
    <t>Re-Sy Block No.</t>
  </si>
  <si>
    <t>Re-Sy No.</t>
  </si>
  <si>
    <t>Re-Sy Sub-Div No.</t>
  </si>
  <si>
    <t>21-2</t>
  </si>
  <si>
    <t>2-1</t>
  </si>
  <si>
    <t>21</t>
  </si>
  <si>
    <t xml:space="preserve">21-2 </t>
  </si>
  <si>
    <t>21-1</t>
  </si>
  <si>
    <t>Sy Block No.</t>
  </si>
  <si>
    <t>Sy No.</t>
  </si>
  <si>
    <t>Sy Sub-Div No.</t>
  </si>
  <si>
    <t>Old-Sy Block No.</t>
  </si>
  <si>
    <t>Old-Sy No.</t>
  </si>
  <si>
    <t>Old-Sy Sub-Div No.</t>
  </si>
  <si>
    <t>Land Extent in Ares</t>
  </si>
  <si>
    <t>Class of Land</t>
  </si>
  <si>
    <t>Wet Land</t>
  </si>
  <si>
    <t xml:space="preserve">Paddy Land </t>
  </si>
  <si>
    <t>Dry Land</t>
  </si>
  <si>
    <t>Boundaries</t>
  </si>
  <si>
    <t>Beena</t>
  </si>
  <si>
    <t>Vijayalakshmi Ramkumar</t>
  </si>
  <si>
    <t>North</t>
  </si>
  <si>
    <t>Nadavarambu</t>
  </si>
  <si>
    <t>Bhaji</t>
  </si>
  <si>
    <t>East</t>
  </si>
  <si>
    <t>Nilam</t>
  </si>
  <si>
    <t>Murali</t>
  </si>
  <si>
    <t>South</t>
  </si>
  <si>
    <t>Shibu Et Al</t>
  </si>
  <si>
    <t>Private way</t>
  </si>
  <si>
    <t>West</t>
  </si>
  <si>
    <t>Access Nature</t>
  </si>
  <si>
    <t>Nil</t>
  </si>
  <si>
    <t>Footway</t>
  </si>
  <si>
    <t>Private</t>
  </si>
  <si>
    <t>If Private No. of Users</t>
  </si>
  <si>
    <t>Self+Family members.</t>
  </si>
  <si>
    <t>Self + Multiple user.</t>
  </si>
  <si>
    <t>Width in metre</t>
  </si>
  <si>
    <t>Private road demarcation</t>
  </si>
  <si>
    <t>Building Details</t>
  </si>
  <si>
    <t>Building No</t>
  </si>
  <si>
    <t>Occupency Status</t>
  </si>
  <si>
    <t>Type</t>
  </si>
  <si>
    <t>RCC Roof percentage</t>
  </si>
  <si>
    <t>Tiled Roof percentage</t>
  </si>
  <si>
    <t>Sheet Roof Percentage</t>
  </si>
  <si>
    <t>SetBacks</t>
  </si>
  <si>
    <t>Front Yard</t>
  </si>
  <si>
    <t>Side-1</t>
  </si>
  <si>
    <t>Side-2</t>
  </si>
  <si>
    <t>Rear Yard</t>
  </si>
  <si>
    <t>For Plot Development</t>
  </si>
  <si>
    <t>No. of Plots</t>
  </si>
  <si>
    <t>Lat and long of the property</t>
  </si>
  <si>
    <t>9.936983394040208, 76.31531130093352</t>
  </si>
  <si>
    <t>SL No</t>
  </si>
  <si>
    <t>Items</t>
  </si>
  <si>
    <t>Building 1</t>
  </si>
  <si>
    <t>Building 2</t>
  </si>
  <si>
    <t>Category -I Panchayats List</t>
  </si>
  <si>
    <t>Category</t>
  </si>
  <si>
    <t>Category-II</t>
  </si>
  <si>
    <t>Occupancy as per Building Rule</t>
  </si>
  <si>
    <t xml:space="preserve">Lodging houses &amp; 
Special Residential A2  </t>
  </si>
  <si>
    <t>Residential A1</t>
  </si>
  <si>
    <t>Occupaid at Site</t>
  </si>
  <si>
    <t>Owner</t>
  </si>
  <si>
    <t>No. of Floors</t>
  </si>
  <si>
    <t>No. of Rooms</t>
  </si>
  <si>
    <t>No. of Kitchen</t>
  </si>
  <si>
    <t>No. of Toilets</t>
  </si>
  <si>
    <t>No. of Carpark</t>
  </si>
  <si>
    <t>Ground Floor Area in SqM</t>
  </si>
  <si>
    <t>Total BUA in SqM</t>
  </si>
  <si>
    <t>Total Floor Area in SqM</t>
  </si>
  <si>
    <t>RCC Roof %</t>
  </si>
  <si>
    <t>Tile Roof %</t>
  </si>
  <si>
    <t>Sheet Roof %</t>
  </si>
  <si>
    <t>Front - Maximum</t>
  </si>
  <si>
    <t>Minimum</t>
  </si>
  <si>
    <t>Rear -Maximum</t>
  </si>
  <si>
    <t>Side-1 Maximum</t>
  </si>
  <si>
    <t>Side-2 Maximum</t>
  </si>
  <si>
    <t>1st Foundation Construction Year</t>
  </si>
  <si>
    <t>% Constructed</t>
  </si>
  <si>
    <t>2nd Foundation Construction Year</t>
  </si>
  <si>
    <t>3rd Foundation Construction Year</t>
  </si>
  <si>
    <t>4th Foundation Construction Year</t>
  </si>
  <si>
    <t>5th Foundation Construction Year</t>
  </si>
  <si>
    <t>Product</t>
  </si>
  <si>
    <t>remarks</t>
  </si>
  <si>
    <t>Documents Received and Not Received issues</t>
  </si>
  <si>
    <t>Discrepancy in Documents if any</t>
  </si>
  <si>
    <t>Discrepancy in Ownership</t>
  </si>
  <si>
    <t>Discrepancy in Survey numbers if any</t>
  </si>
  <si>
    <t>Property Address</t>
  </si>
  <si>
    <t>Land Classification</t>
  </si>
  <si>
    <t xml:space="preserve">Boundaries </t>
  </si>
  <si>
    <t>Right of Access and Access as per site condition</t>
  </si>
  <si>
    <t>FSI</t>
  </si>
  <si>
    <t>Setback</t>
  </si>
  <si>
    <t>Documents</t>
  </si>
  <si>
    <t>Plot Area</t>
  </si>
  <si>
    <t>Type of land</t>
  </si>
  <si>
    <t>Access Type</t>
  </si>
  <si>
    <t>Users</t>
  </si>
  <si>
    <t>Occupency</t>
  </si>
  <si>
    <t>HDFC</t>
  </si>
  <si>
    <t>Property Type</t>
  </si>
  <si>
    <t>Self only.</t>
  </si>
  <si>
    <t>Municipal Corporation</t>
  </si>
  <si>
    <t>Category-I</t>
  </si>
  <si>
    <t>Office/Shop</t>
  </si>
  <si>
    <t>COMMERCIAL</t>
  </si>
  <si>
    <t>Ready</t>
  </si>
  <si>
    <t>One Bedroom</t>
  </si>
  <si>
    <t>Rented</t>
  </si>
  <si>
    <t>Corporation</t>
  </si>
  <si>
    <t>Applicant</t>
  </si>
  <si>
    <t>Residential Flat</t>
  </si>
  <si>
    <t>INDUSTRIAL</t>
  </si>
  <si>
    <t>Under Construction</t>
  </si>
  <si>
    <t>One Room Kitchen</t>
  </si>
  <si>
    <t>Self Occupied</t>
  </si>
  <si>
    <t>Self + one other user.</t>
  </si>
  <si>
    <t>Municipality</t>
  </si>
  <si>
    <t>Land</t>
  </si>
  <si>
    <t>RESIDENTIAL</t>
  </si>
  <si>
    <t>Work not Started</t>
  </si>
  <si>
    <t>Two Bedroom</t>
  </si>
  <si>
    <t>Seller</t>
  </si>
  <si>
    <t>Sthirapuncha( Wet Land)</t>
  </si>
  <si>
    <t>Panchayat</t>
  </si>
  <si>
    <t>Self + 2 Other User.</t>
  </si>
  <si>
    <t>Vacant</t>
  </si>
  <si>
    <t>Rowhouse/Bungalow</t>
  </si>
  <si>
    <t>Three Bedroom</t>
  </si>
  <si>
    <t>TIR Report</t>
  </si>
  <si>
    <t>Asthirapuncha</t>
  </si>
  <si>
    <t>Part Owner and Part Rented</t>
  </si>
  <si>
    <t>Four Bedroom</t>
  </si>
  <si>
    <t>NA</t>
  </si>
  <si>
    <t>Location Sketch</t>
  </si>
  <si>
    <t>Thottam</t>
  </si>
  <si>
    <t>Five Bedroom</t>
  </si>
  <si>
    <t>Survey Sketch</t>
  </si>
  <si>
    <t>Converted Dry Land</t>
  </si>
  <si>
    <t>PWD</t>
  </si>
  <si>
    <t>Six Bedroom</t>
  </si>
  <si>
    <t>Building Permit</t>
  </si>
  <si>
    <t>SH</t>
  </si>
  <si>
    <t>Seven Bedroom</t>
  </si>
  <si>
    <t>Development Permit</t>
  </si>
  <si>
    <t>NH</t>
  </si>
  <si>
    <t>Eight Bedroom</t>
  </si>
  <si>
    <t>Approved Plan</t>
  </si>
  <si>
    <t>Nine Bedroom</t>
  </si>
  <si>
    <t>Engineers Plan</t>
  </si>
  <si>
    <t>Office</t>
  </si>
  <si>
    <t>Building Tax Receipt</t>
  </si>
  <si>
    <t>Pent House</t>
  </si>
  <si>
    <t>Building Certificate</t>
  </si>
  <si>
    <t>Plot</t>
  </si>
  <si>
    <t>Site Inspection</t>
  </si>
  <si>
    <t>Shop</t>
  </si>
  <si>
    <t>Sale Declaration</t>
  </si>
  <si>
    <t>X1</t>
  </si>
  <si>
    <t>Y1</t>
  </si>
  <si>
    <t>X</t>
  </si>
  <si>
    <t>Y</t>
  </si>
  <si>
    <t>(X1-X)^2</t>
  </si>
  <si>
    <t>(Y1-Y)^2</t>
  </si>
  <si>
    <t>Distance</t>
  </si>
  <si>
    <t>Distance in M</t>
  </si>
  <si>
    <t>Remarks</t>
  </si>
  <si>
    <t>Property Location</t>
  </si>
  <si>
    <t xml:space="preserve">Trivandrum Airport </t>
  </si>
  <si>
    <t>8.483522392702593, 76.91848422531444</t>
  </si>
  <si>
    <t>Kochi Airport</t>
  </si>
  <si>
    <t>10.153110644714866, 76.393291290874</t>
  </si>
  <si>
    <t>Calicut</t>
  </si>
  <si>
    <t>11.136329449163506, 75.95447156439819</t>
  </si>
  <si>
    <t>Kannur Airport</t>
  </si>
  <si>
    <t>11.917134319907335, 75.54616852946424</t>
  </si>
  <si>
    <t>Archaeological Survey of india</t>
  </si>
  <si>
    <t>Rock Cut Cave</t>
  </si>
  <si>
    <t>8.382530748214727, 76.99142482395224</t>
  </si>
  <si>
    <t>Anjengo Fort</t>
  </si>
  <si>
    <t>8.662676377187465, 76.76441678635129</t>
  </si>
  <si>
    <t>"Parasurama, Siva, Brahma and Matsy Temple"</t>
  </si>
  <si>
    <t>8.441568557077572, 76.95507035430236</t>
  </si>
  <si>
    <t>"Remains of Fort Kollam"</t>
  </si>
  <si>
    <t>8.881653150321231, 76.56850607810965</t>
  </si>
  <si>
    <t xml:space="preserve">List of National Parks (As on February, 2025) </t>
  </si>
  <si>
    <t>Anamudi Shola National Park</t>
  </si>
  <si>
    <t>10.190308776968322, 77.1772743336987</t>
  </si>
  <si>
    <t>Eravikulam National Park</t>
  </si>
  <si>
    <t>10.145358937789558, 77.03665173762484</t>
  </si>
  <si>
    <t>Mathikettan Shola National Park</t>
  </si>
  <si>
    <t>9.98465160254722, 77.24626600855393</t>
  </si>
  <si>
    <t>Pambadum Shola National Park</t>
  </si>
  <si>
    <t>10.126624561501282, 77.25817609528912</t>
  </si>
  <si>
    <t>Periyar National Park</t>
  </si>
  <si>
    <t>9.462887167840208, 77.22713882893463</t>
  </si>
  <si>
    <t>Silent Valley National Park</t>
  </si>
  <si>
    <t>11.06929981162406, 76.4282340310664</t>
  </si>
  <si>
    <t>Maximum permissible Coverage</t>
  </si>
  <si>
    <t>Maximum permissible F.S.I.</t>
  </si>
  <si>
    <t>Maximum Permissible Coverage</t>
  </si>
  <si>
    <t>OTR</t>
  </si>
  <si>
    <t>CAT I</t>
  </si>
  <si>
    <t>CAT II</t>
  </si>
  <si>
    <t>Floors</t>
  </si>
  <si>
    <t>Ground Floor</t>
  </si>
  <si>
    <t>Occupancy</t>
  </si>
  <si>
    <t>Ground + 1 Floor</t>
  </si>
  <si>
    <t>Ground + 2 Floor</t>
  </si>
  <si>
    <t>Ground + 3 Floor</t>
  </si>
  <si>
    <t>Educational B-HSS</t>
  </si>
  <si>
    <t>Ground + 4 Floor</t>
  </si>
  <si>
    <t>Educational B-Other</t>
  </si>
  <si>
    <t>Ground + 5 Floor</t>
  </si>
  <si>
    <t>Medical/Hospital C</t>
  </si>
  <si>
    <t>Ground + 6 Floor</t>
  </si>
  <si>
    <t xml:space="preserve">Assembly D </t>
  </si>
  <si>
    <t>Ground + 7 Floor</t>
  </si>
  <si>
    <t>Office E</t>
  </si>
  <si>
    <t>Ground + 8 Floor</t>
  </si>
  <si>
    <t>Mercantile/Commercial F</t>
  </si>
  <si>
    <t>Ground + 9 Floor</t>
  </si>
  <si>
    <t>Industrial-I G1</t>
  </si>
  <si>
    <t>Ground + 10 Floor</t>
  </si>
  <si>
    <t>Industrial-IIG2</t>
  </si>
  <si>
    <t>Ground + 11 Floor</t>
  </si>
  <si>
    <t>Storage H</t>
  </si>
  <si>
    <t>Ground + 12 Floor</t>
  </si>
  <si>
    <t>Hazardous I</t>
  </si>
  <si>
    <t>Ground + 13 Floor</t>
  </si>
  <si>
    <t>Multiplex complex J</t>
  </si>
  <si>
    <t>Ground + 14 Floor</t>
  </si>
  <si>
    <t>Plot Area in SqM</t>
  </si>
  <si>
    <t>Ground + 15 Floor</t>
  </si>
  <si>
    <t>Total Floor area on all floors/ Plot Area</t>
  </si>
  <si>
    <t>Coverage</t>
  </si>
  <si>
    <t>Ground + 16 Floor</t>
  </si>
  <si>
    <t>(GF BUA/Plot Area) %</t>
  </si>
  <si>
    <t>Ground + 17 Floor</t>
  </si>
  <si>
    <t>Building-1</t>
  </si>
  <si>
    <t>To report</t>
  </si>
  <si>
    <t>Ground + 18 Floor</t>
  </si>
  <si>
    <t>Actual</t>
  </si>
  <si>
    <t>Maximum Allowed</t>
  </si>
  <si>
    <t>Violation</t>
  </si>
  <si>
    <t xml:space="preserve">The building is located within the limits of the </t>
  </si>
  <si>
    <t xml:space="preserve"> and has </t>
  </si>
  <si>
    <t xml:space="preserve"> occupancy classification.</t>
  </si>
  <si>
    <t>Ground + 19 Floor</t>
  </si>
  <si>
    <t>Ground + 20 Floor</t>
  </si>
  <si>
    <t>Ground + 21 Floor</t>
  </si>
  <si>
    <t>Ground + 22 Floor</t>
  </si>
  <si>
    <t>Ground + 23 Floor</t>
  </si>
  <si>
    <t>Ground + 24 Floor</t>
  </si>
  <si>
    <t>Ground + 25 Floor</t>
  </si>
  <si>
    <t>Ground + 26 Floor</t>
  </si>
  <si>
    <t>Ground + 27 Floor</t>
  </si>
  <si>
    <t>Ground + 28 Floor</t>
  </si>
  <si>
    <t>Ground + 29 Floor</t>
  </si>
  <si>
    <t>Ground + 30 Floor</t>
  </si>
  <si>
    <t>Ground + 31 Floor</t>
  </si>
  <si>
    <t>Ground + 32 Floor</t>
  </si>
  <si>
    <t>Ground + 33 Floor</t>
  </si>
  <si>
    <t>Ground + 34 Floor</t>
  </si>
  <si>
    <t>Ground + 35 Floor</t>
  </si>
  <si>
    <t>Ground + 36 Floor</t>
  </si>
  <si>
    <t>Ground + 37 Floor</t>
  </si>
  <si>
    <t>Ground + 38 Floor</t>
  </si>
  <si>
    <t>Ground + 39 Floor</t>
  </si>
  <si>
    <t>Ground + 40 Floor</t>
  </si>
  <si>
    <t>Ground + 41 Floor</t>
  </si>
  <si>
    <t>Ground + 42 Floor</t>
  </si>
  <si>
    <t>Ground + 43 Floor</t>
  </si>
  <si>
    <t>Ground + 44 Floor</t>
  </si>
  <si>
    <t>Ground + 45 Floor</t>
  </si>
  <si>
    <t>Ground + 46 Floor</t>
  </si>
  <si>
    <t>TWo Buildings to report</t>
  </si>
  <si>
    <t>Ground + 47 Floor</t>
  </si>
  <si>
    <t>BUA</t>
  </si>
  <si>
    <t>Ground + 48 Floor</t>
  </si>
  <si>
    <t>Front AvG</t>
  </si>
  <si>
    <t>Front Min</t>
  </si>
  <si>
    <t>Rear Avg</t>
  </si>
  <si>
    <t>Rear Min</t>
  </si>
  <si>
    <t>Side Avg</t>
  </si>
  <si>
    <t>Side Min</t>
  </si>
  <si>
    <t>Ground + 49 Floor</t>
  </si>
  <si>
    <t>Ground + 50 Floor</t>
  </si>
  <si>
    <t>Ground + 51 Floor</t>
  </si>
  <si>
    <t>BUA&lt;=200 SqM</t>
  </si>
  <si>
    <t>Ground + 52 Floor</t>
  </si>
  <si>
    <t>BUA&lt;=200 SqM
Plot Area &lt;= 125 SqM</t>
  </si>
  <si>
    <t>Ground + 53 Floor</t>
  </si>
  <si>
    <t>Ground + 54 Floor</t>
  </si>
  <si>
    <t>BUA&gt;200 SqM</t>
  </si>
  <si>
    <t>Ground + 55 Floor</t>
  </si>
  <si>
    <t>Ground + 56 Floor</t>
  </si>
  <si>
    <t>Ground + 57 Floor</t>
  </si>
  <si>
    <t>Ground + 58 Floor</t>
  </si>
  <si>
    <t>BUA&gt;500 SqM</t>
  </si>
  <si>
    <t>Ground + 59 Floor</t>
  </si>
  <si>
    <t>Ground + 60 Floor</t>
  </si>
  <si>
    <t>Ground + 61 Floor</t>
  </si>
  <si>
    <t>Ground + 62 Floor</t>
  </si>
  <si>
    <t>Ground + 63 Floor</t>
  </si>
  <si>
    <t>Ground + 64 Floor</t>
  </si>
  <si>
    <t>BUA&gt;800 SqM</t>
  </si>
  <si>
    <t>Ground + 65 Floor</t>
  </si>
  <si>
    <t>Ground + 66 Floor</t>
  </si>
  <si>
    <t>BUA&lt;200 SqM</t>
  </si>
  <si>
    <t>Ground + 67 Floor</t>
  </si>
  <si>
    <t>Ground + 68 Floor</t>
  </si>
  <si>
    <t>Ground + 69 Floor</t>
  </si>
  <si>
    <t>Ground + 70 Floor</t>
  </si>
  <si>
    <t>BUA&gt;300 SqM</t>
  </si>
  <si>
    <t>Ground + 71 Floor</t>
  </si>
  <si>
    <t>Ground + 72 Floor</t>
  </si>
  <si>
    <t>Ground + 73 Floor</t>
  </si>
  <si>
    <t>Average Front</t>
  </si>
  <si>
    <t>Minimum Front</t>
  </si>
  <si>
    <t>Average Rear</t>
  </si>
  <si>
    <t>Minimum Rear</t>
  </si>
  <si>
    <t>Average Side-1</t>
  </si>
  <si>
    <t>Minimum Side-1</t>
  </si>
  <si>
    <t>Average Side-2</t>
  </si>
  <si>
    <t>Minimum Side-2</t>
  </si>
  <si>
    <t>Ground + 74 Floor</t>
  </si>
  <si>
    <t xml:space="preserve">The setbacks are in violation of the Kerala Panchayat Building Rules, 2019 (as amended on 24/09/2020). </t>
  </si>
  <si>
    <t>Ground + 75 Floor</t>
  </si>
  <si>
    <t>Ground + 76 Floor</t>
  </si>
  <si>
    <t>Ground + 77 Floor</t>
  </si>
  <si>
    <t>Ground + 78 Floor</t>
  </si>
  <si>
    <t>Ground + 79 Floor</t>
  </si>
  <si>
    <t>Ground + 80 Floor</t>
  </si>
  <si>
    <t>Ground + 81 Floor</t>
  </si>
  <si>
    <t>Ground + 82 Floor</t>
  </si>
  <si>
    <t>Sum</t>
  </si>
  <si>
    <t>Ground + 83 Floor</t>
  </si>
  <si>
    <t>Ground + 84 Floor</t>
  </si>
  <si>
    <t>Ground + 85 Floor</t>
  </si>
  <si>
    <t>Ground + 86 Floor</t>
  </si>
  <si>
    <t>Ground + 87 Floor</t>
  </si>
  <si>
    <t>Ground + 88 Floor</t>
  </si>
  <si>
    <t>Ground + 89 Floor</t>
  </si>
  <si>
    <t>Ground + 90 Floor</t>
  </si>
  <si>
    <t>Ground + 91 Floor</t>
  </si>
  <si>
    <t>Ground + 92 Floor</t>
  </si>
  <si>
    <t>Ground + 93 Floor</t>
  </si>
  <si>
    <t>Ground + 94 Floor</t>
  </si>
  <si>
    <t>Ground + 95 Floor</t>
  </si>
  <si>
    <t>Ground + 96 Floor</t>
  </si>
  <si>
    <t>Ground + 97 Floor</t>
  </si>
  <si>
    <t>Ground + 98 Floor</t>
  </si>
  <si>
    <t>Ground + 99 Floor</t>
  </si>
  <si>
    <t>Ground + 100 Floor</t>
  </si>
  <si>
    <t xml:space="preserve">The setbacks of Building-2 are in violation of the Kerala Panchayat Building Rules, 2019 (as amended on 24/09/2020). </t>
  </si>
  <si>
    <t>SuM</t>
  </si>
  <si>
    <t>BUA&lt;500 SqM</t>
  </si>
  <si>
    <t>BUA&gt;500 Sqm</t>
  </si>
  <si>
    <t>BUA&gt;=500 SqM</t>
  </si>
  <si>
    <t>500-800</t>
  </si>
  <si>
    <t xml:space="preserve">The setbacks of Building are in violation of the Kerala Municipality Building Rules, 2019 (as amended on 24/09/2020). </t>
  </si>
  <si>
    <t xml:space="preserve">The setbacks of Building-2 are in violation of the Kerala Municipality Building Rules, 2019 (as amended on 24/09/2020). </t>
  </si>
  <si>
    <t>Set Back to report To Report</t>
  </si>
  <si>
    <t>File No</t>
  </si>
  <si>
    <t>01.File</t>
  </si>
  <si>
    <t>Item</t>
  </si>
  <si>
    <t>Site</t>
  </si>
  <si>
    <t>Report</t>
  </si>
  <si>
    <t>.</t>
  </si>
  <si>
    <t>Vlookup</t>
  </si>
  <si>
    <t>02.Documents</t>
  </si>
  <si>
    <t>Report to</t>
  </si>
  <si>
    <t>Concat to final</t>
  </si>
  <si>
    <t>Button</t>
  </si>
  <si>
    <t>03.Property</t>
  </si>
  <si>
    <t>04.Boundaries</t>
  </si>
  <si>
    <t>05.Inspections</t>
  </si>
  <si>
    <t>06.Building</t>
  </si>
  <si>
    <t>07.Photoandloc</t>
  </si>
  <si>
    <t>White</t>
  </si>
  <si>
    <t>G:\My Drive\appsheet\data\ValApp100-289400884-24-04-30\</t>
  </si>
  <si>
    <t>G:\My Drive\appsheet\data\ValApp100-289400884-24-04-30\07.PhotosandLoc_Images\White.jpg</t>
  </si>
  <si>
    <r>
      <rPr>
        <b/>
        <sz val="20"/>
        <color rgb="FF0066CC"/>
        <rFont val="Times New Roman"/>
        <family val="1"/>
      </rPr>
      <t>Er. Sanjay Babu CEng(I)</t>
    </r>
    <r>
      <rPr>
        <b/>
        <sz val="12"/>
        <color rgb="FF0066CC"/>
        <rFont val="Times New Roman"/>
        <family val="1"/>
      </rPr>
      <t xml:space="preserve">
</t>
    </r>
    <r>
      <rPr>
        <sz val="11"/>
        <color rgb="FF0066CC"/>
        <rFont val="Times New Roman"/>
        <family val="1"/>
      </rPr>
      <t>B.E, Mtech (NITK), A.M.I.E
Registered Valuer with Insolvency and Bankruptcy 
Board of India (IBBI)[Under Companies Act-2013, 
Reg.No. IBBI/RV/11/2022/15183]
Chartered Engineer (India)[Reg.No. AM-1997338]
Engineer-A[Reg.No. E-11153/19/EA-4212/KLM]</t>
    </r>
    <r>
      <rPr>
        <b/>
        <sz val="12"/>
        <color rgb="FF0066CC"/>
        <rFont val="Times New Roman"/>
        <family val="1"/>
      </rPr>
      <t xml:space="preserve">
</t>
    </r>
  </si>
  <si>
    <t>Valuation Report</t>
  </si>
  <si>
    <t>Project No</t>
  </si>
  <si>
    <t>Borrower's Name</t>
  </si>
  <si>
    <t>Request Date</t>
  </si>
  <si>
    <t>Assigned Agency/Date</t>
  </si>
  <si>
    <t>Borrower's Contact Nos</t>
  </si>
  <si>
    <t>Coborrower's Contact Nos</t>
  </si>
  <si>
    <t>Builders Name</t>
  </si>
  <si>
    <t>Builder Contact Nos</t>
  </si>
  <si>
    <t>Property Name</t>
  </si>
  <si>
    <t>Property Address
 visited by Engineer (If
 Different)</t>
  </si>
  <si>
    <t>hgddgh</t>
  </si>
  <si>
    <t>Building Name /Society Name (As per Sv)</t>
  </si>
  <si>
    <t xml:space="preserve"> Valuation of</t>
  </si>
  <si>
    <t>Property Category</t>
  </si>
  <si>
    <t>Stage of construction/progress</t>
  </si>
  <si>
    <t>% Progress</t>
  </si>
  <si>
    <t>Progress Remarks</t>
  </si>
  <si>
    <t>Finished</t>
  </si>
  <si>
    <t>Total No of floors</t>
  </si>
  <si>
    <t>GF+1</t>
  </si>
  <si>
    <t>Status of property</t>
  </si>
  <si>
    <t>Name of the tenant</t>
  </si>
  <si>
    <t>Nazeer</t>
  </si>
  <si>
    <t>For how long tenant is occupying the property
 (Months/Years)</t>
  </si>
  <si>
    <t>Rent being paid ( apprx) Rs./Month</t>
  </si>
  <si>
    <t>For how long is this property locked (Months /
 Years)</t>
  </si>
  <si>
    <t xml:space="preserve"> Door Locked</t>
  </si>
  <si>
    <t>NO</t>
  </si>
  <si>
    <t>Name of the owner</t>
  </si>
  <si>
    <t>Smitha S</t>
  </si>
  <si>
    <t>Name mentioned on society board (for Society/builder flats)</t>
  </si>
  <si>
    <t>Comments</t>
  </si>
  <si>
    <t xml:space="preserve"> Infrastructure &amp; surrounding development</t>
  </si>
  <si>
    <t>Residential Area</t>
  </si>
  <si>
    <t>Age of building (approx)</t>
  </si>
  <si>
    <t>Nearby Popular Land Mark</t>
  </si>
  <si>
    <t>Anad Sree Durga Devi Temple</t>
  </si>
  <si>
    <r>
      <rPr>
        <b/>
        <sz val="11"/>
        <rFont val="Calibri"/>
        <family val="2"/>
        <scheme val="minor"/>
      </rPr>
      <t>Valuation of the property:Unit Considered :</t>
    </r>
    <r>
      <rPr>
        <b/>
        <sz val="11"/>
        <color rgb="FFC00000"/>
        <rFont val="Calibri"/>
        <family val="2"/>
        <scheme val="minor"/>
      </rPr>
      <t>Sqmt</t>
    </r>
    <r>
      <rPr>
        <b/>
        <sz val="11"/>
        <rFont val="Calibri"/>
        <family val="2"/>
        <scheme val="minor"/>
      </rPr>
      <t>, Area Considered :</t>
    </r>
    <r>
      <rPr>
        <b/>
        <sz val="11"/>
        <color rgb="FFC00000"/>
        <rFont val="Calibri"/>
        <family val="2"/>
        <scheme val="minor"/>
      </rPr>
      <t>BUA</t>
    </r>
  </si>
  <si>
    <t>Description</t>
  </si>
  <si>
    <t>Area(Sqmt)</t>
  </si>
  <si>
    <t>Rate(Rs.)</t>
  </si>
  <si>
    <t>Total</t>
  </si>
  <si>
    <t>Plot Area in sqm(if applicable)</t>
  </si>
  <si>
    <t>GeoTagging:(Update Latitude and Longitude Details)</t>
  </si>
  <si>
    <t>Carpet area</t>
  </si>
  <si>
    <t>8.531990704532049, 77.14167293463632</t>
  </si>
  <si>
    <t>BUA area</t>
  </si>
  <si>
    <t>Super BUA area</t>
  </si>
  <si>
    <t>Others</t>
  </si>
  <si>
    <t>Terrace area</t>
  </si>
  <si>
    <t>Parking Charges</t>
  </si>
  <si>
    <t xml:space="preserve"> Others (Free Field to update others)</t>
  </si>
  <si>
    <t>Total Value(approx.)</t>
  </si>
  <si>
    <t xml:space="preserve">Realizable value (Rs.) </t>
  </si>
  <si>
    <t>Boundaries of the property</t>
  </si>
  <si>
    <t>As per approved plan</t>
  </si>
  <si>
    <t>Neerchal</t>
  </si>
  <si>
    <t>3.5m wide way</t>
  </si>
  <si>
    <t>Shafna S S</t>
  </si>
  <si>
    <t>Asgarsha</t>
  </si>
  <si>
    <t>As per site</t>
  </si>
  <si>
    <t>3.5m wide private way</t>
  </si>
  <si>
    <t xml:space="preserve"> Latitude</t>
  </si>
  <si>
    <t xml:space="preserve"> Longitude</t>
  </si>
  <si>
    <t>Purchase of 2.03 ares of land in Re.Sy.Block No:17, Re.Sy.No:178/9-2-3 located in Anad Village, Nedumangad Taluk, Thiruvanathapuram District.The property has access through a 3.5 m wide private road on the west side.Property is demarcated with a compound wall on three sides and a survey stone on the east side. As per the LTR provided, the land is classified as Purayidam. The location sketch is verified. The transaction is direct, with no brokers involved.</t>
  </si>
  <si>
    <t>Deviations</t>
  </si>
  <si>
    <t xml:space="preserve"> Property Visited by</t>
  </si>
  <si>
    <t>Sanjay Babu</t>
  </si>
  <si>
    <t xml:space="preserve"> Name of the verifier</t>
  </si>
  <si>
    <t xml:space="preserve"> Date of Site Visit</t>
  </si>
  <si>
    <t>Report sent to HDFC Date</t>
  </si>
  <si>
    <t>Annexure</t>
  </si>
  <si>
    <t>Documents carried by external valuer</t>
  </si>
  <si>
    <t>a) Route Map</t>
  </si>
  <si>
    <t>HDFC Form Available</t>
  </si>
  <si>
    <t>b) Copy of Approved Plan and Permit</t>
  </si>
  <si>
    <t>YES</t>
  </si>
  <si>
    <t>c) Location Sketch</t>
  </si>
  <si>
    <t>d) Sale deed schedule</t>
  </si>
  <si>
    <t>e)Any other documents ,(Pls specify)</t>
  </si>
  <si>
    <t>LTR</t>
  </si>
  <si>
    <t>Site Boundaries - As per OTD</t>
  </si>
  <si>
    <t>Site Boundaries - As per site condition</t>
  </si>
  <si>
    <t>Loan Type</t>
  </si>
  <si>
    <t>Resale</t>
  </si>
  <si>
    <t>Stage of Construction</t>
  </si>
  <si>
    <t>Completed</t>
  </si>
  <si>
    <t>Estimate Amount</t>
  </si>
  <si>
    <t>Is the property surrounded by vacent land</t>
  </si>
  <si>
    <t>Neighborhood feedback about the property</t>
  </si>
  <si>
    <t>Average</t>
  </si>
  <si>
    <t>Access</t>
  </si>
  <si>
    <t>a) Pvt/Public/Panchayat Road</t>
  </si>
  <si>
    <t>Private Road</t>
  </si>
  <si>
    <t>b) Mud/Cement/ tar road</t>
  </si>
  <si>
    <t>Mud Road</t>
  </si>
  <si>
    <t>c) 2-Wheeler /3-Wheeler/4-Wheeler</t>
  </si>
  <si>
    <t>4-Wheeler</t>
  </si>
  <si>
    <t>d) Width of the road</t>
  </si>
  <si>
    <t>3.5m</t>
  </si>
  <si>
    <t>e) Rating of Access - Good/Average/Poor</t>
  </si>
  <si>
    <t>Is there any board at site indicating the property is put for sale.?</t>
  </si>
  <si>
    <t>If No, how did you confirm the transaction.?</t>
  </si>
  <si>
    <t>Direct Transaction</t>
  </si>
  <si>
    <t>Building number</t>
  </si>
  <si>
    <t>KSEB - Consumer No.</t>
  </si>
  <si>
    <t>Classification of Locality -Resi/Comm/ Resi-Comm</t>
  </si>
  <si>
    <t>Residential</t>
  </si>
  <si>
    <t>Density of Houses in the Locality(High/Medium/Low)</t>
  </si>
  <si>
    <t>Medium</t>
  </si>
  <si>
    <t>Marketability - High / Medium / Low</t>
  </si>
  <si>
    <t>Sl No</t>
  </si>
  <si>
    <t xml:space="preserve">Approvals from Authority </t>
  </si>
  <si>
    <t>Prevalant at State</t>
  </si>
  <si>
    <t>Actionables</t>
  </si>
  <si>
    <t>Source of verification</t>
  </si>
  <si>
    <t xml:space="preserve">Status of Verification-  VERIFIED AND FOUND CORRECT/ NOT APPLICABLE / DISCREPANCIES FOUND </t>
  </si>
  <si>
    <t xml:space="preserve">Remarks </t>
  </si>
  <si>
    <t>Approved Building Plan &amp; Building Permit /Construction Licence</t>
  </si>
  <si>
    <t>All</t>
  </si>
  <si>
    <t xml:space="preserve">Regulatory Compliance </t>
  </si>
  <si>
    <t>To be checked and highlighted</t>
  </si>
  <si>
    <t>Approval Authority Websites .</t>
  </si>
  <si>
    <t>Not Applicable</t>
  </si>
  <si>
    <t>Online verification is not performed as the approvals are in manual mode</t>
  </si>
  <si>
    <t xml:space="preserve">Layout Approval </t>
  </si>
  <si>
    <t>Approval Authority Websites.</t>
  </si>
  <si>
    <t>Sr. No.</t>
  </si>
  <si>
    <t>Critical Zone</t>
  </si>
  <si>
    <t>Risk Involved</t>
  </si>
  <si>
    <t>1*</t>
  </si>
  <si>
    <t>ASI Zone</t>
  </si>
  <si>
    <t>Marketability and Demolition</t>
  </si>
  <si>
    <t xml:space="preserve">NOC is required </t>
  </si>
  <si>
    <t>ASI Map</t>
  </si>
  <si>
    <t>Ammunition Depot Zone</t>
  </si>
  <si>
    <t xml:space="preserve">Limited buyers &amp; restricted marketability </t>
  </si>
  <si>
    <t>Saleability/Marketability risk to be highlighted</t>
  </si>
  <si>
    <t>Ammunition Depots Location</t>
  </si>
  <si>
    <t>3*</t>
  </si>
  <si>
    <t>Airport Authority of India (AAI)</t>
  </si>
  <si>
    <t>Height restrictions</t>
  </si>
  <si>
    <t>NOC is required</t>
  </si>
  <si>
    <t>AAI Map</t>
  </si>
  <si>
    <t>Cantonment/Defense Area</t>
  </si>
  <si>
    <t>Sale/Purchase restrictions</t>
  </si>
  <si>
    <t>Cantonment Zone</t>
  </si>
  <si>
    <t>Reserved Forest</t>
  </si>
  <si>
    <t>No Development Zone</t>
  </si>
  <si>
    <t>No development zone to be reported</t>
  </si>
  <si>
    <t>Gujarat Forest Map, Delhi Forest Map, Bihar Forest Map, Andhra Forest Maps</t>
  </si>
  <si>
    <t>6*</t>
  </si>
  <si>
    <t>Sea/River/Lake front</t>
  </si>
  <si>
    <t>CRZ regulations</t>
  </si>
  <si>
    <t>Properties within CRZ to be highlighted</t>
  </si>
  <si>
    <t>CRZ map</t>
  </si>
  <si>
    <t>7*</t>
  </si>
  <si>
    <t>Eco Sensitive Zone</t>
  </si>
  <si>
    <t>Development restrictions</t>
  </si>
  <si>
    <t>Properties within ESZ to be highlighted</t>
  </si>
  <si>
    <t xml:space="preserve">Eco Sensitive Zones </t>
  </si>
  <si>
    <t>8*</t>
  </si>
  <si>
    <t>Flood Prone Zone</t>
  </si>
  <si>
    <t>Marketability and Construction Risk</t>
  </si>
  <si>
    <t>Local enquiry to be conducted diligently</t>
  </si>
  <si>
    <t>Vulnerability Atlas (Flood)- India and State</t>
  </si>
  <si>
    <t>9*</t>
  </si>
  <si>
    <t>Landslide Prone Zone</t>
  </si>
  <si>
    <t>Avoid funding properties in these zones</t>
  </si>
  <si>
    <t>Vulnerability Atlas (Landslide)- India and State</t>
  </si>
  <si>
    <t>Dumping Yard/ STP/WTP</t>
  </si>
  <si>
    <t>Poor marketability and saleability issues</t>
  </si>
  <si>
    <t>Distance to be mentioned in report</t>
  </si>
  <si>
    <t>State-wise Development/Master Plan</t>
  </si>
  <si>
    <t>Tribal Reserved Zone</t>
  </si>
  <si>
    <t>Restricted Marketability</t>
  </si>
  <si>
    <t>Fifth Schedule Areas India</t>
  </si>
  <si>
    <t>Earthquake Zone</t>
  </si>
  <si>
    <t>Construction Risk</t>
  </si>
  <si>
    <t>Vulnerability Atlas (Earthquack): India and State</t>
  </si>
  <si>
    <t>Zone-III Moderate Damage Risk Zone</t>
  </si>
  <si>
    <t>The Whole of Kerala falls under this zone</t>
  </si>
  <si>
    <t>No Development Zone (NDZ)</t>
  </si>
  <si>
    <t>Development restrictions &amp; demolition risk</t>
  </si>
  <si>
    <t>City Level Development Plans</t>
  </si>
  <si>
    <t>Land reserved for Open/Green Spaces within city limits</t>
  </si>
  <si>
    <t>Storm Water Drain/Rajakaluve Buffer zone</t>
  </si>
  <si>
    <t>Karnataka</t>
  </si>
  <si>
    <t>https://play.google.com/store/apps/details?id=com.ksrsac.sslr&amp;pcampaignid=web_share</t>
  </si>
  <si>
    <t>16*</t>
  </si>
  <si>
    <t>Heritage Zone</t>
  </si>
  <si>
    <t>Kerala</t>
  </si>
  <si>
    <t>Limited marketability &amp; saleability issues - ASI</t>
  </si>
  <si>
    <t>NOC is required from Kerala Urban Arts</t>
  </si>
  <si>
    <t>City level Master plan, https://lsgkerala.gov.in/htm/kmbr/kmbr_chapter22.html, https://asi.nic.in/pdf/actRules1959.pdf</t>
  </si>
  <si>
    <t>Aquifer Recharge Zones</t>
  </si>
  <si>
    <t>Tamil Nadu</t>
  </si>
  <si>
    <t>Master Plan of Tamil Nadu</t>
  </si>
  <si>
    <t>Sr No</t>
  </si>
  <si>
    <t>Name of Approval Authorities </t>
  </si>
  <si>
    <t>Is the plan approval through Digital Process</t>
  </si>
  <si>
    <t>Plan approvals to be checked online for approvals since </t>
  </si>
  <si>
    <t>BBMP</t>
  </si>
  <si>
    <t>Not applicable</t>
  </si>
  <si>
    <t>2019-20</t>
  </si>
  <si>
    <t>Municipal Corporations</t>
  </si>
  <si>
    <t>2020-2021</t>
  </si>
  <si>
    <t>Town Panchayats</t>
  </si>
  <si>
    <t>District Town Planning Authorities </t>
  </si>
  <si>
    <t>Unique</t>
  </si>
  <si>
    <t>Thiruvananthapuram</t>
  </si>
  <si>
    <t>Kollam</t>
  </si>
  <si>
    <t>Pathanamthitta</t>
  </si>
  <si>
    <t>Alappuzha</t>
  </si>
  <si>
    <t>Kottayam</t>
  </si>
  <si>
    <t>Idukki</t>
  </si>
  <si>
    <t>Ernakulam</t>
  </si>
  <si>
    <t>Thrissur</t>
  </si>
  <si>
    <t>Palakkad</t>
  </si>
  <si>
    <t>Malappuram</t>
  </si>
  <si>
    <t>Kozhikode</t>
  </si>
  <si>
    <t>Wayanad</t>
  </si>
  <si>
    <t>Kasargode</t>
  </si>
  <si>
    <t>Andoorkonam</t>
  </si>
  <si>
    <t>Adichanalloor</t>
  </si>
  <si>
    <t>Ayiroor</t>
  </si>
  <si>
    <t>Ambalappuzha North</t>
  </si>
  <si>
    <t>Aimanam</t>
  </si>
  <si>
    <t>Mariyapuram</t>
  </si>
  <si>
    <t>Alangad</t>
  </si>
  <si>
    <t>Adat</t>
  </si>
  <si>
    <t>Akathethara</t>
  </si>
  <si>
    <t>Abdu Rahiman Nagar</t>
  </si>
  <si>
    <t>Atholi</t>
  </si>
  <si>
    <t>Meenangadi</t>
  </si>
  <si>
    <t>Ancharakandy</t>
  </si>
  <si>
    <t>Ajanur</t>
  </si>
  <si>
    <t>Anjuthengu</t>
  </si>
  <si>
    <t>Chathannur</t>
  </si>
  <si>
    <t>Kozhancheri</t>
  </si>
  <si>
    <t>Ambalappuzha South</t>
  </si>
  <si>
    <t>Arpookara</t>
  </si>
  <si>
    <t>Munnar</t>
  </si>
  <si>
    <t>Amballur</t>
  </si>
  <si>
    <t>Alagappanagar</t>
  </si>
  <si>
    <t>Alathur</t>
  </si>
  <si>
    <t>Alamcode</t>
  </si>
  <si>
    <t>Ayancheri</t>
  </si>
  <si>
    <t>Meppadi</t>
  </si>
  <si>
    <t>Azhikode</t>
  </si>
  <si>
    <t>Chemnad</t>
  </si>
  <si>
    <t>Aruvikkara</t>
  </si>
  <si>
    <t>Chavara</t>
  </si>
  <si>
    <t>Malappalli</t>
  </si>
  <si>
    <t>Arookutty</t>
  </si>
  <si>
    <t>Athirampuzha</t>
  </si>
  <si>
    <t>Vazhathope</t>
  </si>
  <si>
    <t>Chellanam</t>
  </si>
  <si>
    <t>Alur</t>
  </si>
  <si>
    <t>Koduvayur</t>
  </si>
  <si>
    <t>Aricode</t>
  </si>
  <si>
    <t>Azhiyoor</t>
  </si>
  <si>
    <t>Moopainad</t>
  </si>
  <si>
    <t>Chembilode</t>
  </si>
  <si>
    <t>Chengala</t>
  </si>
  <si>
    <t>Athiyannoor</t>
  </si>
  <si>
    <t>Chirakkara</t>
  </si>
  <si>
    <t>Aroor</t>
  </si>
  <si>
    <t>Chirakkadavu</t>
  </si>
  <si>
    <t>Chendamangalam</t>
  </si>
  <si>
    <t>Annamanada</t>
  </si>
  <si>
    <t>Kollengode</t>
  </si>
  <si>
    <t>Cheekkode</t>
  </si>
  <si>
    <t>Balussery</t>
  </si>
  <si>
    <t>Panamaram</t>
  </si>
  <si>
    <t>Cherukunnu</t>
  </si>
  <si>
    <t>Kumbala</t>
  </si>
  <si>
    <t>Azhoor</t>
  </si>
  <si>
    <t>Elampalloor</t>
  </si>
  <si>
    <t>Aryad</t>
  </si>
  <si>
    <t>Kanjirappally</t>
  </si>
  <si>
    <t>Chengamanad</t>
  </si>
  <si>
    <t>Anthicad</t>
  </si>
  <si>
    <t>Lekkidi- Perur</t>
  </si>
  <si>
    <t>Chelambra</t>
  </si>
  <si>
    <t>Chathamangalam</t>
  </si>
  <si>
    <t>Poothadi</t>
  </si>
  <si>
    <t>Cheruthazham</t>
  </si>
  <si>
    <t>Madhur</t>
  </si>
  <si>
    <t>Balaramapuram</t>
  </si>
  <si>
    <t>Kalluvathukkal</t>
  </si>
  <si>
    <t>Bharanikkavu</t>
  </si>
  <si>
    <t>Manarcadu</t>
  </si>
  <si>
    <t>Cheranelloor</t>
  </si>
  <si>
    <t>Arimpur</t>
  </si>
  <si>
    <t>Marutharode</t>
  </si>
  <si>
    <t>Cheriyamundam</t>
  </si>
  <si>
    <t>Chekkiad</t>
  </si>
  <si>
    <t>Pulpally</t>
  </si>
  <si>
    <t>Chirakkal</t>
  </si>
  <si>
    <t>Mangalpady</t>
  </si>
  <si>
    <t>Chenkal</t>
  </si>
  <si>
    <t>Kottamkara</t>
  </si>
  <si>
    <t>Chennam-Pallippuram</t>
  </si>
  <si>
    <t>Manjoor</t>
  </si>
  <si>
    <t>Chittattukara</t>
  </si>
  <si>
    <t>Avanur</t>
  </si>
  <si>
    <t>Muthuthala</t>
  </si>
  <si>
    <t>Cherukavu</t>
  </si>
  <si>
    <t>Chelannur</t>
  </si>
  <si>
    <t>Vythiri</t>
  </si>
  <si>
    <t>Chittariparamba</t>
  </si>
  <si>
    <t>Manjeshwar</t>
  </si>
  <si>
    <t>Chirayinkeezhu</t>
  </si>
  <si>
    <t>Kulasekharapuram</t>
  </si>
  <si>
    <t>Chennithala-Thriperumthura</t>
  </si>
  <si>
    <t>Meenadam</t>
  </si>
  <si>
    <t>Choornikkara</t>
  </si>
  <si>
    <t>Avinissery</t>
  </si>
  <si>
    <t>Ongallur</t>
  </si>
  <si>
    <t>Edappal</t>
  </si>
  <si>
    <t>Chemancheri</t>
  </si>
  <si>
    <t>Chockli</t>
  </si>
  <si>
    <t>Mogral Puthur</t>
  </si>
  <si>
    <t>Kadakkavoor</t>
  </si>
  <si>
    <t>Mayyanad</t>
  </si>
  <si>
    <t>Cheppad</t>
  </si>
  <si>
    <t>Mulakkulam</t>
  </si>
  <si>
    <t>Chottanikkara</t>
  </si>
  <si>
    <t>Chazhoor</t>
  </si>
  <si>
    <t>Parali</t>
  </si>
  <si>
    <t>Edarikode</t>
  </si>
  <si>
    <t>Chengottukavu</t>
  </si>
  <si>
    <t>Dharmadom</t>
  </si>
  <si>
    <t>Pallikkara</t>
  </si>
  <si>
    <t>Kalliyoor</t>
  </si>
  <si>
    <t>Nedumpana</t>
  </si>
  <si>
    <t>Chettikulangara</t>
  </si>
  <si>
    <t>Nendoor</t>
  </si>
  <si>
    <t>Edathala</t>
  </si>
  <si>
    <t>Chelakkara</t>
  </si>
  <si>
    <t>Pirayiri</t>
  </si>
  <si>
    <t>Irimbilyam</t>
  </si>
  <si>
    <t>Chorode</t>
  </si>
  <si>
    <t>Eranholi</t>
  </si>
  <si>
    <t>Pilicode</t>
  </si>
  <si>
    <t>Kanjiramkulam</t>
  </si>
  <si>
    <t>Oachira</t>
  </si>
  <si>
    <t>Chingoli</t>
  </si>
  <si>
    <t>Paippad</t>
  </si>
  <si>
    <t>Elamkunnapuzha</t>
  </si>
  <si>
    <t>Cherpu</t>
  </si>
  <si>
    <t>Pudussery</t>
  </si>
  <si>
    <t>Kalady</t>
  </si>
  <si>
    <t>Edachery</t>
  </si>
  <si>
    <t>Ezhome</t>
  </si>
  <si>
    <t>Pulloor - Periya</t>
  </si>
  <si>
    <t>Karakulam</t>
  </si>
  <si>
    <t>Panayam</t>
  </si>
  <si>
    <t>Devikulangara</t>
  </si>
  <si>
    <t>Panachikkad</t>
  </si>
  <si>
    <t>Ezhikkara</t>
  </si>
  <si>
    <t>Choondal</t>
  </si>
  <si>
    <t>Puthunagaram</t>
  </si>
  <si>
    <t>Kannamangalam</t>
  </si>
  <si>
    <t>Eramala</t>
  </si>
  <si>
    <t>Irikkur</t>
  </si>
  <si>
    <t>Thrikkaripur</t>
  </si>
  <si>
    <t>Karavaram</t>
  </si>
  <si>
    <t>Panmana</t>
  </si>
  <si>
    <t>Ezhupunna</t>
  </si>
  <si>
    <t>Poonjar</t>
  </si>
  <si>
    <t>Kadamakkudy</t>
  </si>
  <si>
    <t>Desamangalam</t>
  </si>
  <si>
    <t>Puthuppariyaram</t>
  </si>
  <si>
    <t>Kizhuparamba</t>
  </si>
  <si>
    <t>Kadalundy</t>
  </si>
  <si>
    <t>Kadambur</t>
  </si>
  <si>
    <t>Udma</t>
  </si>
  <si>
    <t>Karumkulam</t>
  </si>
  <si>
    <t>Pathanapuram</t>
  </si>
  <si>
    <t>Kandalloor</t>
  </si>
  <si>
    <t>Puthupally</t>
  </si>
  <si>
    <t>Kadungalloor</t>
  </si>
  <si>
    <t>Edathiruthy</t>
  </si>
  <si>
    <t>Thenkara</t>
  </si>
  <si>
    <t>Kodur</t>
  </si>
  <si>
    <t>Kakkodi</t>
  </si>
  <si>
    <t>Kadannapalli-Panapuzha</t>
  </si>
  <si>
    <t>Valiyaparamba</t>
  </si>
  <si>
    <t>Kattakkada</t>
  </si>
  <si>
    <t>Perinad</t>
  </si>
  <si>
    <t>Kanjikkuzhi</t>
  </si>
  <si>
    <t>Thalappalam</t>
  </si>
  <si>
    <t>Edavilangu</t>
  </si>
  <si>
    <t>Thirumittacode</t>
  </si>
  <si>
    <t>Koottilangadi</t>
  </si>
  <si>
    <t>Kakkur</t>
  </si>
  <si>
    <t>Kadirur</t>
  </si>
  <si>
    <t>Kizhuvalam</t>
  </si>
  <si>
    <t>Poothakkulam</t>
  </si>
  <si>
    <t>Karthikappally</t>
  </si>
  <si>
    <t>Thalayola Parambu</t>
  </si>
  <si>
    <t>Kanjoor</t>
  </si>
  <si>
    <t>Elavally</t>
  </si>
  <si>
    <t>Thrithala</t>
  </si>
  <si>
    <t>Kuruva</t>
  </si>
  <si>
    <t>Karassery</t>
  </si>
  <si>
    <t>Kalliasseri</t>
  </si>
  <si>
    <t>Kottukal</t>
  </si>
  <si>
    <t>Thodiyoor</t>
  </si>
  <si>
    <t>Karuvatta</t>
  </si>
  <si>
    <t>Thidanadu</t>
  </si>
  <si>
    <t>Karumalloor</t>
  </si>
  <si>
    <t>Engandiyur</t>
  </si>
  <si>
    <t>Vadakkencherry</t>
  </si>
  <si>
    <t>Kuttippuram</t>
  </si>
  <si>
    <t>Kattippara</t>
  </si>
  <si>
    <t>Kannapuram</t>
  </si>
  <si>
    <t>Malayinkeezhu</t>
  </si>
  <si>
    <t>Thrikkaruva</t>
  </si>
  <si>
    <t>Kodamthuruth</t>
  </si>
  <si>
    <t>Thiruvarpu</t>
  </si>
  <si>
    <t>Keezhmad</t>
  </si>
  <si>
    <t>Eriyad</t>
  </si>
  <si>
    <t>Vadavannur</t>
  </si>
  <si>
    <t>Kuzhimanna</t>
  </si>
  <si>
    <t>Keezhariyur</t>
  </si>
  <si>
    <t>Karivellur-peralam</t>
  </si>
  <si>
    <t>Thrikkovilvattom</t>
  </si>
  <si>
    <t>Krishnapuram</t>
  </si>
  <si>
    <t>Thrikodithanam</t>
  </si>
  <si>
    <t>Koovappady</t>
  </si>
  <si>
    <t>Erumappetty</t>
  </si>
  <si>
    <t>Vaniyamkulam</t>
  </si>
  <si>
    <t>Marancheri</t>
  </si>
  <si>
    <t>Kizhakkoth</t>
  </si>
  <si>
    <t>Keezhallur</t>
  </si>
  <si>
    <t>Manikkal</t>
  </si>
  <si>
    <t>Kumarapuram</t>
  </si>
  <si>
    <t>Vazhapally</t>
  </si>
  <si>
    <t>Kottuvally</t>
  </si>
  <si>
    <t>Kadangode</t>
  </si>
  <si>
    <t>Mooniyur</t>
  </si>
  <si>
    <t>Kodanchery</t>
  </si>
  <si>
    <t>Kolachery</t>
  </si>
  <si>
    <t>Maranalloor</t>
  </si>
  <si>
    <t>Kuthiathode</t>
  </si>
  <si>
    <t>Velloor</t>
  </si>
  <si>
    <t>Kumbalam</t>
  </si>
  <si>
    <t>Kadappuram</t>
  </si>
  <si>
    <t>Muthuvallur</t>
  </si>
  <si>
    <t>Kodiyathur</t>
  </si>
  <si>
    <t>Koodali</t>
  </si>
  <si>
    <t>Mudakkal</t>
  </si>
  <si>
    <t>Mannanchery</t>
  </si>
  <si>
    <t>Vijayapuram</t>
  </si>
  <si>
    <t>Kumbalangi</t>
  </si>
  <si>
    <t>Kadavallur</t>
  </si>
  <si>
    <t>Nannambra</t>
  </si>
  <si>
    <t>Koothali</t>
  </si>
  <si>
    <t>Kottayam-Malabar</t>
  </si>
  <si>
    <t>Pallichal</t>
  </si>
  <si>
    <t>Mannar</t>
  </si>
  <si>
    <t>Kunnathunad</t>
  </si>
  <si>
    <t>Kadukkutty</t>
  </si>
  <si>
    <t>Othukkungal</t>
  </si>
  <si>
    <t>Kottur</t>
  </si>
  <si>
    <t>Kunhimanglam</t>
  </si>
  <si>
    <t>Parassala</t>
  </si>
  <si>
    <t>Mararikkulam South</t>
  </si>
  <si>
    <t>Kunnukara</t>
  </si>
  <si>
    <t>Kaipamangalam</t>
  </si>
  <si>
    <t>Pallikkal</t>
  </si>
  <si>
    <t>Kunnamangalam</t>
  </si>
  <si>
    <t>Kunnathuparamba</t>
  </si>
  <si>
    <t>Pothencode</t>
  </si>
  <si>
    <t>Muhamma</t>
  </si>
  <si>
    <t>Malayattoor-Neeleswaram</t>
  </si>
  <si>
    <t>Kaiparamba</t>
  </si>
  <si>
    <t>Parappur</t>
  </si>
  <si>
    <t>Kunnummal</t>
  </si>
  <si>
    <t>Kurumathur</t>
  </si>
  <si>
    <t>Thirupuram</t>
  </si>
  <si>
    <t>Muthukulam</t>
  </si>
  <si>
    <t>Mulamthuruthy</t>
  </si>
  <si>
    <t>Kandanassery</t>
  </si>
  <si>
    <t>Perumanna Clari</t>
  </si>
  <si>
    <t>Kuruvattoor</t>
  </si>
  <si>
    <t>Kuttiyattoor</t>
  </si>
  <si>
    <t>Vakkam</t>
  </si>
  <si>
    <t>Pathiyoor</t>
  </si>
  <si>
    <t>Mulavukad</t>
  </si>
  <si>
    <t>Karalam</t>
  </si>
  <si>
    <t>Peruvallur</t>
  </si>
  <si>
    <t>Kuttiyadi</t>
  </si>
  <si>
    <t>Madayi</t>
  </si>
  <si>
    <t>Vembayam</t>
  </si>
  <si>
    <t>Thaikattussery</t>
  </si>
  <si>
    <t>Nayarambalam</t>
  </si>
  <si>
    <t>Kattakampal</t>
  </si>
  <si>
    <t>Ponmundam</t>
  </si>
  <si>
    <t>Madavoor</t>
  </si>
  <si>
    <t>Mangattidam</t>
  </si>
  <si>
    <t>Venganoor</t>
  </si>
  <si>
    <t>Thanneermukkam</t>
  </si>
  <si>
    <t>Nedumbassery</t>
  </si>
  <si>
    <t>Kattur</t>
  </si>
  <si>
    <t>Pulikkal</t>
  </si>
  <si>
    <t>Maniyur</t>
  </si>
  <si>
    <t>Mattool</t>
  </si>
  <si>
    <t>Vilappil</t>
  </si>
  <si>
    <t>Thazhakara</t>
  </si>
  <si>
    <t>Nellikuzhi</t>
  </si>
  <si>
    <t>Kolazhy</t>
  </si>
  <si>
    <t>Talakkad</t>
  </si>
  <si>
    <t>Mavoor</t>
  </si>
  <si>
    <t>Mayyil</t>
  </si>
  <si>
    <t>Vilavoorkkal</t>
  </si>
  <si>
    <t>Vayalar</t>
  </si>
  <si>
    <t>Njarackal</t>
  </si>
  <si>
    <t>Koratty</t>
  </si>
  <si>
    <t>Tanalur</t>
  </si>
  <si>
    <t>Meppayur</t>
  </si>
  <si>
    <t>Mokeri</t>
  </si>
  <si>
    <t>Okkal</t>
  </si>
  <si>
    <t>Madakkathara</t>
  </si>
  <si>
    <t>Thenhippalam</t>
  </si>
  <si>
    <t>Moodadi</t>
  </si>
  <si>
    <t>Munderi</t>
  </si>
  <si>
    <t>Paipra</t>
  </si>
  <si>
    <t>Mala</t>
  </si>
  <si>
    <t>Thennala</t>
  </si>
  <si>
    <t>Nadapuram</t>
  </si>
  <si>
    <t>Muzhippilangad</t>
  </si>
  <si>
    <t>Puthenvelikkara</t>
  </si>
  <si>
    <t>Manalur</t>
  </si>
  <si>
    <t>Thirunavaya</t>
  </si>
  <si>
    <t>Naduvannoor</t>
  </si>
  <si>
    <t>Narath</t>
  </si>
  <si>
    <t>Rayamangalam</t>
  </si>
  <si>
    <t>Mathilakam</t>
  </si>
  <si>
    <t>Triprangode</t>
  </si>
  <si>
    <t>Nanmanda</t>
  </si>
  <si>
    <t>New Mahe</t>
  </si>
  <si>
    <t>Sreemoolanagaram</t>
  </si>
  <si>
    <t>Melur</t>
  </si>
  <si>
    <t>Urakam</t>
  </si>
  <si>
    <t>Narikkuni</t>
  </si>
  <si>
    <t>Panniyannur</t>
  </si>
  <si>
    <t>Udayamperoor</t>
  </si>
  <si>
    <t>Mulamkunnathukavu</t>
  </si>
  <si>
    <t>Vallikkunnu</t>
  </si>
  <si>
    <t>Olavanna</t>
  </si>
  <si>
    <t>Pappinissery</t>
  </si>
  <si>
    <t>Vadakkekara</t>
  </si>
  <si>
    <t>Mullassery</t>
  </si>
  <si>
    <t>Vazhakkad</t>
  </si>
  <si>
    <t>Panangad</t>
  </si>
  <si>
    <t>Pariyaram</t>
  </si>
  <si>
    <t>Vadavukode-Puthencruz</t>
  </si>
  <si>
    <t>Mullurkara</t>
  </si>
  <si>
    <t>Vazhayur</t>
  </si>
  <si>
    <t>Perambra</t>
  </si>
  <si>
    <t>Pattiyam</t>
  </si>
  <si>
    <t>Valakam</t>
  </si>
  <si>
    <t>Muriyad</t>
  </si>
  <si>
    <t>Vengara</t>
  </si>
  <si>
    <t>Perumanna</t>
  </si>
  <si>
    <t>Peralassery</t>
  </si>
  <si>
    <t>Varappuzha</t>
  </si>
  <si>
    <t>Nadathara</t>
  </si>
  <si>
    <t>Peruvayal</t>
  </si>
  <si>
    <t>Peravoor</t>
  </si>
  <si>
    <t>Vazhakulam</t>
  </si>
  <si>
    <t>Nenmenikkara</t>
  </si>
  <si>
    <t>Thalakkulathur</t>
  </si>
  <si>
    <t>Pinarayi</t>
  </si>
  <si>
    <t>Vengola</t>
  </si>
  <si>
    <t>Orumanayur</t>
  </si>
  <si>
    <t>Thamarassery</t>
  </si>
  <si>
    <t>Ramanthali</t>
  </si>
  <si>
    <t>Padiyur</t>
  </si>
  <si>
    <t>Thikkodi</t>
  </si>
  <si>
    <t>Valapattanam</t>
  </si>
  <si>
    <t>Paralam</t>
  </si>
  <si>
    <t>Thiruvallur</t>
  </si>
  <si>
    <t>Vengad</t>
  </si>
  <si>
    <t>Parappukkara</t>
  </si>
  <si>
    <t>Thiruvambadi</t>
  </si>
  <si>
    <t>Pavaratty</t>
  </si>
  <si>
    <t>Thuneri</t>
  </si>
  <si>
    <t>Perinjanam</t>
  </si>
  <si>
    <t>Thurayur</t>
  </si>
  <si>
    <t>Poomangalam</t>
  </si>
  <si>
    <t>Ulliyeri</t>
  </si>
  <si>
    <t>Porkulam</t>
  </si>
  <si>
    <t>Unnikulam</t>
  </si>
  <si>
    <t>Poyya</t>
  </si>
  <si>
    <t>Valayam</t>
  </si>
  <si>
    <t>Punnayur</t>
  </si>
  <si>
    <t>Villiappally</t>
  </si>
  <si>
    <t>Punnayurkulam</t>
  </si>
  <si>
    <t>Puthukkad</t>
  </si>
  <si>
    <t>Puthur</t>
  </si>
  <si>
    <t>S.N. Puram</t>
  </si>
  <si>
    <t>Talikkulam</t>
  </si>
  <si>
    <t>Thanniyam</t>
  </si>
  <si>
    <t>Thiruvilwamala</t>
  </si>
  <si>
    <t>Tholur</t>
  </si>
  <si>
    <t>Trikkur</t>
  </si>
  <si>
    <t>Vadakkekad</t>
  </si>
  <si>
    <t>Vadanappally</t>
  </si>
  <si>
    <t>Vallachira</t>
  </si>
  <si>
    <t>Vallathol Nagar</t>
  </si>
  <si>
    <t>Vellangallur</t>
  </si>
  <si>
    <t>Vellookkara</t>
  </si>
  <si>
    <t>Velur</t>
  </si>
  <si>
    <t>Venkitangu</t>
  </si>
  <si>
    <t>Re-Sy Sub-Div no.</t>
  </si>
  <si>
    <t>Sy Block No</t>
  </si>
  <si>
    <t>Sy No</t>
  </si>
  <si>
    <t>Missing in agreement</t>
  </si>
  <si>
    <t>Deed</t>
  </si>
  <si>
    <t>Missing In deed</t>
  </si>
  <si>
    <t>SITE</t>
  </si>
  <si>
    <t>Document Numbers</t>
  </si>
  <si>
    <t>Document Received</t>
  </si>
  <si>
    <t>Documents Not Received and issues</t>
  </si>
  <si>
    <t>The agreement has not been provided for review. The proposed purchase is assumed based on customer feedback from the site.</t>
  </si>
  <si>
    <t>The agreement has not been provided for review. The proposed purchase is assumed based on digital extract of sale declaration from the bank.</t>
  </si>
  <si>
    <t>The title deed has not been produced for perusal. Accordingly,any easement rights, including right of access, have not been verified.</t>
  </si>
  <si>
    <t>The land tax receipt/Possession Certificate has not been provided for review. Accordingly, the classification of the land has not been verified. It is assumed that the land is classified as dry land, and the land value has been determined based on this assumption.</t>
  </si>
  <si>
    <t>Issues</t>
  </si>
  <si>
    <t>Title Deed Analysis: The title deed referenced in the agreement is missing.</t>
  </si>
  <si>
    <t>Land tax receipt</t>
  </si>
  <si>
    <t>Site Conditions</t>
  </si>
  <si>
    <t>Seller(s) Name</t>
  </si>
  <si>
    <t>Purchaser Name</t>
  </si>
  <si>
    <t>No. of Users if Private</t>
  </si>
  <si>
    <t>Width of access in Metre</t>
  </si>
  <si>
    <t>Type of Access</t>
  </si>
  <si>
    <t>Building No.</t>
  </si>
  <si>
    <t>1.Address to report</t>
  </si>
  <si>
    <t xml:space="preserve">A total of 4.96 ares of land, comprising 2.07 Ares of land from Re-Sy Block No.3, Re-Sy No.254, Re-Sy Sub-Div No.21-2 and 2.1 Ares of land from Re-Sy Block No.3, Re-Sy No.254, Re-Sy Sub-Div No.2-1 and 0.79 Ares of land from Re-Sy Block No.3, Re-Sy No.254, Re-Sy Sub-Div No.21 located in  Village,  Taluk,  District. </t>
  </si>
  <si>
    <t>2.If no Title deed</t>
  </si>
  <si>
    <t>Since a copy of the Title Deed has not been provided for verification, ownership could not be established. Boundaries with reference to the deed could not be verified. Additionally, any easement rights, including the right of access, remain unverified. The survey number and land extent have also not been confirmed with the Title Deed.</t>
  </si>
  <si>
    <t>As per the Title deed, property does not have right of access.</t>
  </si>
  <si>
    <t>The title deed shows that the property has pedestrian access only.</t>
  </si>
  <si>
    <t>The title deed indicates that the property has right of access over a private road.</t>
  </si>
  <si>
    <t>As per the title deed, access to the property is provided by a Panchayat road.</t>
  </si>
  <si>
    <t>As per the title deed, access to the property is provided by a Municipality road.</t>
  </si>
  <si>
    <t>As per the title deed, access to the property is provided by a Corporation road.</t>
  </si>
  <si>
    <t>As per the title deed, access to the property is provided by a PWD road.</t>
  </si>
  <si>
    <t>As per the title deed, access to the property is provided by a State Hidhway.</t>
  </si>
  <si>
    <t>As per the title deed, access to the property is provided by a National Highway.</t>
  </si>
  <si>
    <t>To Report</t>
  </si>
  <si>
    <t>Plot is classified as wet land as per Land Tax Receipt.</t>
  </si>
  <si>
    <t>Paddy Land</t>
  </si>
  <si>
    <t>The plot is classified as Paddy as per Land Tax receipt.</t>
  </si>
  <si>
    <t>The plot is classified as Dry Land as per Land Tax receipt.</t>
  </si>
  <si>
    <t xml:space="preserve"> </t>
  </si>
  <si>
    <t>Plot is classified as wet land as per Possession Certificate.</t>
  </si>
  <si>
    <t>The plot is classified as Paddy Land as per Possession Certificate.</t>
  </si>
  <si>
    <t>The plot is classified as Dry Land as per Possession Certificate.</t>
  </si>
  <si>
    <t>As per the Location Sketch, property does not have right of access.</t>
  </si>
  <si>
    <t>The Location Sketch shows that the property has pedestrian access only.</t>
  </si>
  <si>
    <t>The Location Sketch indicates that the property has right of access over a private road.</t>
  </si>
  <si>
    <t>As per the Location Sketch, access to the property is provided by a Panchayat road.</t>
  </si>
  <si>
    <t>As per the Location Sketch, access to the property is provided by a Municipality road.</t>
  </si>
  <si>
    <t>As per the Location Sketch, access to the property is provided by a Corporation road.</t>
  </si>
  <si>
    <t>As per the Location Sketch, access to the property is provided by a PWD road.</t>
  </si>
  <si>
    <t>As per the Location Sketch, access to the property is provided by a State Hidhway.</t>
  </si>
  <si>
    <t>As per the Location Sketch, access to the property is provided by a National Highway.</t>
  </si>
  <si>
    <t>As per the Survey Sketch, property does not have right of access.</t>
  </si>
  <si>
    <t>The Survey Sketch shows that the property has pedestrian access only.</t>
  </si>
  <si>
    <t>The Survey Sketch indicates that the property has right of access over a private road.</t>
  </si>
  <si>
    <t>As per the Survey Sketch, access to the property is provided by a Panchayat road.</t>
  </si>
  <si>
    <t>As per the Survey Sketch, access to the property is provided by a Municipality road.</t>
  </si>
  <si>
    <t>As per the Survey Sketch, access to the property is provided by a Corporation road.</t>
  </si>
  <si>
    <t>As per the Survey Sketch, access to the property is provided by a PWD road.</t>
  </si>
  <si>
    <t>As per the Survey Sketch, access to the property is provided by a State Hidhway.</t>
  </si>
  <si>
    <t>As per the Survey Sketch, access to the property is provided by a National Highway.</t>
  </si>
  <si>
    <t>As per the site condition, property does not have right of access.</t>
  </si>
  <si>
    <t>As per the site condition, the property has pedestrian access only.</t>
  </si>
  <si>
    <t>As per the site condition as on date, indicates that the property has access over a private road.</t>
  </si>
  <si>
    <t>As per the site condition, access to the property is provided by a Panchayat road.</t>
  </si>
  <si>
    <t>As per the site condition, access to the property is provided by a Municipality road.</t>
  </si>
  <si>
    <t>As per the site condition, access to the property is provided by a Corporation road.</t>
  </si>
  <si>
    <t>As per the site condition, access to the property is provided by a PWD road.</t>
  </si>
  <si>
    <t>As per the site condition, access to the property is provided by a State Hidhway.</t>
  </si>
  <si>
    <t>As per the site condition, access to the property is provided by a National Highway.</t>
  </si>
  <si>
    <t>Analyst</t>
  </si>
  <si>
    <t>Inspector</t>
  </si>
  <si>
    <t>Key</t>
  </si>
  <si>
    <t>Bank Name</t>
  </si>
  <si>
    <t>KEY</t>
  </si>
  <si>
    <t>Approved/Engineers Plan</t>
  </si>
  <si>
    <t>Freehold/Leasehold</t>
  </si>
  <si>
    <t>Address Matching</t>
  </si>
  <si>
    <t>Survey</t>
  </si>
  <si>
    <t>Class</t>
  </si>
  <si>
    <t>Right of access/Clear Access</t>
  </si>
  <si>
    <t>Land Situated at</t>
  </si>
  <si>
    <t>Ownership</t>
  </si>
  <si>
    <t>Character</t>
  </si>
  <si>
    <t>Development of Surrunding area</t>
  </si>
  <si>
    <t>Topography of Surrounding</t>
  </si>
  <si>
    <t>Level of Plot Relative to Plot</t>
  </si>
  <si>
    <t>Accessibility type</t>
  </si>
  <si>
    <t>Size of Land</t>
  </si>
  <si>
    <t>Shape of Land</t>
  </si>
  <si>
    <t>Vista of Land</t>
  </si>
  <si>
    <t>Electric Lines and Power Supply</t>
  </si>
  <si>
    <t>Sewerage and Draingae Mains</t>
  </si>
  <si>
    <t>Transportation/Social/Commercial/Marketability</t>
  </si>
  <si>
    <t>Crematoriums to CRZ</t>
  </si>
  <si>
    <t>2.Stage of construction and Progress, if in the case of Construction Loan</t>
  </si>
  <si>
    <t>3.Foundation</t>
  </si>
  <si>
    <t>4.Superstructure</t>
  </si>
  <si>
    <t>5.Roof Type</t>
  </si>
  <si>
    <t>6.Floorings, Skirtings and Dado's.</t>
  </si>
  <si>
    <t>7.Joineries (Doors and Windows)</t>
  </si>
  <si>
    <t>8.Services</t>
  </si>
  <si>
    <t>9.Status of Building</t>
  </si>
  <si>
    <t>11.Occupancy of Building</t>
  </si>
  <si>
    <t>Quality/Appearance/Maintenance</t>
  </si>
  <si>
    <t>100SAN</t>
  </si>
  <si>
    <t>HFC</t>
  </si>
  <si>
    <t>PRCS</t>
  </si>
  <si>
    <t>REQ</t>
  </si>
  <si>
    <t>Freehold</t>
  </si>
  <si>
    <t>Yes</t>
  </si>
  <si>
    <t>Re-Survey</t>
  </si>
  <si>
    <t>Central Business District</t>
  </si>
  <si>
    <t>Single Ownership</t>
  </si>
  <si>
    <t>Plain</t>
  </si>
  <si>
    <t>Same Level</t>
  </si>
  <si>
    <t>Good Frontage</t>
  </si>
  <si>
    <t>Small Size (Below 7 Cents)</t>
  </si>
  <si>
    <t>Approx. Square</t>
  </si>
  <si>
    <t>Excellent Vista</t>
  </si>
  <si>
    <t>Single-Phase Permanent Connection</t>
  </si>
  <si>
    <t>Septic Tank</t>
  </si>
  <si>
    <t>Excellent</t>
  </si>
  <si>
    <t>100% completed Building.</t>
  </si>
  <si>
    <t>RR Masonery</t>
  </si>
  <si>
    <t>Load Bearing Structure</t>
  </si>
  <si>
    <t>Vitrified Tile</t>
  </si>
  <si>
    <t>Front Door with Country wood,</t>
  </si>
  <si>
    <t>Poor</t>
  </si>
  <si>
    <t>Residential-A1</t>
  </si>
  <si>
    <t>Ala</t>
  </si>
  <si>
    <t>KOL</t>
  </si>
  <si>
    <t>104FMY</t>
  </si>
  <si>
    <t>103VIS</t>
  </si>
  <si>
    <t>MFC</t>
  </si>
  <si>
    <t>Muthoot Fincorp</t>
  </si>
  <si>
    <t>Construction</t>
  </si>
  <si>
    <t>CONS</t>
  </si>
  <si>
    <t>NREQ</t>
  </si>
  <si>
    <t>Leasehold</t>
  </si>
  <si>
    <t>No</t>
  </si>
  <si>
    <t>Mid Town Area</t>
  </si>
  <si>
    <t>Duel Ownership</t>
  </si>
  <si>
    <t>Commercial</t>
  </si>
  <si>
    <t>Relative High</t>
  </si>
  <si>
    <t>Narrow Frontage</t>
  </si>
  <si>
    <t>Medium Size (7 to 25 Cents)</t>
  </si>
  <si>
    <t>Approx. Rectangle</t>
  </si>
  <si>
    <t>Good Vista</t>
  </si>
  <si>
    <t>Single-Phase Temporary Connection</t>
  </si>
  <si>
    <t>Sewage Treatment Plant</t>
  </si>
  <si>
    <t>Good</t>
  </si>
  <si>
    <t>Works upto plinth level completed.</t>
  </si>
  <si>
    <t>Strip Footing</t>
  </si>
  <si>
    <t>RCC Framed Structure</t>
  </si>
  <si>
    <t>Tiled Roof [Mangalore Pattern]</t>
  </si>
  <si>
    <t>Ceramic Tile</t>
  </si>
  <si>
    <t>Front Door with Teak wood,</t>
  </si>
  <si>
    <t>Standard</t>
  </si>
  <si>
    <t>Owner Occupied</t>
  </si>
  <si>
    <t>Lodging house &amp; Special Residential-A2</t>
  </si>
  <si>
    <t>Bharanickavu</t>
  </si>
  <si>
    <t>109NNU</t>
  </si>
  <si>
    <t>BAJ</t>
  </si>
  <si>
    <t>Bajaj Finance Ltd</t>
  </si>
  <si>
    <t>Renovation</t>
  </si>
  <si>
    <t>RENO</t>
  </si>
  <si>
    <t>Old-Survey</t>
  </si>
  <si>
    <t>Outskirts of Town</t>
  </si>
  <si>
    <t>Multiple Ownership</t>
  </si>
  <si>
    <t>Industrial</t>
  </si>
  <si>
    <t>Relative Low</t>
  </si>
  <si>
    <t>Double Frontage</t>
  </si>
  <si>
    <t>Large Size(Above 25 Cents)</t>
  </si>
  <si>
    <t>Approx. Triangle</t>
  </si>
  <si>
    <t>Medium Vista</t>
  </si>
  <si>
    <t>Three-Phase Permanent Connection</t>
  </si>
  <si>
    <t>Fair</t>
  </si>
  <si>
    <t>Masonry works upto GF lintel completed.</t>
  </si>
  <si>
    <t>Raft/Mat</t>
  </si>
  <si>
    <t>Composite Structure (Partially load bearing and partially RCC framed Structure)</t>
  </si>
  <si>
    <t>Sheet Roof</t>
  </si>
  <si>
    <t>Granite</t>
  </si>
  <si>
    <t>Front Door with Steel,</t>
  </si>
  <si>
    <t>Premium</t>
  </si>
  <si>
    <t>Applicant Occupied</t>
  </si>
  <si>
    <t>Educational - B</t>
  </si>
  <si>
    <t>Chengannur</t>
  </si>
  <si>
    <t>115RMY</t>
  </si>
  <si>
    <t>PNB</t>
  </si>
  <si>
    <t>PNB Housing Finance Ltd</t>
  </si>
  <si>
    <t>Improvements</t>
  </si>
  <si>
    <t>IMPR</t>
  </si>
  <si>
    <t>Sthirapuncha</t>
  </si>
  <si>
    <t>Other</t>
  </si>
  <si>
    <t>Tandem Plot</t>
  </si>
  <si>
    <t>"L" Shape</t>
  </si>
  <si>
    <t>Obstructed Vista</t>
  </si>
  <si>
    <t>No Connection</t>
  </si>
  <si>
    <t>Masonry works upto GF roof level completed.</t>
  </si>
  <si>
    <t>Pile (Deep Foundation)</t>
  </si>
  <si>
    <t>Semi Permanent Structure</t>
  </si>
  <si>
    <t>Part RCC and Part Tiled Roof [Mangalore Pattern]</t>
  </si>
  <si>
    <t>Marble</t>
  </si>
  <si>
    <t>Other Frames and Shutters with Country Woods, Fiber Doors</t>
  </si>
  <si>
    <t>NIL</t>
  </si>
  <si>
    <t>Tenant Occupied</t>
  </si>
  <si>
    <t>Medical/Hospital-C</t>
  </si>
  <si>
    <t>Cheppadu</t>
  </si>
  <si>
    <t>107SRJ</t>
  </si>
  <si>
    <t>DCB</t>
  </si>
  <si>
    <t>Extension</t>
  </si>
  <si>
    <t>EXTE</t>
  </si>
  <si>
    <t>Corner Plot</t>
  </si>
  <si>
    <t>Irregular polygon</t>
  </si>
  <si>
    <t>GF slab casting completed</t>
  </si>
  <si>
    <t>As per structural Requirements</t>
  </si>
  <si>
    <t>Purely Temporary Structures</t>
  </si>
  <si>
    <t>Part RCC and Part Sheet Roof</t>
  </si>
  <si>
    <t>Mosaic</t>
  </si>
  <si>
    <t>Other Frames and Shutters with MS Steel,Fiber Doors</t>
  </si>
  <si>
    <t>Office -E</t>
  </si>
  <si>
    <t>Cheruthana</t>
  </si>
  <si>
    <t>999OTR</t>
  </si>
  <si>
    <t>108BJU</t>
  </si>
  <si>
    <t>AXS</t>
  </si>
  <si>
    <t>Axis Bank</t>
  </si>
  <si>
    <t>Loan_Against_Property</t>
  </si>
  <si>
    <t>LAPL</t>
  </si>
  <si>
    <t>Land Locaked Plot</t>
  </si>
  <si>
    <t>Masonry works upto FF lintel completed.</t>
  </si>
  <si>
    <t>Part Tiled Roof [Mangalore Pattern] and Part Sheet Roof</t>
  </si>
  <si>
    <t>Redoxide</t>
  </si>
  <si>
    <t>Other with Concrete,Country Woods, Fiber Doors</t>
  </si>
  <si>
    <t>Mercantile/Commercial-F</t>
  </si>
  <si>
    <t>Chunakara</t>
  </si>
  <si>
    <t>Trivandrum</t>
  </si>
  <si>
    <t>Take_Over</t>
  </si>
  <si>
    <t>TAKO</t>
  </si>
  <si>
    <t>Masonry works upto FF roof level completed.</t>
  </si>
  <si>
    <t>Part RCC, Part Tiled Roof [Mangalore Pattern] and Part Sheet Roof</t>
  </si>
  <si>
    <t>Cement Concrete Floor</t>
  </si>
  <si>
    <t>Other with Country Woods,UpVC's, Fiber Doors</t>
  </si>
  <si>
    <t>110NDU</t>
  </si>
  <si>
    <t>Partial_Dirusbursement</t>
  </si>
  <si>
    <t>PDPD</t>
  </si>
  <si>
    <t>FF slab Casting Completed.</t>
  </si>
  <si>
    <t>Edathuva</t>
  </si>
  <si>
    <t>KOT</t>
  </si>
  <si>
    <t>112ULP</t>
  </si>
  <si>
    <t>RESL</t>
  </si>
  <si>
    <t>Masonry works upto SF lintel completed.</t>
  </si>
  <si>
    <t>114JAY</t>
  </si>
  <si>
    <t>TopUp</t>
  </si>
  <si>
    <t>TOPU</t>
  </si>
  <si>
    <t>Masonry works upto SF roof level completed.</t>
  </si>
  <si>
    <t>Kayankulam</t>
  </si>
  <si>
    <t>NPA</t>
  </si>
  <si>
    <t>NPAA</t>
  </si>
  <si>
    <t>SF slab Casting Completed.</t>
  </si>
  <si>
    <t>117VMJ</t>
  </si>
  <si>
    <t>Entire inside &amp; outside plastering completed</t>
  </si>
  <si>
    <t>Mavelikkara</t>
  </si>
  <si>
    <t>Waynad</t>
  </si>
  <si>
    <t>Flooring Completed.</t>
  </si>
  <si>
    <t>Kasarkod</t>
  </si>
  <si>
    <t>Internal &amp; External electrical works completed.</t>
  </si>
  <si>
    <t>Mulakuzhy</t>
  </si>
  <si>
    <t>Painting &amp; Finishing works is in progress</t>
  </si>
  <si>
    <t>Interior decoration works is in progress</t>
  </si>
  <si>
    <t>Palamel</t>
  </si>
  <si>
    <t>Pallippadu</t>
  </si>
  <si>
    <t>Puliyoor</t>
  </si>
  <si>
    <t>Thamarakulam</t>
  </si>
  <si>
    <t>Thiruvandoor</t>
  </si>
  <si>
    <t>Thrikkunnappuzha</t>
  </si>
  <si>
    <t>Vallikunnam</t>
  </si>
  <si>
    <t>Venmoney</t>
  </si>
  <si>
    <t>ALP</t>
  </si>
  <si>
    <t>Area</t>
  </si>
  <si>
    <t>Land and Building</t>
  </si>
  <si>
    <t>Apartment</t>
  </si>
  <si>
    <t>address frm office</t>
  </si>
  <si>
    <t>Size of land</t>
  </si>
  <si>
    <t>Button Vlook up</t>
  </si>
  <si>
    <t>Engineers /Approved Plan</t>
  </si>
  <si>
    <t>Vlook</t>
  </si>
  <si>
    <t>Small extent</t>
  </si>
  <si>
    <t>Medium extent</t>
  </si>
  <si>
    <t>Large extent</t>
  </si>
  <si>
    <t>Extra Large extent</t>
  </si>
  <si>
    <t>North side</t>
  </si>
  <si>
    <t>East side</t>
  </si>
  <si>
    <t>South side</t>
  </si>
  <si>
    <t>West side</t>
  </si>
  <si>
    <t>Pvt road</t>
  </si>
  <si>
    <t>Demarcation</t>
  </si>
  <si>
    <t>Sentence</t>
  </si>
  <si>
    <t>If function</t>
  </si>
  <si>
    <t>Plot has National Highway Access</t>
  </si>
  <si>
    <t>self</t>
  </si>
  <si>
    <t>This road is exclusive used by the owner.</t>
  </si>
  <si>
    <t>Plot has State Highway Access</t>
  </si>
  <si>
    <t>self + 1 user</t>
  </si>
  <si>
    <t>This road is used by the owner and another user.</t>
  </si>
  <si>
    <t>PWD Rd.</t>
  </si>
  <si>
    <t>Plot has PWD road  Access</t>
  </si>
  <si>
    <t>self + 2 user</t>
  </si>
  <si>
    <t>This road is used by the owner and two other user.</t>
  </si>
  <si>
    <t>Pan Rd.</t>
  </si>
  <si>
    <t>Plot has Panchayat road Access</t>
  </si>
  <si>
    <t>self + 3 user</t>
  </si>
  <si>
    <t>This road is used by the owner and three other user.</t>
  </si>
  <si>
    <t>Mun Rd.</t>
  </si>
  <si>
    <t>Plot has Municipal road Access</t>
  </si>
  <si>
    <t>Multiple User</t>
  </si>
  <si>
    <t>This road is used by multiple users.</t>
  </si>
  <si>
    <t>Cor Rd.</t>
  </si>
  <si>
    <t>Plot has Corporation road Access</t>
  </si>
  <si>
    <t>Pvt Rd.</t>
  </si>
  <si>
    <t>No access</t>
  </si>
  <si>
    <t>The plot has no access, making it landlocked. In this context, the value of the plot may reduced to 25% of the market value, making the property less marketable.</t>
  </si>
  <si>
    <t>CRZ-I</t>
  </si>
  <si>
    <t xml:space="preserve"> The property is in CRZ Zone-I as per the CRZ Notification-2011 . CRZ Zone-I is the most environmentally critical area; therefore, no construction activities are permitted in this zone.</t>
  </si>
  <si>
    <t>CRZ-II</t>
  </si>
  <si>
    <t>The property is in CRZ Zone-II as per the CRZ Notification-2011 . In this zone , Construction of buildings for various purposes is allowed only on the landward side of existing roads or authorized structures with further requlations in FSI. No construction is permitted on the landward side of new roads built on the seaward side of existing roads. In this context, the property is fairly marketable.</t>
  </si>
  <si>
    <t>CRZ-III NDZ</t>
  </si>
  <si>
    <t>The property is in CRZ-Zone III (NDZ) as per the CRZ Notification-2011. No construction is permitted within NDZ in CRZ III, except for repairs or reconstruction of existing authorised structure not exceeding existing Floor Space Index, existing plinth area and existing density and for permissible activities under this notification including facilities essential for activities and construction or reconstruction of dwelling units of traditional coastal communities including fisher folk, incorporating necessary disaster management provisions and proper sanitation arrangements. In this context, the property is poorly marketable.</t>
  </si>
  <si>
    <t>CRZ-III 200m to 500m</t>
  </si>
  <si>
    <t>The property is in CRZ-Zone III (200m to 500m) as per the CRZ Notification-2011. In this zone Construction or reconstruction of dwelling units, so long it is within the ambit of traditional rights and customary uses such as existing fishing villages, etc. and building permission for such construction or reconstruction will be subject to local town and country planning 
rules, with an overall height of construction not exceeding 9 meters and with only two 
floors (ground + one floor).  In this context, the property is fairly marketable.</t>
  </si>
  <si>
    <t>Total BUA</t>
  </si>
  <si>
    <t>GF BUA</t>
  </si>
  <si>
    <t>Total Extent</t>
  </si>
  <si>
    <t>Permissible Coverage</t>
  </si>
  <si>
    <t>Permissible FSI</t>
  </si>
  <si>
    <t>Actual Coverage</t>
  </si>
  <si>
    <t>Actual FSI</t>
  </si>
  <si>
    <t xml:space="preserve"> no coverage violation</t>
  </si>
  <si>
    <t xml:space="preserve">  and has no FSI violation.</t>
  </si>
  <si>
    <t>Set Back</t>
  </si>
  <si>
    <t>Col-2</t>
  </si>
  <si>
    <t>Col-3</t>
  </si>
  <si>
    <t>col-4 
(200 to 500 sqM)</t>
  </si>
  <si>
    <t>col-5
(above 500 sqM)</t>
  </si>
  <si>
    <t>Column-6</t>
  </si>
  <si>
    <t>Final</t>
  </si>
  <si>
    <t>Column</t>
  </si>
  <si>
    <t>Front</t>
  </si>
  <si>
    <t>Rear</t>
  </si>
  <si>
    <t>Sides</t>
  </si>
  <si>
    <t>Plot area</t>
  </si>
  <si>
    <t>Col-2 limit</t>
  </si>
  <si>
    <t>Condition</t>
  </si>
  <si>
    <t>Limit</t>
  </si>
  <si>
    <t>The building does not have any setback violation</t>
  </si>
  <si>
    <t xml:space="preserve">The building have setback violation  with an </t>
  </si>
  <si>
    <t>Depreciation</t>
  </si>
  <si>
    <t>Life</t>
  </si>
  <si>
    <t>Actaul Age</t>
  </si>
  <si>
    <t>Virtual Age</t>
  </si>
  <si>
    <t>Land Value per cent</t>
  </si>
  <si>
    <t>Land value per SqM</t>
  </si>
  <si>
    <t>Land Value per SqFt</t>
  </si>
  <si>
    <t>Land Class</t>
  </si>
  <si>
    <t>Possesion</t>
  </si>
  <si>
    <t xml:space="preserve">Dry Land </t>
  </si>
  <si>
    <t>4-Side Matching</t>
  </si>
  <si>
    <t>3-Side Matching</t>
  </si>
  <si>
    <t>2-Adjacent Side Matching</t>
  </si>
  <si>
    <t>2-Opposite Side Matching</t>
  </si>
  <si>
    <t>1-Side Matching</t>
  </si>
  <si>
    <t>No Side Matching</t>
  </si>
  <si>
    <t>EKM</t>
  </si>
  <si>
    <t>TSR</t>
  </si>
  <si>
    <t>KNR</t>
  </si>
  <si>
    <t>TVM</t>
  </si>
  <si>
    <t>PTM</t>
  </si>
  <si>
    <t>IDK</t>
  </si>
  <si>
    <t>PKD</t>
  </si>
  <si>
    <t>MLP</t>
  </si>
  <si>
    <t>KZK</t>
  </si>
  <si>
    <t>WYN</t>
  </si>
  <si>
    <t>KSG</t>
  </si>
  <si>
    <t>Bank</t>
  </si>
  <si>
    <t>Emp Code</t>
  </si>
  <si>
    <t>Type of Loan</t>
  </si>
  <si>
    <t>Purpose of Valuation</t>
  </si>
  <si>
    <t>Subject For Valuation</t>
  </si>
  <si>
    <t>Subject Classification by Client</t>
  </si>
  <si>
    <t>Subject Type</t>
  </si>
  <si>
    <t>ValAPp  Agreemen</t>
  </si>
  <si>
    <t>Local Body Type</t>
  </si>
  <si>
    <t>OldSurvey/Survey/Resurvey</t>
  </si>
  <si>
    <t>Type of Land as per Land Tax Receipt.</t>
  </si>
  <si>
    <t>General</t>
  </si>
  <si>
    <t>Water Supply/Electrical/Sewerage</t>
  </si>
  <si>
    <t>Occupancy of Building</t>
  </si>
  <si>
    <t>Type of Constuction</t>
  </si>
  <si>
    <t>Number of Floor Including Basement</t>
  </si>
  <si>
    <t>Foundation</t>
  </si>
  <si>
    <t>Flooring/skirting/Dados</t>
  </si>
  <si>
    <t>Joineries</t>
  </si>
  <si>
    <t>Water Supply and Sanitary Installations/Marketability</t>
  </si>
  <si>
    <t>Kitchen Cabinets</t>
  </si>
  <si>
    <t>Tech Code</t>
  </si>
  <si>
    <t>Classification of Building</t>
  </si>
  <si>
    <t xml:space="preserve">From Link </t>
  </si>
  <si>
    <t>2.Employee Code</t>
  </si>
  <si>
    <t>6.Loan Type</t>
  </si>
  <si>
    <t>13.Purpose of Valuation</t>
  </si>
  <si>
    <t>8.Building Approval Drawings</t>
  </si>
  <si>
    <t>11.Electric Lines and Power Supply</t>
  </si>
  <si>
    <t>12.Sewerage and Draingae Mains</t>
  </si>
  <si>
    <t>Plot Purchase</t>
  </si>
  <si>
    <t>Bank Finance[Mortgage]</t>
  </si>
  <si>
    <t>f.Grama Panchayat</t>
  </si>
  <si>
    <t>Purayidam[Residential Land]</t>
  </si>
  <si>
    <t>Front Door with Teak Wood, Others with country woods, Fiber Doors.</t>
  </si>
  <si>
    <t>DEN</t>
  </si>
  <si>
    <t>g.Re-Survey Block No.</t>
  </si>
  <si>
    <t>Re-Survey Block No.</t>
  </si>
  <si>
    <t>h.Re-Survey No.</t>
  </si>
  <si>
    <t>i.Re-Survey Sub-Div No.</t>
  </si>
  <si>
    <t>Bank Finance [Mortgage]</t>
  </si>
  <si>
    <t>Approved plan Available</t>
  </si>
  <si>
    <t>102SOR</t>
  </si>
  <si>
    <t>Home Loan</t>
  </si>
  <si>
    <t>Visa Processing</t>
  </si>
  <si>
    <t>f.Muncipality</t>
  </si>
  <si>
    <t>Muncipality</t>
  </si>
  <si>
    <t>Resurvey</t>
  </si>
  <si>
    <t>Nilam [Wet Land]</t>
  </si>
  <si>
    <t>G+1</t>
  </si>
  <si>
    <t>Tiled Roof (Mangalore Pattern)</t>
  </si>
  <si>
    <t>Front Door with Teak Wood, Others with country woods,UPVC's and Fiber Doors.</t>
  </si>
  <si>
    <t>SEB</t>
  </si>
  <si>
    <t>g.Survey Block No.</t>
  </si>
  <si>
    <t>Survey Block No.</t>
  </si>
  <si>
    <t>h.Survey No.</t>
  </si>
  <si>
    <t>i.Survey Sub-Div No.</t>
  </si>
  <si>
    <t>101ABI</t>
  </si>
  <si>
    <t>Engineers plan Available</t>
  </si>
  <si>
    <t>103FMY</t>
  </si>
  <si>
    <t>HL-Construction</t>
  </si>
  <si>
    <t>Partially</t>
  </si>
  <si>
    <t>f.Municipal Corporation</t>
  </si>
  <si>
    <t>Old Survey</t>
  </si>
  <si>
    <t>Nilam [Paddy Land]</t>
  </si>
  <si>
    <t>Composite Structure</t>
  </si>
  <si>
    <t>G+2</t>
  </si>
  <si>
    <t>Isolated Step Footing</t>
  </si>
  <si>
    <t>Front Door with Teak Wood, Others with concrete and Fiber Doors.</t>
  </si>
  <si>
    <t>g.Old Survey Block No.</t>
  </si>
  <si>
    <t>Old Survey Block No.</t>
  </si>
  <si>
    <t>h.Old-Survey No.</t>
  </si>
  <si>
    <t>i.Old Survey Sub-Div no.</t>
  </si>
  <si>
    <t>Fiscal [Capital Gain Tax]</t>
  </si>
  <si>
    <t>104VIS</t>
  </si>
  <si>
    <t>HL-Improvement</t>
  </si>
  <si>
    <t>f.Corporation</t>
  </si>
  <si>
    <t>Semi-permanent Structure</t>
  </si>
  <si>
    <t>G+3</t>
  </si>
  <si>
    <t>Part RCC and Part Tiled (Mangalore Pattern)</t>
  </si>
  <si>
    <t>Front Door with Teak Wood, Others with Aluminiums and Fiber Doors.</t>
  </si>
  <si>
    <t>HL-Renovation</t>
  </si>
  <si>
    <t>105BJU</t>
  </si>
  <si>
    <t>HL- Extension</t>
  </si>
  <si>
    <t>Purely Temporary Structure</t>
  </si>
  <si>
    <t>B+G+1</t>
  </si>
  <si>
    <t>Pile(Deep Foundation)</t>
  </si>
  <si>
    <t>Part RCC and Part Sheet Roofing</t>
  </si>
  <si>
    <t>TOP-UP</t>
  </si>
  <si>
    <t>As per Structural Requirements</t>
  </si>
  <si>
    <t>Part Tiled Roofing(Mangalore Pattern) and Part Sheet Roofing</t>
  </si>
  <si>
    <t>OTHERO</t>
  </si>
  <si>
    <t>Take-Over</t>
  </si>
  <si>
    <t>Part RCC, Part Tiled Roof(Mangalore Pattern) and Part Sheet Roofing.</t>
  </si>
  <si>
    <t>Equity [LAP]</t>
  </si>
  <si>
    <t>Partial Disbursement [PD]</t>
  </si>
  <si>
    <t>Loan Against Property</t>
  </si>
  <si>
    <t>LTR,BTR,Engineers Plan</t>
  </si>
  <si>
    <t>Naseer</t>
  </si>
  <si>
    <t>PWD Road</t>
  </si>
  <si>
    <t>Suresh</t>
  </si>
  <si>
    <t>Gireesh,Sreemathy</t>
  </si>
  <si>
    <t xml:space="preserve"> completed</t>
  </si>
  <si>
    <t>Tar Road</t>
  </si>
  <si>
    <t>10M</t>
  </si>
  <si>
    <t>Lap</t>
  </si>
  <si>
    <t>VINOD KUMAR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</si>
</sst>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quot;₹&quot;\ #,##0.00"/>
  </numFmts>
  <fonts count="50">
    <font>
      <sz val="11"/>
      <color theme="1"/>
      <name val="Calibri"/>
      <charset val="134"/>
      <scheme val="minor"/>
    </font>
    <font>
      <sz val="14"/>
      <color theme="1"/>
      <name val="Calibri"/>
      <family val="2"/>
      <scheme val="minor"/>
    </font>
    <font>
      <sz val="11"/>
      <color rgb="FFFF0000"/>
      <name val="Calibri"/>
      <family val="2"/>
      <scheme val="minor"/>
    </font>
    <font>
      <b/>
      <sz val="11"/>
      <color theme="1"/>
      <name val="Calibri"/>
      <family val="2"/>
      <scheme val="minor"/>
    </font>
    <font>
      <b/>
      <u/>
      <sz val="11"/>
      <color theme="1"/>
      <name val="Calibri"/>
      <family val="2"/>
      <scheme val="minor"/>
    </font>
    <font>
      <sz val="12"/>
      <color theme="1"/>
      <name val="Times New Roman"/>
      <family val="1"/>
    </font>
    <font>
      <b/>
      <sz val="12"/>
      <color theme="1"/>
      <name val="Times New Roman"/>
      <family val="1"/>
    </font>
    <font>
      <sz val="11"/>
      <color theme="8" tint="0.59999389629810485"/>
      <name val="Calibri"/>
      <family val="2"/>
      <scheme val="minor"/>
    </font>
    <font>
      <sz val="11"/>
      <name val="Calibri"/>
      <family val="2"/>
      <scheme val="minor"/>
    </font>
    <font>
      <b/>
      <sz val="12"/>
      <color rgb="FF0066CC"/>
      <name val="Times New Roman"/>
      <family val="1"/>
    </font>
    <font>
      <b/>
      <sz val="11"/>
      <name val="Calibri"/>
      <family val="2"/>
      <scheme val="minor"/>
    </font>
    <font>
      <b/>
      <sz val="10"/>
      <name val="Calibri"/>
      <family val="2"/>
      <scheme val="minor"/>
    </font>
    <font>
      <b/>
      <sz val="8"/>
      <name val="Calibri"/>
      <family val="2"/>
      <scheme val="minor"/>
    </font>
    <font>
      <b/>
      <sz val="11"/>
      <color rgb="FFC00000"/>
      <name val="Calibri"/>
      <family val="2"/>
      <scheme val="minor"/>
    </font>
    <font>
      <sz val="11"/>
      <color indexed="30"/>
      <name val="Calibri"/>
      <family val="2"/>
      <scheme val="minor"/>
    </font>
    <font>
      <sz val="12"/>
      <name val="Times New Roman"/>
      <family val="1"/>
    </font>
    <font>
      <u/>
      <sz val="12"/>
      <color theme="10"/>
      <name val="Times New Roman"/>
      <family val="1"/>
    </font>
    <font>
      <u/>
      <sz val="12"/>
      <name val="Times New Roman"/>
      <family val="1"/>
    </font>
    <font>
      <sz val="12"/>
      <color rgb="FF000000"/>
      <name val="Times New Roman"/>
      <family val="1"/>
    </font>
    <font>
      <b/>
      <sz val="12"/>
      <color theme="1"/>
      <name val="Calibri"/>
      <family val="2"/>
      <scheme val="minor"/>
    </font>
    <font>
      <b/>
      <sz val="18"/>
      <color theme="1"/>
      <name val="Algerian"/>
      <family val="5"/>
    </font>
    <font>
      <b/>
      <u/>
      <sz val="11"/>
      <name val="Calibri"/>
      <family val="2"/>
      <scheme val="minor"/>
    </font>
    <font>
      <b/>
      <sz val="8"/>
      <color theme="1"/>
      <name val="Calibri"/>
      <family val="2"/>
      <scheme val="minor"/>
    </font>
    <font>
      <sz val="8"/>
      <color theme="1"/>
      <name val="Calibri"/>
      <family val="2"/>
      <scheme val="minor"/>
    </font>
    <font>
      <sz val="8"/>
      <color rgb="FFFF0000"/>
      <name val="Calibri"/>
      <family val="2"/>
      <scheme val="minor"/>
    </font>
    <font>
      <sz val="11"/>
      <color rgb="FFFF0066"/>
      <name val="Calibri"/>
      <family val="2"/>
      <scheme val="minor"/>
    </font>
    <font>
      <b/>
      <sz val="9"/>
      <color theme="1"/>
      <name val="Calibri"/>
      <family val="2"/>
      <scheme val="minor"/>
    </font>
    <font>
      <sz val="12"/>
      <color theme="1"/>
      <name val="Calibri"/>
      <family val="2"/>
      <scheme val="minor"/>
    </font>
    <font>
      <sz val="12"/>
      <color theme="8" tint="0.59999389629810485"/>
      <name val="Times New Roman"/>
      <family val="1"/>
    </font>
    <font>
      <sz val="12"/>
      <color rgb="FFFF0066"/>
      <name val="Times New Roman"/>
      <family val="1"/>
    </font>
    <font>
      <sz val="12"/>
      <color theme="9" tint="0.79992065187536243"/>
      <name val="Times New Roman"/>
      <family val="1"/>
    </font>
    <font>
      <b/>
      <sz val="14"/>
      <color theme="0"/>
      <name val="Aharoni"/>
      <charset val="177"/>
    </font>
    <font>
      <b/>
      <sz val="11"/>
      <name val="Baskerville Old Face"/>
      <family val="1"/>
    </font>
    <font>
      <b/>
      <sz val="11"/>
      <color theme="1" tint="0.499984740745262"/>
      <name val="Baskerville Old Face"/>
      <family val="1"/>
    </font>
    <font>
      <sz val="12"/>
      <color theme="1" tint="0.499984740745262"/>
      <name val="Times New Roman"/>
      <family val="1"/>
    </font>
    <font>
      <b/>
      <sz val="14"/>
      <color theme="0" tint="-4.9989318521683403E-2"/>
      <name val="Aharoni"/>
      <charset val="177"/>
    </font>
    <font>
      <b/>
      <sz val="12"/>
      <name val="Times New Roman"/>
      <family val="1"/>
    </font>
    <font>
      <b/>
      <sz val="12"/>
      <color theme="1" tint="4.9989318521683403E-2"/>
      <name val="Times New Roman"/>
      <family val="1"/>
    </font>
    <font>
      <sz val="12"/>
      <color theme="9" tint="-0.499984740745262"/>
      <name val="Times New Roman"/>
      <family val="1"/>
    </font>
    <font>
      <b/>
      <sz val="22"/>
      <color theme="1"/>
      <name val="Algerian"/>
      <family val="5"/>
    </font>
    <font>
      <b/>
      <sz val="12"/>
      <color rgb="FFFF0000"/>
      <name val="Calibri"/>
      <family val="2"/>
      <scheme val="minor"/>
    </font>
    <font>
      <b/>
      <sz val="12"/>
      <color theme="4" tint="0.59999389629810485"/>
      <name val="Calibri"/>
      <family val="2"/>
      <scheme val="minor"/>
    </font>
    <font>
      <b/>
      <sz val="12"/>
      <name val="Calibri"/>
      <family val="2"/>
      <scheme val="minor"/>
    </font>
    <font>
      <sz val="11"/>
      <color theme="1"/>
      <name val="Calibri"/>
      <family val="2"/>
      <scheme val="minor"/>
    </font>
    <font>
      <u/>
      <sz val="11"/>
      <color theme="10"/>
      <name val="Calibri"/>
      <family val="2"/>
      <scheme val="minor"/>
    </font>
    <font>
      <b/>
      <sz val="20"/>
      <color rgb="FF0066CC"/>
      <name val="Times New Roman"/>
      <family val="1"/>
    </font>
    <font>
      <sz val="11"/>
      <color rgb="FF0066CC"/>
      <name val="Times New Roman"/>
      <family val="1"/>
    </font>
    <font>
      <sz val="11"/>
      <color rgb="FFFF00FF"/>
      <name val="Calibri"/>
      <family val="2"/>
    </font>
    <font>
      <sz val="11"/>
      <color rgb="FF000000"/>
      <name val="Calibri"/>
      <family val="2"/>
    </font>
    <font>
      <sz val="12"/>
      <name val="Times New Roman"/>
      <family val="1"/>
    </font>
  </fonts>
  <fills count="25">
    <fill>
      <patternFill patternType="none"/>
    </fill>
    <fill>
      <patternFill patternType="gray125"/>
    </fill>
    <fill>
      <patternFill patternType="solid">
        <fgColor rgb="FFFFFF00"/>
        <bgColor indexed="64"/>
      </patternFill>
    </fill>
    <fill>
      <patternFill patternType="solid">
        <fgColor theme="0" tint="-0.499984740745262"/>
        <bgColor indexed="64"/>
      </patternFill>
    </fill>
    <fill>
      <patternFill patternType="solid">
        <fgColor theme="9"/>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9" tint="0.79992065187536243"/>
        <bgColor indexed="64"/>
      </patternFill>
    </fill>
    <fill>
      <patternFill patternType="solid">
        <fgColor theme="0" tint="-0.14993743705557422"/>
        <bgColor indexed="64"/>
      </patternFill>
    </fill>
    <fill>
      <patternFill patternType="solid">
        <fgColor theme="9" tint="-0.249977111117893"/>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0"/>
        <bgColor indexed="64"/>
      </patternFill>
    </fill>
    <fill>
      <patternFill patternType="solid">
        <fgColor theme="4" tint="0.79992065187536243"/>
        <bgColor indexed="64"/>
      </patternFill>
    </fill>
    <fill>
      <patternFill patternType="solid">
        <fgColor theme="5" tint="0.79992065187536243"/>
        <bgColor indexed="64"/>
      </patternFill>
    </fill>
    <fill>
      <patternFill patternType="solid">
        <fgColor theme="7" tint="0.79992065187536243"/>
        <bgColor indexed="64"/>
      </patternFill>
    </fill>
    <fill>
      <patternFill patternType="solid">
        <fgColor theme="8" tint="0.79992065187536243"/>
        <bgColor indexed="64"/>
      </patternFill>
    </fill>
    <fill>
      <patternFill patternType="solid">
        <fgColor rgb="FFFF0000"/>
        <bgColor indexed="64"/>
      </patternFill>
    </fill>
    <fill>
      <patternFill patternType="solid">
        <fgColor theme="4" tint="0.39991454817346722"/>
        <bgColor indexed="64"/>
      </patternFill>
    </fill>
    <fill>
      <patternFill patternType="solid">
        <fgColor theme="3" tint="-0.249977111117893"/>
        <bgColor indexed="64"/>
      </patternFill>
    </fill>
    <fill>
      <patternFill patternType="solid">
        <fgColor theme="5" tint="-0.249977111117893"/>
        <bgColor indexed="64"/>
      </patternFill>
    </fill>
  </fills>
  <borders count="11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top style="medium">
        <color auto="1"/>
      </top>
      <bottom style="medium">
        <color auto="1"/>
      </bottom>
      <diagonal/>
    </border>
    <border>
      <left style="medium">
        <color theme="9" tint="-0.499984740745262"/>
      </left>
      <right style="medium">
        <color theme="9" tint="-0.499984740745262"/>
      </right>
      <top style="medium">
        <color theme="9" tint="-0.499984740745262"/>
      </top>
      <bottom/>
      <diagonal/>
    </border>
    <border>
      <left style="medium">
        <color theme="9" tint="-0.499984740745262"/>
      </left>
      <right style="medium">
        <color theme="9" tint="-0.499984740745262"/>
      </right>
      <top/>
      <bottom/>
      <diagonal/>
    </border>
    <border>
      <left style="medium">
        <color theme="9" tint="-0.499984740745262"/>
      </left>
      <right style="medium">
        <color theme="9" tint="-0.499984740745262"/>
      </right>
      <top/>
      <bottom style="medium">
        <color theme="9" tint="-0.499984740745262"/>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auto="1"/>
      </left>
      <right style="medium">
        <color auto="1"/>
      </right>
      <top style="medium">
        <color auto="1"/>
      </top>
      <bottom style="thin">
        <color auto="1"/>
      </bottom>
      <diagonal/>
    </border>
    <border>
      <left style="medium">
        <color theme="9" tint="-0.249977111117893"/>
      </left>
      <right/>
      <top style="medium">
        <color theme="9" tint="-0.249977111117893"/>
      </top>
      <bottom/>
      <diagonal/>
    </border>
    <border>
      <left/>
      <right/>
      <top style="medium">
        <color theme="9" tint="-0.249977111117893"/>
      </top>
      <bottom/>
      <diagonal/>
    </border>
    <border>
      <left style="medium">
        <color theme="9" tint="-0.249977111117893"/>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top/>
      <bottom/>
      <diagonal/>
    </border>
    <border>
      <left style="thin">
        <color theme="0"/>
      </left>
      <right/>
      <top style="thin">
        <color theme="0"/>
      </top>
      <bottom style="thin">
        <color theme="0"/>
      </bottom>
      <diagonal/>
    </border>
    <border>
      <left style="thin">
        <color rgb="FFFFC000"/>
      </left>
      <right style="thin">
        <color rgb="FFFFC000"/>
      </right>
      <top style="thin">
        <color rgb="FFFFC000"/>
      </top>
      <bottom style="thin">
        <color rgb="FFFFC000"/>
      </bottom>
      <diagonal/>
    </border>
    <border>
      <left style="thin">
        <color rgb="FFFFC000"/>
      </left>
      <right style="thin">
        <color rgb="FFFFC000"/>
      </right>
      <top style="thin">
        <color rgb="FFFFC000"/>
      </top>
      <bottom/>
      <diagonal/>
    </border>
    <border>
      <left style="thin">
        <color theme="0"/>
      </left>
      <right/>
      <top style="thin">
        <color theme="0"/>
      </top>
      <bottom/>
      <diagonal/>
    </border>
    <border>
      <left/>
      <right/>
      <top style="thin">
        <color theme="0"/>
      </top>
      <bottom/>
      <diagonal/>
    </border>
    <border>
      <left style="thin">
        <color theme="0"/>
      </left>
      <right/>
      <top/>
      <bottom style="thin">
        <color theme="0"/>
      </bottom>
      <diagonal/>
    </border>
    <border>
      <left/>
      <right/>
      <top/>
      <bottom style="thin">
        <color theme="0"/>
      </bottom>
      <diagonal/>
    </border>
    <border>
      <left/>
      <right/>
      <top style="thin">
        <color theme="0"/>
      </top>
      <bottom style="thin">
        <color theme="0"/>
      </bottom>
      <diagonal/>
    </border>
    <border>
      <left style="thin">
        <color rgb="FFFFC000"/>
      </left>
      <right style="thin">
        <color rgb="FFFFC000"/>
      </right>
      <top/>
      <bottom style="thin">
        <color rgb="FFFFC000"/>
      </bottom>
      <diagonal/>
    </border>
    <border>
      <left style="medium">
        <color theme="7" tint="0.59999389629810485"/>
      </left>
      <right/>
      <top style="medium">
        <color theme="7" tint="0.59999389629810485"/>
      </top>
      <bottom/>
      <diagonal/>
    </border>
    <border>
      <left/>
      <right/>
      <top style="medium">
        <color theme="7" tint="0.59999389629810485"/>
      </top>
      <bottom/>
      <diagonal/>
    </border>
    <border>
      <left style="medium">
        <color theme="7" tint="0.59999389629810485"/>
      </left>
      <right style="thin">
        <color theme="0"/>
      </right>
      <top style="thin">
        <color theme="0"/>
      </top>
      <bottom style="thin">
        <color theme="0"/>
      </bottom>
      <diagonal/>
    </border>
    <border>
      <left style="medium">
        <color theme="7" tint="0.59999389629810485"/>
      </left>
      <right/>
      <top/>
      <bottom style="thin">
        <color theme="0"/>
      </bottom>
      <diagonal/>
    </border>
    <border>
      <left style="medium">
        <color theme="7" tint="0.59999389629810485"/>
      </left>
      <right/>
      <top style="thin">
        <color theme="0"/>
      </top>
      <bottom style="thin">
        <color theme="0"/>
      </bottom>
      <diagonal/>
    </border>
    <border>
      <left style="medium">
        <color theme="7" tint="0.59999389629810485"/>
      </left>
      <right/>
      <top style="thin">
        <color theme="0"/>
      </top>
      <bottom/>
      <diagonal/>
    </border>
    <border>
      <left style="thin">
        <color theme="0"/>
      </left>
      <right style="thin">
        <color theme="0"/>
      </right>
      <top/>
      <bottom/>
      <diagonal/>
    </border>
    <border>
      <left style="medium">
        <color theme="7" tint="0.59999389629810485"/>
      </left>
      <right/>
      <top/>
      <bottom style="medium">
        <color theme="7" tint="0.59999389629810485"/>
      </bottom>
      <diagonal/>
    </border>
    <border>
      <left/>
      <right/>
      <top/>
      <bottom style="medium">
        <color theme="7" tint="0.59999389629810485"/>
      </bottom>
      <diagonal/>
    </border>
    <border>
      <left style="thin">
        <color theme="0"/>
      </left>
      <right/>
      <top/>
      <bottom style="medium">
        <color theme="7" tint="0.59999389629810485"/>
      </bottom>
      <diagonal/>
    </border>
    <border>
      <left style="medium">
        <color theme="7" tint="0.59999389629810485"/>
      </left>
      <right/>
      <top/>
      <bottom/>
      <diagonal/>
    </border>
    <border>
      <left/>
      <right style="thin">
        <color theme="0"/>
      </right>
      <top/>
      <bottom/>
      <diagonal/>
    </border>
    <border>
      <left/>
      <right style="thin">
        <color theme="0"/>
      </right>
      <top/>
      <bottom style="thin">
        <color theme="0"/>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right style="medium">
        <color theme="7" tint="0.59999389629810485"/>
      </right>
      <top style="medium">
        <color theme="7" tint="0.59999389629810485"/>
      </top>
      <bottom/>
      <diagonal/>
    </border>
    <border>
      <left/>
      <right style="medium">
        <color theme="7" tint="0.59999389629810485"/>
      </right>
      <top/>
      <bottom/>
      <diagonal/>
    </border>
    <border>
      <left style="thin">
        <color theme="0"/>
      </left>
      <right style="medium">
        <color theme="7" tint="0.59999389629810485"/>
      </right>
      <top style="thin">
        <color theme="0"/>
      </top>
      <bottom style="thin">
        <color theme="0"/>
      </bottom>
      <diagonal/>
    </border>
    <border>
      <left/>
      <right style="medium">
        <color theme="7" tint="0.59999389629810485"/>
      </right>
      <top/>
      <bottom style="medium">
        <color theme="7" tint="0.59999389629810485"/>
      </bottom>
      <diagonal/>
    </border>
    <border>
      <left/>
      <right style="medium">
        <color theme="9" tint="-0.249977111117893"/>
      </right>
      <top/>
      <bottom/>
      <diagonal/>
    </border>
    <border>
      <left/>
      <right style="thin">
        <color rgb="FFFFC000"/>
      </right>
      <top/>
      <bottom/>
      <diagonal/>
    </border>
    <border>
      <left/>
      <right style="medium">
        <color theme="9" tint="-0.249977111117893"/>
      </right>
      <top style="thin">
        <color theme="0"/>
      </top>
      <bottom/>
      <diagonal/>
    </border>
    <border>
      <left style="thin">
        <color auto="1"/>
      </left>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theme="5"/>
      </left>
      <right style="thin">
        <color theme="5"/>
      </right>
      <top style="thin">
        <color theme="5"/>
      </top>
      <bottom style="thin">
        <color theme="5"/>
      </bottom>
      <diagonal/>
    </border>
    <border>
      <left style="thin">
        <color auto="1"/>
      </left>
      <right style="thin">
        <color auto="1"/>
      </right>
      <top/>
      <bottom style="thin">
        <color auto="1"/>
      </bottom>
      <diagonal/>
    </border>
    <border>
      <left/>
      <right style="medium">
        <color theme="9" tint="-0.249977111117893"/>
      </right>
      <top style="thin">
        <color theme="5"/>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style="thin">
        <color auto="1"/>
      </top>
      <bottom style="thin">
        <color auto="1"/>
      </bottom>
      <diagonal/>
    </border>
    <border>
      <left/>
      <right/>
      <top/>
      <bottom style="medium">
        <color theme="9" tint="-0.249977111117893"/>
      </bottom>
      <diagonal/>
    </border>
    <border>
      <left style="thin">
        <color auto="1"/>
      </left>
      <right style="thin">
        <color auto="1"/>
      </right>
      <top/>
      <bottom/>
      <diagonal/>
    </border>
    <border>
      <left style="thin">
        <color theme="0"/>
      </left>
      <right style="medium">
        <color theme="9" tint="-0.249977111117893"/>
      </right>
      <top/>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
      <left style="medium">
        <color theme="0"/>
      </left>
      <right style="medium">
        <color theme="0"/>
      </right>
      <top style="medium">
        <color theme="0"/>
      </top>
      <bottom style="medium">
        <color theme="0"/>
      </bottom>
      <diagonal/>
    </border>
    <border>
      <left style="thin">
        <color auto="1"/>
      </left>
      <right/>
      <top style="medium">
        <color theme="0"/>
      </top>
      <bottom style="thin">
        <color auto="1"/>
      </bottom>
      <diagonal/>
    </border>
    <border>
      <left/>
      <right style="thin">
        <color auto="1"/>
      </right>
      <top style="medium">
        <color theme="0"/>
      </top>
      <bottom style="thin">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theme="9"/>
      </left>
      <right/>
      <top style="medium">
        <color theme="9"/>
      </top>
      <bottom/>
      <diagonal/>
    </border>
    <border>
      <left/>
      <right/>
      <top style="medium">
        <color theme="9"/>
      </top>
      <bottom/>
      <diagonal/>
    </border>
    <border>
      <left style="medium">
        <color theme="9"/>
      </left>
      <right/>
      <top/>
      <bottom/>
      <diagonal/>
    </border>
    <border>
      <left style="thin">
        <color theme="9"/>
      </left>
      <right/>
      <top style="thin">
        <color theme="9"/>
      </top>
      <bottom style="thin">
        <color theme="9"/>
      </bottom>
      <diagonal/>
    </border>
    <border>
      <left/>
      <right/>
      <top style="thin">
        <color theme="9"/>
      </top>
      <bottom style="thin">
        <color theme="9"/>
      </bottom>
      <diagonal/>
    </border>
    <border>
      <left style="medium">
        <color theme="9"/>
      </left>
      <right/>
      <top/>
      <bottom style="medium">
        <color theme="9"/>
      </bottom>
      <diagonal/>
    </border>
    <border>
      <left/>
      <right/>
      <top/>
      <bottom style="medium">
        <color theme="9"/>
      </bottom>
      <diagonal/>
    </border>
    <border>
      <left/>
      <right style="thin">
        <color theme="9"/>
      </right>
      <top style="thin">
        <color theme="9"/>
      </top>
      <bottom style="thin">
        <color theme="9"/>
      </bottom>
      <diagonal/>
    </border>
    <border>
      <left/>
      <right style="medium">
        <color theme="9"/>
      </right>
      <top style="medium">
        <color theme="9"/>
      </top>
      <bottom/>
      <diagonal/>
    </border>
    <border>
      <left/>
      <right style="medium">
        <color theme="9"/>
      </right>
      <top/>
      <bottom style="medium">
        <color theme="9"/>
      </bottom>
      <diagonal/>
    </border>
    <border>
      <left/>
      <right style="medium">
        <color theme="9"/>
      </right>
      <top/>
      <bottom/>
      <diagonal/>
    </border>
    <border>
      <left/>
      <right style="medium">
        <color theme="5" tint="-0.499984740745262"/>
      </right>
      <top/>
      <bottom/>
      <diagonal/>
    </border>
    <border>
      <left style="medium">
        <color theme="5" tint="-0.499984740745262"/>
      </left>
      <right/>
      <top style="medium">
        <color theme="5" tint="-0.499984740745262"/>
      </top>
      <bottom style="medium">
        <color theme="5" tint="-0.499984740745262"/>
      </bottom>
      <diagonal/>
    </border>
    <border>
      <left/>
      <right style="medium">
        <color theme="5" tint="-0.499984740745262"/>
      </right>
      <top style="medium">
        <color theme="5" tint="-0.499984740745262"/>
      </top>
      <bottom style="medium">
        <color theme="5" tint="-0.499984740745262"/>
      </bottom>
      <diagonal/>
    </border>
    <border>
      <left/>
      <right/>
      <top style="medium">
        <color theme="5" tint="-0.499984740745262"/>
      </top>
      <bottom style="medium">
        <color theme="5" tint="-0.499984740745262"/>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right style="thin">
        <color auto="1"/>
      </right>
      <top style="thin">
        <color auto="1"/>
      </top>
      <bottom style="medium">
        <color auto="1"/>
      </bottom>
      <diagonal/>
    </border>
  </borders>
  <cellStyleXfs count="3">
    <xf numFmtId="0" fontId="0" fillId="0" borderId="0"/>
    <xf numFmtId="164" fontId="43" fillId="0" borderId="0" applyFont="0" applyFill="0" applyBorder="0" applyAlignment="0" applyProtection="0"/>
    <xf numFmtId="0" fontId="44" fillId="0" borderId="0" applyNumberFormat="0" applyFill="0" applyBorder="0" applyAlignment="0" applyProtection="0"/>
  </cellStyleXfs>
  <cellXfs count="799">
    <xf numFmtId="0" fontId="0" fillId="0" borderId="0" xfId="0"/>
    <xf numFmtId="0" fontId="1" fillId="0" borderId="0" xfId="0" applyFont="1" applyAlignment="1">
      <alignment horizontal="center" vertical="center" wrapText="1"/>
    </xf>
    <xf numFmtId="0" fontId="1" fillId="2" borderId="0" xfId="0" applyFont="1" applyFill="1" applyAlignment="1">
      <alignment horizontal="center" vertical="center" wrapText="1"/>
    </xf>
    <xf numFmtId="0" fontId="1" fillId="3" borderId="1"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1" fillId="5" borderId="1" xfId="0" applyFont="1" applyFill="1" applyBorder="1" applyAlignment="1">
      <alignment horizontal="center" vertical="center" wrapText="1"/>
    </xf>
    <xf numFmtId="0" fontId="1" fillId="5" borderId="2" xfId="0" applyFont="1" applyFill="1" applyBorder="1" applyAlignment="1">
      <alignment horizontal="center" vertical="center" wrapText="1"/>
    </xf>
    <xf numFmtId="0" fontId="1" fillId="6" borderId="1"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7" borderId="1" xfId="0" applyFont="1" applyFill="1" applyBorder="1" applyAlignment="1">
      <alignment horizontal="center" vertical="center" wrapText="1"/>
    </xf>
    <xf numFmtId="0" fontId="1" fillId="5" borderId="0" xfId="0" applyFont="1" applyFill="1" applyAlignment="1">
      <alignment horizontal="center" vertical="center" wrapText="1"/>
    </xf>
    <xf numFmtId="0" fontId="1" fillId="4" borderId="2" xfId="0" applyFont="1" applyFill="1" applyBorder="1" applyAlignment="1">
      <alignment horizontal="center" vertical="center" wrapText="1"/>
    </xf>
    <xf numFmtId="0" fontId="1" fillId="7" borderId="2" xfId="0" applyFont="1" applyFill="1" applyBorder="1" applyAlignment="1">
      <alignment horizontal="center" vertical="center" wrapText="1"/>
    </xf>
    <xf numFmtId="0" fontId="1" fillId="8" borderId="1"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1" fillId="8" borderId="2" xfId="0" applyFont="1" applyFill="1" applyBorder="1" applyAlignment="1">
      <alignment horizontal="center" vertical="center" wrapText="1"/>
    </xf>
    <xf numFmtId="0" fontId="1" fillId="10" borderId="1" xfId="0" applyFont="1" applyFill="1" applyBorder="1" applyAlignment="1">
      <alignment horizontal="center" vertical="center" wrapText="1"/>
    </xf>
    <xf numFmtId="0" fontId="1" fillId="0" borderId="1" xfId="0"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wrapText="1"/>
    </xf>
    <xf numFmtId="0" fontId="0" fillId="5" borderId="1" xfId="0" applyFill="1" applyBorder="1" applyAlignment="1">
      <alignment wrapText="1"/>
    </xf>
    <xf numFmtId="0" fontId="0" fillId="0" borderId="3" xfId="0" applyBorder="1" applyAlignment="1">
      <alignment wrapText="1"/>
    </xf>
    <xf numFmtId="0" fontId="0" fillId="0" borderId="1" xfId="0" applyBorder="1" applyAlignment="1">
      <alignment wrapText="1"/>
    </xf>
    <xf numFmtId="0" fontId="0" fillId="0" borderId="2" xfId="0" applyBorder="1" applyAlignment="1">
      <alignment wrapText="1"/>
    </xf>
    <xf numFmtId="0" fontId="0" fillId="0" borderId="1" xfId="0" applyBorder="1" applyAlignment="1">
      <alignment horizontal="center" vertical="center" wrapText="1"/>
    </xf>
    <xf numFmtId="0" fontId="0" fillId="0" borderId="0" xfId="0" applyAlignment="1">
      <alignment horizontal="center" wrapText="1"/>
    </xf>
    <xf numFmtId="0" fontId="0" fillId="0" borderId="5" xfId="0" applyBorder="1" applyAlignment="1">
      <alignment horizontal="right" wrapText="1"/>
    </xf>
    <xf numFmtId="2" fontId="0" fillId="0" borderId="6" xfId="0" applyNumberFormat="1" applyBorder="1" applyAlignment="1">
      <alignment horizontal="right" wrapText="1"/>
    </xf>
    <xf numFmtId="2" fontId="0" fillId="0" borderId="7" xfId="0" applyNumberFormat="1" applyBorder="1" applyAlignment="1">
      <alignment wrapText="1"/>
    </xf>
    <xf numFmtId="2" fontId="0" fillId="0" borderId="8" xfId="0" applyNumberFormat="1" applyBorder="1" applyAlignment="1">
      <alignment wrapText="1"/>
    </xf>
    <xf numFmtId="0" fontId="0" fillId="0" borderId="5" xfId="0" applyBorder="1" applyAlignment="1">
      <alignment wrapText="1"/>
    </xf>
    <xf numFmtId="0" fontId="0" fillId="0" borderId="9" xfId="0" applyBorder="1" applyAlignment="1">
      <alignment wrapText="1"/>
    </xf>
    <xf numFmtId="0" fontId="0" fillId="0" borderId="6" xfId="0" applyBorder="1" applyAlignment="1">
      <alignment wrapText="1"/>
    </xf>
    <xf numFmtId="0" fontId="0" fillId="0" borderId="7" xfId="0" applyBorder="1" applyAlignment="1">
      <alignment wrapText="1"/>
    </xf>
    <xf numFmtId="0" fontId="0" fillId="0" borderId="8" xfId="0" applyBorder="1" applyAlignment="1">
      <alignment wrapText="1"/>
    </xf>
    <xf numFmtId="0" fontId="0" fillId="0" borderId="7" xfId="0" applyBorder="1" applyAlignment="1">
      <alignment horizontal="right" wrapText="1"/>
    </xf>
    <xf numFmtId="0" fontId="0" fillId="0" borderId="10" xfId="0" applyBorder="1" applyAlignment="1">
      <alignment horizontal="right" wrapText="1"/>
    </xf>
    <xf numFmtId="0" fontId="0" fillId="0" borderId="11" xfId="0" applyBorder="1" applyAlignment="1">
      <alignment wrapText="1"/>
    </xf>
    <xf numFmtId="0" fontId="0" fillId="0" borderId="12" xfId="0" applyBorder="1" applyAlignment="1">
      <alignment wrapText="1"/>
    </xf>
    <xf numFmtId="0" fontId="0" fillId="0" borderId="0" xfId="0" applyAlignment="1">
      <alignment horizontal="right" wrapText="1"/>
    </xf>
    <xf numFmtId="0" fontId="0" fillId="0" borderId="13" xfId="0" applyBorder="1" applyAlignment="1">
      <alignment wrapText="1"/>
    </xf>
    <xf numFmtId="0" fontId="0" fillId="0" borderId="14" xfId="0" applyBorder="1" applyAlignment="1">
      <alignment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14" xfId="0" applyBorder="1" applyAlignment="1">
      <alignment horizontal="center" vertical="center" wrapText="1"/>
    </xf>
    <xf numFmtId="0" fontId="0" fillId="0" borderId="10" xfId="0" applyBorder="1" applyAlignment="1">
      <alignment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5" xfId="0" applyBorder="1" applyAlignment="1">
      <alignment wrapText="1"/>
    </xf>
    <xf numFmtId="0" fontId="0" fillId="0" borderId="5" xfId="0" applyBorder="1" applyAlignment="1">
      <alignment horizontal="center" vertical="center" wrapText="1"/>
    </xf>
    <xf numFmtId="0" fontId="0" fillId="0" borderId="9" xfId="0" applyBorder="1" applyAlignment="1">
      <alignment horizontal="center" vertical="center" wrapText="1"/>
    </xf>
    <xf numFmtId="0" fontId="0" fillId="0" borderId="6" xfId="0" applyBorder="1" applyAlignment="1">
      <alignment horizontal="center" vertical="center" wrapText="1"/>
    </xf>
    <xf numFmtId="0" fontId="0" fillId="0" borderId="10" xfId="0" applyBorder="1" applyAlignment="1">
      <alignment horizontal="center" vertical="center" wrapText="1"/>
    </xf>
    <xf numFmtId="0" fontId="0" fillId="0" borderId="13" xfId="0" applyBorder="1" applyAlignment="1">
      <alignment horizontal="center" vertical="center" wrapText="1"/>
    </xf>
    <xf numFmtId="0" fontId="0" fillId="0" borderId="18" xfId="0" applyBorder="1" applyAlignment="1">
      <alignment horizontal="center" vertical="center" wrapText="1"/>
    </xf>
    <xf numFmtId="0" fontId="0" fillId="0" borderId="15" xfId="0" applyBorder="1" applyAlignment="1">
      <alignment horizontal="center" vertical="center" wrapText="1"/>
    </xf>
    <xf numFmtId="0" fontId="0" fillId="0" borderId="7" xfId="0" applyBorder="1" applyAlignment="1">
      <alignment horizontal="center" wrapText="1"/>
    </xf>
    <xf numFmtId="0" fontId="0" fillId="0" borderId="8" xfId="0" applyBorder="1" applyAlignment="1">
      <alignment horizontal="center" wrapText="1"/>
    </xf>
    <xf numFmtId="0" fontId="0" fillId="0" borderId="16" xfId="0" applyBorder="1" applyAlignment="1">
      <alignment horizontal="center" vertical="center" wrapText="1"/>
    </xf>
    <xf numFmtId="2" fontId="0" fillId="0" borderId="19" xfId="0" applyNumberFormat="1" applyBorder="1" applyAlignment="1">
      <alignment horizontal="center" vertical="center" wrapText="1"/>
    </xf>
    <xf numFmtId="2" fontId="0" fillId="0" borderId="17" xfId="0" applyNumberFormat="1" applyBorder="1" applyAlignment="1">
      <alignment horizontal="center" vertical="center" wrapText="1"/>
    </xf>
    <xf numFmtId="164" fontId="0" fillId="0" borderId="0" xfId="1" applyFont="1" applyAlignment="1">
      <alignment wrapText="1"/>
    </xf>
    <xf numFmtId="0" fontId="0" fillId="0" borderId="20" xfId="0" applyBorder="1"/>
    <xf numFmtId="0" fontId="0" fillId="0" borderId="21" xfId="0" applyBorder="1"/>
    <xf numFmtId="0" fontId="0" fillId="0" borderId="22" xfId="0" applyBorder="1"/>
    <xf numFmtId="0" fontId="0" fillId="0" borderId="0" xfId="0" applyAlignment="1">
      <alignment vertical="center" wrapText="1"/>
    </xf>
    <xf numFmtId="0" fontId="0" fillId="8" borderId="0" xfId="0" applyFill="1" applyAlignment="1">
      <alignment horizontal="center" vertical="center" wrapText="1"/>
    </xf>
    <xf numFmtId="0" fontId="0" fillId="2" borderId="0" xfId="0" applyFill="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49" fontId="0" fillId="0" borderId="1" xfId="0" applyNumberFormat="1" applyBorder="1" applyAlignment="1">
      <alignment horizontal="center" vertical="center"/>
    </xf>
    <xf numFmtId="0" fontId="0" fillId="2" borderId="1" xfId="0" applyFill="1" applyBorder="1" applyAlignment="1">
      <alignment horizontal="center" vertical="center"/>
    </xf>
    <xf numFmtId="2" fontId="0" fillId="2" borderId="0" xfId="0" applyNumberFormat="1" applyFill="1" applyAlignment="1">
      <alignment horizontal="center" vertical="center"/>
    </xf>
    <xf numFmtId="0" fontId="0" fillId="0" borderId="0" xfId="0" applyAlignment="1">
      <alignment vertical="center"/>
    </xf>
    <xf numFmtId="0" fontId="2" fillId="0" borderId="0" xfId="0" applyFont="1" applyAlignment="1">
      <alignment horizontal="center" vertical="center" wrapText="1"/>
    </xf>
    <xf numFmtId="0" fontId="0" fillId="2" borderId="0" xfId="0" applyFill="1" applyAlignment="1">
      <alignment horizontal="center" vertical="center" wrapText="1"/>
    </xf>
    <xf numFmtId="0" fontId="0" fillId="7" borderId="9" xfId="0" applyFill="1" applyBorder="1" applyAlignment="1">
      <alignment horizontal="center" vertical="center" wrapText="1"/>
    </xf>
    <xf numFmtId="0" fontId="0" fillId="7" borderId="25" xfId="0" applyFill="1" applyBorder="1" applyAlignment="1">
      <alignment horizontal="center" vertical="center" wrapText="1"/>
    </xf>
    <xf numFmtId="0" fontId="0" fillId="7" borderId="1" xfId="0" applyFill="1" applyBorder="1" applyAlignment="1">
      <alignment horizontal="center" vertical="center" wrapText="1"/>
    </xf>
    <xf numFmtId="0" fontId="0" fillId="7" borderId="0" xfId="0" applyFill="1" applyAlignment="1">
      <alignment horizontal="center" vertical="center" wrapText="1"/>
    </xf>
    <xf numFmtId="0" fontId="0" fillId="7" borderId="26" xfId="0" applyFill="1" applyBorder="1" applyAlignment="1">
      <alignment horizontal="center" vertical="center" wrapText="1"/>
    </xf>
    <xf numFmtId="0" fontId="0" fillId="7" borderId="27" xfId="0" applyFill="1" applyBorder="1" applyAlignment="1">
      <alignment horizontal="center" vertical="center" wrapText="1"/>
    </xf>
    <xf numFmtId="0" fontId="0" fillId="7" borderId="11" xfId="0" applyFill="1" applyBorder="1" applyAlignment="1">
      <alignment horizontal="center" vertical="center" wrapText="1"/>
    </xf>
    <xf numFmtId="0" fontId="0" fillId="10" borderId="0" xfId="0" applyFill="1" applyAlignment="1">
      <alignment vertical="center" wrapText="1"/>
    </xf>
    <xf numFmtId="0" fontId="0" fillId="7" borderId="9" xfId="0" applyFill="1" applyBorder="1"/>
    <xf numFmtId="0" fontId="0" fillId="7" borderId="0" xfId="0" applyFill="1"/>
    <xf numFmtId="0" fontId="0" fillId="7" borderId="11" xfId="0" applyFill="1" applyBorder="1"/>
    <xf numFmtId="0" fontId="0" fillId="7" borderId="28" xfId="0" applyFill="1" applyBorder="1" applyAlignment="1">
      <alignment horizontal="center" vertical="center" wrapText="1"/>
    </xf>
    <xf numFmtId="0" fontId="0" fillId="7" borderId="29" xfId="0" applyFill="1" applyBorder="1" applyAlignment="1">
      <alignment horizontal="center" vertical="center" wrapText="1"/>
    </xf>
    <xf numFmtId="0" fontId="0" fillId="11" borderId="5" xfId="0" applyFill="1" applyBorder="1"/>
    <xf numFmtId="0" fontId="0" fillId="11" borderId="9" xfId="0" applyFill="1" applyBorder="1"/>
    <xf numFmtId="0" fontId="0" fillId="11" borderId="7" xfId="0" applyFill="1" applyBorder="1"/>
    <xf numFmtId="0" fontId="0" fillId="11" borderId="0" xfId="0" applyFill="1"/>
    <xf numFmtId="0" fontId="0" fillId="11" borderId="10" xfId="0" applyFill="1" applyBorder="1"/>
    <xf numFmtId="0" fontId="0" fillId="11" borderId="11" xfId="0" applyFill="1" applyBorder="1"/>
    <xf numFmtId="0" fontId="0" fillId="11" borderId="6" xfId="0" applyFill="1" applyBorder="1"/>
    <xf numFmtId="0" fontId="0" fillId="11" borderId="8" xfId="0" applyFill="1" applyBorder="1"/>
    <xf numFmtId="0" fontId="0" fillId="11" borderId="12" xfId="0" applyFill="1" applyBorder="1"/>
    <xf numFmtId="0" fontId="0" fillId="12" borderId="1" xfId="0" applyFill="1" applyBorder="1" applyAlignment="1">
      <alignment horizontal="center" vertical="center" wrapText="1"/>
    </xf>
    <xf numFmtId="0" fontId="3" fillId="0" borderId="1" xfId="0" applyFont="1" applyBorder="1" applyAlignment="1">
      <alignment horizontal="center" vertical="center" wrapText="1"/>
    </xf>
    <xf numFmtId="0" fontId="2" fillId="0" borderId="1" xfId="0" applyFont="1" applyBorder="1" applyAlignment="1">
      <alignment horizontal="center" vertical="center" wrapText="1"/>
    </xf>
    <xf numFmtId="0" fontId="0" fillId="13" borderId="25" xfId="0" applyFill="1" applyBorder="1" applyAlignment="1">
      <alignment horizontal="center" vertical="center" wrapText="1"/>
    </xf>
    <xf numFmtId="0" fontId="0" fillId="13" borderId="1" xfId="0" applyFill="1" applyBorder="1" applyAlignment="1">
      <alignment horizontal="center" vertical="center" wrapText="1"/>
    </xf>
    <xf numFmtId="0" fontId="0" fillId="13" borderId="26" xfId="0" applyFill="1" applyBorder="1" applyAlignment="1">
      <alignment horizontal="center" vertical="center" wrapText="1"/>
    </xf>
    <xf numFmtId="0" fontId="0" fillId="13" borderId="27" xfId="0" applyFill="1" applyBorder="1" applyAlignment="1">
      <alignment horizontal="center" vertical="center" wrapText="1"/>
    </xf>
    <xf numFmtId="0" fontId="0" fillId="13" borderId="0" xfId="0" applyFill="1" applyAlignment="1">
      <alignment vertical="center" wrapText="1"/>
    </xf>
    <xf numFmtId="0" fontId="0" fillId="13" borderId="9" xfId="0" applyFill="1" applyBorder="1"/>
    <xf numFmtId="0" fontId="0" fillId="13" borderId="0" xfId="0" applyFill="1"/>
    <xf numFmtId="0" fontId="0" fillId="13" borderId="11" xfId="0" applyFill="1" applyBorder="1"/>
    <xf numFmtId="0" fontId="0" fillId="13" borderId="28" xfId="0" applyFill="1" applyBorder="1" applyAlignment="1">
      <alignment horizontal="center" vertical="center" wrapText="1"/>
    </xf>
    <xf numFmtId="0" fontId="0" fillId="14" borderId="25" xfId="0" applyFill="1" applyBorder="1" applyAlignment="1">
      <alignment horizontal="center" vertical="center" wrapText="1"/>
    </xf>
    <xf numFmtId="0" fontId="0" fillId="14" borderId="1" xfId="0" applyFill="1" applyBorder="1" applyAlignment="1">
      <alignment horizontal="center" vertical="center" wrapText="1"/>
    </xf>
    <xf numFmtId="0" fontId="0" fillId="13" borderId="29" xfId="0" applyFill="1" applyBorder="1" applyAlignment="1">
      <alignment horizontal="center" vertical="center" wrapText="1"/>
    </xf>
    <xf numFmtId="0" fontId="0" fillId="14" borderId="26" xfId="0" applyFill="1" applyBorder="1" applyAlignment="1">
      <alignment horizontal="center" vertical="center" wrapText="1"/>
    </xf>
    <xf numFmtId="0" fontId="0" fillId="14" borderId="27" xfId="0" applyFill="1" applyBorder="1" applyAlignment="1">
      <alignment horizontal="center" vertical="center" wrapText="1"/>
    </xf>
    <xf numFmtId="0" fontId="0" fillId="14" borderId="0" xfId="0" applyFill="1" applyAlignment="1">
      <alignment vertical="center" wrapText="1"/>
    </xf>
    <xf numFmtId="0" fontId="0" fillId="14" borderId="9" xfId="0" applyFill="1" applyBorder="1"/>
    <xf numFmtId="0" fontId="0" fillId="14" borderId="0" xfId="0" applyFill="1"/>
    <xf numFmtId="0" fontId="0" fillId="14" borderId="11" xfId="0" applyFill="1" applyBorder="1"/>
    <xf numFmtId="0" fontId="0" fillId="14" borderId="28" xfId="0" applyFill="1" applyBorder="1" applyAlignment="1">
      <alignment horizontal="center" vertical="center" wrapText="1"/>
    </xf>
    <xf numFmtId="0" fontId="0" fillId="14" borderId="29" xfId="0" applyFill="1" applyBorder="1" applyAlignment="1">
      <alignment horizontal="center" vertical="center" wrapText="1"/>
    </xf>
    <xf numFmtId="0" fontId="3" fillId="0" borderId="1" xfId="0" applyFont="1" applyBorder="1" applyAlignment="1">
      <alignment horizontal="center" vertical="top"/>
    </xf>
    <xf numFmtId="0" fontId="0" fillId="15" borderId="0" xfId="0" applyFill="1" applyAlignment="1">
      <alignment wrapText="1"/>
    </xf>
    <xf numFmtId="0" fontId="3" fillId="0" borderId="1" xfId="0" applyFont="1" applyBorder="1" applyAlignment="1">
      <alignment horizontal="center" vertical="top" wrapText="1"/>
    </xf>
    <xf numFmtId="0" fontId="4" fillId="0" borderId="0" xfId="0" applyFont="1" applyAlignment="1">
      <alignment wrapText="1"/>
    </xf>
    <xf numFmtId="0" fontId="5" fillId="0" borderId="0" xfId="0" applyFont="1"/>
    <xf numFmtId="0" fontId="7" fillId="13" borderId="0" xfId="0" applyFont="1" applyFill="1" applyAlignment="1">
      <alignment horizontal="justify"/>
    </xf>
    <xf numFmtId="0" fontId="8" fillId="13" borderId="0" xfId="0" applyFont="1" applyFill="1" applyAlignment="1">
      <alignment horizontal="center" vertical="center"/>
    </xf>
    <xf numFmtId="0" fontId="8" fillId="13" borderId="0" xfId="0" applyFont="1" applyFill="1" applyAlignment="1">
      <alignment horizontal="left"/>
    </xf>
    <xf numFmtId="0" fontId="2" fillId="13" borderId="0" xfId="0" applyFont="1" applyFill="1" applyAlignment="1">
      <alignment horizontal="justify"/>
    </xf>
    <xf numFmtId="0" fontId="8" fillId="13" borderId="0" xfId="0" applyFont="1" applyFill="1" applyAlignment="1">
      <alignment horizontal="center"/>
    </xf>
    <xf numFmtId="0" fontId="8" fillId="13" borderId="0" xfId="0" applyFont="1" applyFill="1" applyAlignment="1">
      <alignment horizontal="right" vertical="top"/>
    </xf>
    <xf numFmtId="0" fontId="8" fillId="13" borderId="0" xfId="0" applyFont="1" applyFill="1" applyAlignment="1">
      <alignment horizontal="justify"/>
    </xf>
    <xf numFmtId="0" fontId="7" fillId="16" borderId="0" xfId="0" applyFont="1" applyFill="1" applyAlignment="1">
      <alignment horizontal="justify" vertical="top"/>
    </xf>
    <xf numFmtId="0" fontId="8" fillId="13" borderId="0" xfId="0" applyFont="1" applyFill="1" applyAlignment="1">
      <alignment horizontal="justify" vertical="top"/>
    </xf>
    <xf numFmtId="0" fontId="8" fillId="13" borderId="0" xfId="0" applyFont="1" applyFill="1" applyAlignment="1">
      <alignment horizontal="center" vertical="top"/>
    </xf>
    <xf numFmtId="0" fontId="7" fillId="13" borderId="0" xfId="0" applyFont="1" applyFill="1" applyAlignment="1">
      <alignment horizontal="justify" vertical="top"/>
    </xf>
    <xf numFmtId="0" fontId="7" fillId="13" borderId="0" xfId="0" applyFont="1" applyFill="1" applyAlignment="1">
      <alignment horizontal="center" vertical="center"/>
    </xf>
    <xf numFmtId="0" fontId="7" fillId="13" borderId="0" xfId="0" applyFont="1" applyFill="1" applyAlignment="1">
      <alignment horizontal="center" vertical="top"/>
    </xf>
    <xf numFmtId="0" fontId="7" fillId="16" borderId="31" xfId="0" applyFont="1" applyFill="1" applyBorder="1" applyAlignment="1">
      <alignment horizontal="justify" vertical="top"/>
    </xf>
    <xf numFmtId="0" fontId="8" fillId="0" borderId="32" xfId="0" applyFont="1" applyBorder="1" applyAlignment="1">
      <alignment horizontal="center" vertical="center"/>
    </xf>
    <xf numFmtId="0" fontId="8" fillId="0" borderId="32" xfId="0" applyFont="1" applyBorder="1" applyAlignment="1">
      <alignment horizontal="justify" vertical="top"/>
    </xf>
    <xf numFmtId="0" fontId="7" fillId="16" borderId="33" xfId="0" applyFont="1" applyFill="1" applyBorder="1" applyAlignment="1">
      <alignment horizontal="right" vertical="top"/>
    </xf>
    <xf numFmtId="0" fontId="7" fillId="16" borderId="33" xfId="0" applyFont="1" applyFill="1" applyBorder="1" applyAlignment="1">
      <alignment horizontal="center" vertical="center"/>
    </xf>
    <xf numFmtId="0" fontId="7" fillId="16" borderId="33" xfId="0" applyFont="1" applyFill="1" applyBorder="1" applyAlignment="1">
      <alignment horizontal="left" vertical="top"/>
    </xf>
    <xf numFmtId="0" fontId="7" fillId="16" borderId="33" xfId="0" applyFont="1" applyFill="1" applyBorder="1" applyAlignment="1">
      <alignment horizontal="justify" vertical="top"/>
    </xf>
    <xf numFmtId="165" fontId="7" fillId="16" borderId="33" xfId="0" applyNumberFormat="1" applyFont="1" applyFill="1" applyBorder="1" applyAlignment="1">
      <alignment horizontal="right" vertical="top"/>
    </xf>
    <xf numFmtId="0" fontId="7" fillId="16" borderId="33" xfId="0" applyFont="1" applyFill="1" applyBorder="1" applyAlignment="1">
      <alignment horizontal="left" vertical="center"/>
    </xf>
    <xf numFmtId="0" fontId="10" fillId="0" borderId="0" xfId="0" applyFont="1" applyAlignment="1">
      <alignment horizontal="left" vertical="center" wrapText="1"/>
    </xf>
    <xf numFmtId="0" fontId="10" fillId="0" borderId="0" xfId="0" applyFont="1" applyAlignment="1">
      <alignment vertical="center" wrapText="1"/>
    </xf>
    <xf numFmtId="0" fontId="8" fillId="0" borderId="0" xfId="0" applyFont="1" applyAlignment="1">
      <alignment horizontal="left" vertical="center" wrapText="1"/>
    </xf>
    <xf numFmtId="0" fontId="14" fillId="0" borderId="66" xfId="0" applyFont="1" applyBorder="1" applyAlignment="1">
      <alignment horizontal="right" vertical="top"/>
    </xf>
    <xf numFmtId="0" fontId="14" fillId="13" borderId="0" xfId="0" applyFont="1" applyFill="1" applyAlignment="1">
      <alignment horizontal="right" vertical="top"/>
    </xf>
    <xf numFmtId="0" fontId="0" fillId="0" borderId="66" xfId="0" applyBorder="1" applyAlignment="1">
      <alignment horizontal="center" vertical="center"/>
    </xf>
    <xf numFmtId="0" fontId="0" fillId="13" borderId="0" xfId="0" applyFill="1" applyAlignment="1">
      <alignment horizontal="center" vertical="center"/>
    </xf>
    <xf numFmtId="0" fontId="0" fillId="0" borderId="66" xfId="0" applyBorder="1" applyAlignment="1">
      <alignment horizontal="left" vertical="top"/>
    </xf>
    <xf numFmtId="0" fontId="0" fillId="13" borderId="0" xfId="0" applyFill="1" applyAlignment="1">
      <alignment horizontal="left" vertical="top"/>
    </xf>
    <xf numFmtId="49" fontId="0" fillId="0" borderId="66" xfId="0" applyNumberFormat="1" applyBorder="1" applyAlignment="1">
      <alignment horizontal="left" vertical="top"/>
    </xf>
    <xf numFmtId="0" fontId="8" fillId="0" borderId="66" xfId="0" applyFont="1" applyBorder="1" applyAlignment="1">
      <alignment horizontal="justify" vertical="top"/>
    </xf>
    <xf numFmtId="165" fontId="0" fillId="0" borderId="66" xfId="0" applyNumberFormat="1" applyBorder="1" applyAlignment="1">
      <alignment horizontal="right" vertical="top"/>
    </xf>
    <xf numFmtId="165" fontId="0" fillId="13" borderId="0" xfId="0" applyNumberFormat="1" applyFill="1" applyAlignment="1">
      <alignment horizontal="right" vertical="top"/>
    </xf>
    <xf numFmtId="0" fontId="0" fillId="0" borderId="66" xfId="0" applyBorder="1" applyAlignment="1">
      <alignment horizontal="justify" vertical="top"/>
    </xf>
    <xf numFmtId="0" fontId="0" fillId="13" borderId="0" xfId="0" applyFill="1" applyAlignment="1">
      <alignment horizontal="justify" vertical="top"/>
    </xf>
    <xf numFmtId="0" fontId="2" fillId="0" borderId="66" xfId="0" applyFont="1" applyBorder="1" applyAlignment="1">
      <alignment horizontal="justify" vertical="top"/>
    </xf>
    <xf numFmtId="0" fontId="2" fillId="13" borderId="0" xfId="0" applyFont="1" applyFill="1" applyAlignment="1">
      <alignment horizontal="justify" vertical="top"/>
    </xf>
    <xf numFmtId="0" fontId="8" fillId="0" borderId="66" xfId="0" applyFont="1" applyBorder="1" applyAlignment="1">
      <alignment horizontal="center" vertical="center"/>
    </xf>
    <xf numFmtId="0" fontId="8" fillId="0" borderId="66" xfId="0" applyFont="1" applyBorder="1" applyAlignment="1">
      <alignment horizontal="left" vertical="center"/>
    </xf>
    <xf numFmtId="0" fontId="8" fillId="13" borderId="0" xfId="0" applyFont="1" applyFill="1" applyAlignment="1">
      <alignment horizontal="left" vertical="center"/>
    </xf>
    <xf numFmtId="0" fontId="10" fillId="0" borderId="67" xfId="0" applyFont="1" applyBorder="1" applyAlignment="1">
      <alignment vertical="center" wrapText="1"/>
    </xf>
    <xf numFmtId="0" fontId="8" fillId="0" borderId="68" xfId="0" applyFont="1" applyBorder="1" applyAlignment="1">
      <alignment horizontal="justify" vertical="top"/>
    </xf>
    <xf numFmtId="0" fontId="8" fillId="0" borderId="0" xfId="0" applyFont="1" applyAlignment="1">
      <alignment vertical="center" wrapText="1"/>
    </xf>
    <xf numFmtId="0" fontId="8" fillId="0" borderId="0" xfId="0" applyFont="1" applyAlignment="1">
      <alignment vertical="center"/>
    </xf>
    <xf numFmtId="0" fontId="7" fillId="16" borderId="33" xfId="0" applyFont="1" applyFill="1" applyBorder="1" applyAlignment="1">
      <alignment vertical="top"/>
    </xf>
    <xf numFmtId="0" fontId="7" fillId="16" borderId="33" xfId="0" applyFont="1" applyFill="1" applyBorder="1" applyAlignment="1">
      <alignment horizontal="center" vertical="top"/>
    </xf>
    <xf numFmtId="0" fontId="8" fillId="0" borderId="0" xfId="0" applyFont="1" applyAlignment="1">
      <alignment vertical="top" wrapText="1"/>
    </xf>
    <xf numFmtId="0" fontId="8" fillId="0" borderId="0" xfId="0" applyFont="1" applyAlignment="1">
      <alignment horizontal="left" vertical="center"/>
    </xf>
    <xf numFmtId="0" fontId="8" fillId="0" borderId="66" xfId="0" applyFont="1" applyBorder="1" applyAlignment="1">
      <alignment horizontal="left" vertical="top"/>
    </xf>
    <xf numFmtId="0" fontId="8" fillId="13" borderId="0" xfId="0" applyFont="1" applyFill="1" applyAlignment="1">
      <alignment horizontal="left" vertical="top"/>
    </xf>
    <xf numFmtId="0" fontId="8" fillId="0" borderId="66" xfId="0" applyFont="1" applyBorder="1" applyAlignment="1">
      <alignment vertical="top"/>
    </xf>
    <xf numFmtId="0" fontId="8" fillId="13" borderId="0" xfId="0" applyFont="1" applyFill="1" applyAlignment="1">
      <alignment vertical="top"/>
    </xf>
    <xf numFmtId="0" fontId="8" fillId="0" borderId="66" xfId="0" applyFont="1" applyBorder="1" applyAlignment="1">
      <alignment horizontal="center" vertical="top"/>
    </xf>
    <xf numFmtId="0" fontId="0" fillId="0" borderId="0" xfId="0" applyAlignment="1">
      <alignment horizontal="left" vertical="top"/>
    </xf>
    <xf numFmtId="0" fontId="8" fillId="0" borderId="0" xfId="0" applyFont="1" applyAlignment="1">
      <alignment horizontal="right" vertical="top"/>
    </xf>
    <xf numFmtId="0" fontId="6" fillId="0" borderId="0" xfId="0" applyFont="1" applyAlignment="1">
      <alignment vertical="center" wrapText="1"/>
    </xf>
    <xf numFmtId="0" fontId="5" fillId="0" borderId="0" xfId="0" applyFont="1" applyAlignment="1">
      <alignment vertical="center" wrapText="1"/>
    </xf>
    <xf numFmtId="0" fontId="5" fillId="0" borderId="1" xfId="0" applyFont="1" applyBorder="1" applyAlignment="1">
      <alignment horizontal="left"/>
    </xf>
    <xf numFmtId="0" fontId="5" fillId="0" borderId="2" xfId="0" applyFont="1" applyBorder="1" applyAlignment="1">
      <alignment horizontal="left"/>
    </xf>
    <xf numFmtId="0" fontId="8" fillId="0" borderId="1" xfId="0" applyFont="1" applyBorder="1" applyAlignment="1">
      <alignment horizontal="center" vertical="center" wrapText="1"/>
    </xf>
    <xf numFmtId="0" fontId="2" fillId="0" borderId="66" xfId="0" applyFont="1" applyBorder="1" applyAlignment="1">
      <alignment horizontal="left" vertical="top"/>
    </xf>
    <xf numFmtId="0" fontId="2" fillId="13" borderId="0" xfId="0" applyFont="1" applyFill="1" applyAlignment="1">
      <alignment horizontal="left" vertical="top"/>
    </xf>
    <xf numFmtId="0" fontId="8" fillId="0" borderId="0" xfId="0" applyFont="1" applyAlignment="1">
      <alignment horizontal="justify" vertical="top"/>
    </xf>
    <xf numFmtId="0" fontId="6" fillId="0" borderId="0" xfId="0" applyFont="1" applyAlignment="1">
      <alignment vertical="center"/>
    </xf>
    <xf numFmtId="0" fontId="5" fillId="0" borderId="0" xfId="0" applyFont="1" applyAlignment="1">
      <alignment vertical="center"/>
    </xf>
    <xf numFmtId="0" fontId="8" fillId="0" borderId="76" xfId="0" applyFont="1" applyBorder="1" applyAlignment="1">
      <alignment horizontal="justify" vertical="top"/>
    </xf>
    <xf numFmtId="0" fontId="0" fillId="0" borderId="0" xfId="0" applyAlignment="1">
      <alignment horizontal="justify" vertical="top"/>
    </xf>
    <xf numFmtId="0" fontId="8" fillId="7" borderId="0" xfId="0" applyFont="1" applyFill="1" applyAlignment="1">
      <alignment horizontal="justify" vertical="top" wrapText="1"/>
    </xf>
    <xf numFmtId="0" fontId="8" fillId="7" borderId="0" xfId="0" applyFont="1" applyFill="1" applyAlignment="1">
      <alignment horizontal="center" vertical="top" wrapText="1"/>
    </xf>
    <xf numFmtId="0" fontId="8" fillId="0" borderId="0" xfId="0" applyFont="1" applyAlignment="1">
      <alignment horizontal="right" vertical="center"/>
    </xf>
    <xf numFmtId="0" fontId="5" fillId="0" borderId="0" xfId="0" applyFont="1" applyAlignment="1">
      <alignment horizontal="left"/>
    </xf>
    <xf numFmtId="0" fontId="8" fillId="0" borderId="0" xfId="0" applyFont="1" applyAlignment="1">
      <alignment horizontal="center" vertical="top"/>
    </xf>
    <xf numFmtId="0" fontId="5" fillId="0" borderId="0" xfId="0" applyFont="1" applyAlignment="1" applyProtection="1">
      <alignment horizontal="center"/>
      <protection locked="0"/>
    </xf>
    <xf numFmtId="0" fontId="8" fillId="0" borderId="0" xfId="0" applyFont="1" applyAlignment="1">
      <alignment vertical="top"/>
    </xf>
    <xf numFmtId="0" fontId="5" fillId="0" borderId="0" xfId="0" applyFont="1" applyAlignment="1">
      <alignment horizontal="center"/>
    </xf>
    <xf numFmtId="0" fontId="8" fillId="7" borderId="81" xfId="0" applyFont="1" applyFill="1" applyBorder="1" applyAlignment="1">
      <alignment horizontal="justify" vertical="top" wrapText="1"/>
    </xf>
    <xf numFmtId="0" fontId="8" fillId="7" borderId="32" xfId="0" applyFont="1" applyFill="1" applyBorder="1" applyAlignment="1">
      <alignment horizontal="justify" vertical="top" wrapText="1"/>
    </xf>
    <xf numFmtId="0" fontId="8" fillId="7" borderId="81" xfId="0" applyFont="1" applyFill="1" applyBorder="1" applyAlignment="1">
      <alignment horizontal="center" vertical="top" wrapText="1"/>
    </xf>
    <xf numFmtId="0" fontId="8" fillId="7" borderId="0" xfId="0" applyFont="1" applyFill="1" applyAlignment="1">
      <alignment horizontal="left" vertical="top" wrapText="1"/>
    </xf>
    <xf numFmtId="0" fontId="8" fillId="0" borderId="83" xfId="0" applyFont="1" applyBorder="1" applyAlignment="1">
      <alignment horizontal="justify" vertical="top"/>
    </xf>
    <xf numFmtId="0" fontId="8" fillId="7" borderId="0" xfId="0" applyFont="1" applyFill="1" applyAlignment="1">
      <alignment horizontal="center" vertical="center" wrapText="1"/>
    </xf>
    <xf numFmtId="0" fontId="19" fillId="0" borderId="0" xfId="0" applyFont="1" applyAlignment="1">
      <alignment horizontal="center" vertical="center" wrapText="1"/>
    </xf>
    <xf numFmtId="0" fontId="3" fillId="0" borderId="0" xfId="0" applyFont="1" applyAlignment="1">
      <alignment horizontal="center" vertical="center" wrapText="1"/>
    </xf>
    <xf numFmtId="0" fontId="20" fillId="5" borderId="71" xfId="0" applyFont="1" applyFill="1" applyBorder="1" applyAlignment="1">
      <alignment vertical="center" wrapText="1"/>
    </xf>
    <xf numFmtId="1" fontId="20" fillId="5" borderId="84" xfId="0" applyNumberFormat="1" applyFont="1" applyFill="1" applyBorder="1" applyAlignment="1">
      <alignment vertical="center" wrapText="1"/>
    </xf>
    <xf numFmtId="0" fontId="20" fillId="5" borderId="72" xfId="0" applyFont="1" applyFill="1" applyBorder="1" applyAlignment="1">
      <alignment vertical="center" wrapText="1"/>
    </xf>
    <xf numFmtId="0" fontId="20" fillId="5" borderId="72" xfId="0" applyFont="1" applyFill="1" applyBorder="1" applyAlignment="1">
      <alignment horizontal="center" vertical="center" wrapText="1"/>
    </xf>
    <xf numFmtId="0" fontId="19" fillId="5" borderId="1" xfId="0" applyFont="1" applyFill="1" applyBorder="1" applyAlignment="1">
      <alignment horizontal="center" vertical="center" wrapText="1"/>
    </xf>
    <xf numFmtId="0" fontId="19" fillId="5" borderId="75" xfId="0" applyFont="1" applyFill="1" applyBorder="1" applyAlignment="1">
      <alignment horizontal="center" vertical="center" wrapText="1"/>
    </xf>
    <xf numFmtId="49" fontId="19" fillId="5" borderId="1" xfId="0" applyNumberFormat="1" applyFont="1" applyFill="1" applyBorder="1" applyAlignment="1">
      <alignment horizontal="center" vertical="center" wrapText="1"/>
    </xf>
    <xf numFmtId="0" fontId="0" fillId="5" borderId="1" xfId="0" applyFill="1" applyBorder="1" applyAlignment="1">
      <alignment horizontal="center" vertical="center" wrapText="1"/>
    </xf>
    <xf numFmtId="0" fontId="0" fillId="5" borderId="73" xfId="0" applyFill="1" applyBorder="1" applyAlignment="1">
      <alignment horizontal="center" vertical="center" wrapText="1"/>
    </xf>
    <xf numFmtId="0" fontId="0" fillId="5" borderId="85" xfId="0" applyFill="1" applyBorder="1" applyAlignment="1">
      <alignment vertical="center" wrapText="1"/>
    </xf>
    <xf numFmtId="0" fontId="0" fillId="5" borderId="3" xfId="0" applyFill="1" applyBorder="1" applyAlignment="1">
      <alignment horizontal="center" vertical="center" wrapText="1"/>
    </xf>
    <xf numFmtId="0" fontId="3" fillId="18" borderId="1" xfId="0" applyFont="1" applyFill="1" applyBorder="1" applyAlignment="1">
      <alignment horizontal="center" vertical="center" wrapText="1"/>
    </xf>
    <xf numFmtId="0" fontId="0" fillId="18" borderId="1" xfId="0" applyFill="1" applyBorder="1" applyAlignment="1">
      <alignment horizontal="center" vertical="center" wrapText="1"/>
    </xf>
    <xf numFmtId="0" fontId="20" fillId="2" borderId="72" xfId="0" applyFont="1" applyFill="1" applyBorder="1" applyAlignment="1">
      <alignment vertical="center" wrapText="1"/>
    </xf>
    <xf numFmtId="14" fontId="0" fillId="5" borderId="1" xfId="0" applyNumberFormat="1" applyFill="1" applyBorder="1" applyAlignment="1">
      <alignment horizontal="center" vertical="center" wrapText="1"/>
    </xf>
    <xf numFmtId="0" fontId="0" fillId="5" borderId="2" xfId="0" applyFill="1" applyBorder="1" applyAlignment="1">
      <alignment horizontal="center" vertical="center" wrapText="1"/>
    </xf>
    <xf numFmtId="14" fontId="0" fillId="0" borderId="1" xfId="0" applyNumberFormat="1" applyBorder="1" applyAlignment="1">
      <alignment horizontal="center" vertical="center" wrapText="1"/>
    </xf>
    <xf numFmtId="0" fontId="0" fillId="0" borderId="2" xfId="0" applyBorder="1" applyAlignment="1">
      <alignment horizontal="center" vertical="center" wrapText="1"/>
    </xf>
    <xf numFmtId="0" fontId="0" fillId="5" borderId="69" xfId="0" applyFill="1" applyBorder="1" applyAlignment="1">
      <alignment horizontal="center" vertical="center" wrapText="1"/>
    </xf>
    <xf numFmtId="0" fontId="20" fillId="18" borderId="1" xfId="0" applyFont="1" applyFill="1" applyBorder="1" applyAlignment="1">
      <alignment vertical="center" wrapText="1"/>
    </xf>
    <xf numFmtId="0" fontId="20" fillId="18" borderId="0" xfId="0" applyFont="1" applyFill="1" applyAlignment="1">
      <alignment vertical="center" wrapText="1"/>
    </xf>
    <xf numFmtId="0" fontId="0" fillId="21" borderId="0" xfId="0" applyFill="1" applyAlignment="1">
      <alignment horizontal="center" vertical="center" wrapText="1"/>
    </xf>
    <xf numFmtId="0" fontId="20" fillId="18" borderId="9" xfId="0" applyFont="1" applyFill="1" applyBorder="1" applyAlignment="1">
      <alignment vertical="center" wrapText="1"/>
    </xf>
    <xf numFmtId="0" fontId="0" fillId="0" borderId="19" xfId="0" applyBorder="1" applyAlignment="1">
      <alignment horizontal="center" vertical="center" wrapText="1"/>
    </xf>
    <xf numFmtId="0" fontId="0" fillId="0" borderId="17" xfId="0" applyBorder="1" applyAlignment="1">
      <alignment horizontal="center" vertical="center" wrapText="1"/>
    </xf>
    <xf numFmtId="2" fontId="0" fillId="0" borderId="0" xfId="0" applyNumberFormat="1" applyAlignment="1">
      <alignment horizontal="center" vertical="center" wrapText="1"/>
    </xf>
    <xf numFmtId="2" fontId="2" fillId="0" borderId="0" xfId="0" applyNumberFormat="1" applyFont="1" applyAlignment="1">
      <alignment horizontal="center" vertical="center" wrapText="1"/>
    </xf>
    <xf numFmtId="0" fontId="4" fillId="0" borderId="1" xfId="0" applyFont="1" applyBorder="1" applyAlignment="1">
      <alignment horizontal="center" vertical="center"/>
    </xf>
    <xf numFmtId="0" fontId="21" fillId="0" borderId="1" xfId="0" applyFont="1" applyBorder="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9" xfId="0" applyBorder="1" applyAlignment="1">
      <alignment horizontal="center" vertical="center"/>
    </xf>
    <xf numFmtId="0" fontId="0" fillId="0" borderId="25" xfId="0" applyBorder="1" applyAlignment="1">
      <alignment horizontal="center" vertical="center"/>
    </xf>
    <xf numFmtId="0" fontId="2" fillId="0" borderId="1" xfId="0" applyFont="1" applyBorder="1" applyAlignment="1">
      <alignment horizontal="center" vertical="center"/>
    </xf>
    <xf numFmtId="0" fontId="0" fillId="0" borderId="25" xfId="0" applyBorder="1" applyAlignment="1">
      <alignment horizontal="center" vertical="center" wrapText="1"/>
    </xf>
    <xf numFmtId="0" fontId="0" fillId="0" borderId="7"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22" borderId="24" xfId="0" applyFill="1" applyBorder="1" applyAlignment="1">
      <alignment horizontal="center" vertical="center"/>
    </xf>
    <xf numFmtId="0" fontId="0" fillId="22" borderId="1" xfId="0" applyFill="1" applyBorder="1" applyAlignment="1">
      <alignment horizontal="center" vertical="center"/>
    </xf>
    <xf numFmtId="0" fontId="0" fillId="22" borderId="1" xfId="0" applyFill="1" applyBorder="1" applyAlignment="1">
      <alignment horizontal="center" vertical="center" wrapText="1"/>
    </xf>
    <xf numFmtId="0" fontId="0" fillId="22" borderId="0" xfId="0" applyFill="1" applyAlignment="1">
      <alignment vertical="center" wrapText="1"/>
    </xf>
    <xf numFmtId="0" fontId="0" fillId="22" borderId="0" xfId="0" applyFill="1" applyAlignment="1">
      <alignment horizontal="center" vertical="center" wrapText="1"/>
    </xf>
    <xf numFmtId="0" fontId="0" fillId="22" borderId="11" xfId="0" applyFill="1" applyBorder="1" applyAlignment="1">
      <alignment horizontal="center" vertical="center" wrapText="1"/>
    </xf>
    <xf numFmtId="0" fontId="0" fillId="0" borderId="28" xfId="0" applyBorder="1" applyAlignment="1">
      <alignment horizontal="center" vertical="center" wrapText="1"/>
    </xf>
    <xf numFmtId="0" fontId="0" fillId="0" borderId="28" xfId="0" applyBorder="1" applyAlignment="1">
      <alignment horizontal="center" vertical="center"/>
    </xf>
    <xf numFmtId="0" fontId="0" fillId="0" borderId="8" xfId="0" applyBorder="1" applyAlignment="1">
      <alignment horizontal="center" vertical="center"/>
    </xf>
    <xf numFmtId="0" fontId="0" fillId="0" borderId="8" xfId="0" applyBorder="1" applyAlignment="1">
      <alignment vertical="center" wrapText="1"/>
    </xf>
    <xf numFmtId="0" fontId="0" fillId="0" borderId="12" xfId="0" applyBorder="1" applyAlignment="1">
      <alignment horizontal="center" vertical="center"/>
    </xf>
    <xf numFmtId="0" fontId="22" fillId="0" borderId="1" xfId="0" applyFont="1" applyBorder="1" applyAlignment="1">
      <alignment vertical="center" wrapText="1"/>
    </xf>
    <xf numFmtId="0" fontId="23" fillId="0" borderId="1" xfId="0" applyFont="1" applyBorder="1" applyAlignment="1">
      <alignment horizontal="center" vertical="center" wrapText="1"/>
    </xf>
    <xf numFmtId="0" fontId="24" fillId="0" borderId="1" xfId="0" applyFont="1" applyBorder="1" applyAlignment="1">
      <alignment horizontal="center" vertical="center" wrapText="1"/>
    </xf>
    <xf numFmtId="0" fontId="24" fillId="18" borderId="1" xfId="0" applyFont="1" applyFill="1" applyBorder="1" applyAlignment="1">
      <alignment horizontal="center" vertical="center" wrapText="1"/>
    </xf>
    <xf numFmtId="0" fontId="23" fillId="0" borderId="73" xfId="0" applyFont="1" applyBorder="1" applyAlignment="1">
      <alignment horizontal="center" vertical="center" wrapText="1"/>
    </xf>
    <xf numFmtId="0" fontId="0" fillId="0" borderId="5" xfId="0" applyBorder="1" applyAlignment="1">
      <alignment horizontal="center" vertical="center"/>
    </xf>
    <xf numFmtId="0" fontId="23" fillId="0" borderId="2" xfId="0" applyFont="1" applyBorder="1" applyAlignment="1">
      <alignment horizontal="center" vertical="center" wrapText="1"/>
    </xf>
    <xf numFmtId="0" fontId="23" fillId="0" borderId="23" xfId="0" applyFont="1" applyBorder="1" applyAlignment="1">
      <alignment horizontal="center" vertical="center" wrapText="1"/>
    </xf>
    <xf numFmtId="0" fontId="23" fillId="0" borderId="24" xfId="0" applyFont="1" applyBorder="1" applyAlignment="1">
      <alignment horizontal="center" vertical="center" wrapText="1"/>
    </xf>
    <xf numFmtId="0" fontId="23" fillId="0" borderId="69" xfId="0" applyFont="1" applyBorder="1" applyAlignment="1">
      <alignment horizontal="center" vertical="center" wrapText="1"/>
    </xf>
    <xf numFmtId="0" fontId="23" fillId="0" borderId="25" xfId="0" applyFont="1" applyBorder="1" applyAlignment="1">
      <alignment horizontal="center" vertical="center" wrapText="1"/>
    </xf>
    <xf numFmtId="0" fontId="23" fillId="0" borderId="25" xfId="0" applyFont="1" applyBorder="1" applyAlignment="1">
      <alignment horizontal="center" vertical="center"/>
    </xf>
    <xf numFmtId="0" fontId="23" fillId="0" borderId="1" xfId="0" applyFont="1" applyBorder="1" applyAlignment="1">
      <alignment horizontal="center" vertical="center"/>
    </xf>
    <xf numFmtId="0" fontId="0" fillId="0" borderId="7" xfId="0" applyBorder="1" applyAlignment="1">
      <alignment horizontal="right" vertical="center"/>
    </xf>
    <xf numFmtId="0" fontId="0" fillId="0" borderId="0" xfId="0" applyAlignment="1">
      <alignment horizontal="right"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0" fillId="0" borderId="8" xfId="0" applyBorder="1" applyAlignment="1">
      <alignment horizontal="right" vertical="center"/>
    </xf>
    <xf numFmtId="0" fontId="0" fillId="0" borderId="26" xfId="0" applyBorder="1" applyAlignment="1">
      <alignment horizontal="right" vertical="center"/>
    </xf>
    <xf numFmtId="0" fontId="0" fillId="0" borderId="10" xfId="0" applyBorder="1" applyAlignment="1">
      <alignment horizontal="right" vertical="center"/>
    </xf>
    <xf numFmtId="0" fontId="0" fillId="0" borderId="12" xfId="0" applyBorder="1" applyAlignment="1">
      <alignment horizontal="right" vertical="center"/>
    </xf>
    <xf numFmtId="0" fontId="0" fillId="0" borderId="16" xfId="0" applyBorder="1" applyAlignment="1">
      <alignment horizontal="right" vertical="center"/>
    </xf>
    <xf numFmtId="0" fontId="0" fillId="0" borderId="19" xfId="0" applyBorder="1" applyAlignment="1">
      <alignment horizontal="right" vertical="center"/>
    </xf>
    <xf numFmtId="0" fontId="23" fillId="0" borderId="0" xfId="0" applyFont="1" applyAlignment="1">
      <alignment horizontal="center" vertical="center" wrapText="1"/>
    </xf>
    <xf numFmtId="0" fontId="2" fillId="2" borderId="0" xfId="0" applyFont="1" applyFill="1" applyAlignment="1">
      <alignment horizontal="center" vertical="center" wrapText="1"/>
    </xf>
    <xf numFmtId="0" fontId="23" fillId="0" borderId="24" xfId="0" applyFont="1" applyBorder="1" applyAlignment="1">
      <alignment horizontal="center" vertical="center"/>
    </xf>
    <xf numFmtId="0" fontId="23" fillId="0" borderId="30" xfId="0" applyFont="1" applyBorder="1" applyAlignment="1">
      <alignment horizontal="center" vertical="center"/>
    </xf>
    <xf numFmtId="0" fontId="23" fillId="0" borderId="0" xfId="0" applyFont="1" applyAlignment="1">
      <alignment horizontal="center" vertical="center"/>
    </xf>
    <xf numFmtId="0" fontId="23" fillId="0" borderId="28" xfId="0" applyFont="1" applyBorder="1" applyAlignment="1">
      <alignment horizontal="center" vertical="center"/>
    </xf>
    <xf numFmtId="0" fontId="23" fillId="0" borderId="29" xfId="0" applyFont="1" applyBorder="1" applyAlignment="1">
      <alignment horizontal="center" vertical="center"/>
    </xf>
    <xf numFmtId="0" fontId="22" fillId="2" borderId="1" xfId="0" applyFont="1" applyFill="1" applyBorder="1" applyAlignment="1">
      <alignment vertical="center" wrapText="1"/>
    </xf>
    <xf numFmtId="0" fontId="0" fillId="0" borderId="26" xfId="0" applyBorder="1" applyAlignment="1">
      <alignment horizontal="right" vertical="center" wrapText="1"/>
    </xf>
    <xf numFmtId="0" fontId="3" fillId="12" borderId="0" xfId="0" applyFont="1" applyFill="1" applyAlignment="1">
      <alignment horizontal="center" vertical="center" wrapText="1"/>
    </xf>
    <xf numFmtId="0" fontId="0" fillId="0" borderId="0" xfId="0" applyAlignment="1">
      <alignment horizontal="left" vertical="center" wrapText="1"/>
    </xf>
    <xf numFmtId="0" fontId="0" fillId="12" borderId="0" xfId="0" applyFill="1" applyAlignment="1">
      <alignment horizontal="center" vertical="center" wrapText="1"/>
    </xf>
    <xf numFmtId="0" fontId="3" fillId="12" borderId="1" xfId="0" applyFont="1" applyFill="1" applyBorder="1" applyAlignment="1">
      <alignment horizontal="center" vertical="center" wrapText="1"/>
    </xf>
    <xf numFmtId="0" fontId="19" fillId="17" borderId="1" xfId="0" applyFont="1" applyFill="1" applyBorder="1" applyAlignment="1" applyProtection="1">
      <alignment horizontal="center" vertical="center" wrapText="1"/>
      <protection locked="0"/>
    </xf>
    <xf numFmtId="0" fontId="25" fillId="0" borderId="1" xfId="0" applyFont="1" applyBorder="1" applyAlignment="1">
      <alignment horizontal="center" vertical="center" wrapText="1"/>
    </xf>
    <xf numFmtId="0" fontId="0" fillId="12" borderId="0" xfId="0" applyFill="1" applyAlignment="1">
      <alignment horizontal="left" vertical="center" wrapText="1"/>
    </xf>
    <xf numFmtId="0" fontId="3" fillId="0" borderId="0" xfId="0" applyFont="1" applyAlignment="1">
      <alignment horizontal="left" vertical="center"/>
    </xf>
    <xf numFmtId="0" fontId="19" fillId="0" borderId="1" xfId="0" applyFont="1" applyBorder="1" applyAlignment="1">
      <alignment horizontal="center" vertical="center" wrapText="1"/>
    </xf>
    <xf numFmtId="0" fontId="19" fillId="0" borderId="1" xfId="0" applyFont="1" applyBorder="1" applyAlignment="1">
      <alignment horizontal="left" vertical="center" wrapText="1"/>
    </xf>
    <xf numFmtId="0" fontId="27" fillId="0" borderId="1" xfId="0" applyFont="1" applyBorder="1" applyAlignment="1">
      <alignment horizontal="center" vertical="center" wrapText="1"/>
    </xf>
    <xf numFmtId="0" fontId="19" fillId="8" borderId="1" xfId="0" applyFont="1" applyFill="1" applyBorder="1" applyAlignment="1">
      <alignment horizontal="left" vertical="center" wrapText="1"/>
    </xf>
    <xf numFmtId="0" fontId="27" fillId="8" borderId="1" xfId="0" applyFont="1" applyFill="1" applyBorder="1" applyAlignment="1">
      <alignment horizontal="center" vertical="center" wrapText="1"/>
    </xf>
    <xf numFmtId="0" fontId="27" fillId="8" borderId="1" xfId="0" applyFont="1" applyFill="1" applyBorder="1" applyAlignment="1" applyProtection="1">
      <alignment horizontal="center" vertical="center" wrapText="1"/>
      <protection locked="0"/>
    </xf>
    <xf numFmtId="0" fontId="19" fillId="8" borderId="1" xfId="0" applyFont="1" applyFill="1" applyBorder="1" applyAlignment="1">
      <alignment horizontal="left" vertical="center"/>
    </xf>
    <xf numFmtId="0" fontId="19" fillId="0" borderId="1" xfId="0" applyFont="1" applyBorder="1" applyAlignment="1">
      <alignment horizontal="right" vertical="center"/>
    </xf>
    <xf numFmtId="0" fontId="27" fillId="0" borderId="1" xfId="0" applyFont="1" applyBorder="1" applyAlignment="1" applyProtection="1">
      <alignment horizontal="center" vertical="center"/>
      <protection locked="0"/>
    </xf>
    <xf numFmtId="0" fontId="27" fillId="8" borderId="1" xfId="0" applyFont="1" applyFill="1" applyBorder="1" applyAlignment="1" applyProtection="1">
      <alignment horizontal="center" vertical="center"/>
      <protection locked="0"/>
    </xf>
    <xf numFmtId="0" fontId="27" fillId="0" borderId="1" xfId="0" applyFont="1" applyBorder="1" applyAlignment="1">
      <alignment horizontal="center" vertical="center"/>
    </xf>
    <xf numFmtId="0" fontId="19" fillId="8" borderId="1" xfId="0" applyFont="1" applyFill="1" applyBorder="1" applyAlignment="1">
      <alignment horizontal="right" vertical="center"/>
    </xf>
    <xf numFmtId="0" fontId="19" fillId="0" borderId="1" xfId="0" applyFont="1" applyBorder="1" applyAlignment="1">
      <alignment horizontal="left" vertical="center"/>
    </xf>
    <xf numFmtId="0" fontId="3" fillId="0" borderId="0" xfId="0" applyFont="1" applyAlignment="1">
      <alignment horizontal="center" vertical="center"/>
    </xf>
    <xf numFmtId="49" fontId="0" fillId="0" borderId="0" xfId="0" applyNumberFormat="1"/>
    <xf numFmtId="0" fontId="19" fillId="0" borderId="1" xfId="0" applyFont="1" applyBorder="1" applyAlignment="1">
      <alignment horizontal="center" vertical="center"/>
    </xf>
    <xf numFmtId="0" fontId="19" fillId="17" borderId="1" xfId="0" applyFont="1" applyFill="1" applyBorder="1" applyAlignment="1" applyProtection="1">
      <alignment horizontal="center" vertical="center"/>
      <protection locked="0"/>
    </xf>
    <xf numFmtId="0" fontId="27" fillId="0" borderId="1" xfId="0" applyFont="1" applyBorder="1"/>
    <xf numFmtId="14" fontId="27" fillId="0" borderId="1" xfId="0" applyNumberFormat="1" applyFont="1" applyBorder="1" applyAlignment="1" applyProtection="1">
      <alignment horizontal="center" vertical="center"/>
      <protection locked="0"/>
    </xf>
    <xf numFmtId="0" fontId="27" fillId="0" borderId="1" xfId="0" applyFont="1" applyBorder="1" applyAlignment="1" applyProtection="1">
      <alignment horizontal="center" vertical="center" wrapText="1"/>
      <protection locked="0"/>
    </xf>
    <xf numFmtId="0" fontId="27" fillId="15" borderId="1" xfId="0" applyFont="1" applyFill="1" applyBorder="1" applyAlignment="1" applyProtection="1">
      <alignment horizontal="center" vertical="center"/>
      <protection locked="0"/>
    </xf>
    <xf numFmtId="1" fontId="27" fillId="0" borderId="1" xfId="0" applyNumberFormat="1" applyFont="1" applyBorder="1" applyAlignment="1" applyProtection="1">
      <alignment horizontal="center" vertical="center"/>
      <protection locked="0"/>
    </xf>
    <xf numFmtId="49" fontId="27" fillId="0" borderId="1" xfId="0" applyNumberFormat="1" applyFont="1" applyBorder="1"/>
    <xf numFmtId="49" fontId="27" fillId="0" borderId="1" xfId="0" applyNumberFormat="1" applyFont="1" applyBorder="1" applyAlignment="1" applyProtection="1">
      <alignment horizontal="center" vertical="center"/>
      <protection locked="0"/>
    </xf>
    <xf numFmtId="2" fontId="27" fillId="0" borderId="1" xfId="0" applyNumberFormat="1" applyFont="1" applyBorder="1" applyAlignment="1" applyProtection="1">
      <alignment horizontal="center" vertical="center"/>
      <protection locked="0"/>
    </xf>
    <xf numFmtId="0" fontId="19" fillId="0" borderId="1" xfId="0" applyFont="1" applyBorder="1"/>
    <xf numFmtId="0" fontId="27" fillId="12" borderId="1" xfId="0" applyFont="1" applyFill="1" applyBorder="1"/>
    <xf numFmtId="0" fontId="19" fillId="12" borderId="1" xfId="0" applyFont="1" applyFill="1" applyBorder="1"/>
    <xf numFmtId="0" fontId="27" fillId="12" borderId="1" xfId="0" applyFont="1" applyFill="1" applyBorder="1" applyAlignment="1">
      <alignment horizontal="center" vertical="center"/>
    </xf>
    <xf numFmtId="0" fontId="0" fillId="12" borderId="1" xfId="0" applyFill="1" applyBorder="1"/>
    <xf numFmtId="0" fontId="0" fillId="12" borderId="1" xfId="0" applyFill="1" applyBorder="1" applyAlignment="1">
      <alignment horizontal="center" vertical="center"/>
    </xf>
    <xf numFmtId="0" fontId="3" fillId="12" borderId="1" xfId="0" applyFont="1" applyFill="1" applyBorder="1"/>
    <xf numFmtId="0" fontId="27" fillId="0" borderId="82" xfId="0" applyFont="1" applyBorder="1"/>
    <xf numFmtId="0" fontId="3" fillId="17" borderId="0" xfId="0" applyFont="1" applyFill="1" applyAlignment="1">
      <alignment horizontal="center" vertical="center"/>
    </xf>
    <xf numFmtId="0" fontId="28" fillId="13" borderId="0" xfId="0" applyFont="1" applyFill="1" applyAlignment="1">
      <alignment horizontal="justify"/>
    </xf>
    <xf numFmtId="0" fontId="15" fillId="13" borderId="0" xfId="0" applyFont="1" applyFill="1" applyAlignment="1">
      <alignment horizontal="justify"/>
    </xf>
    <xf numFmtId="0" fontId="29" fillId="7" borderId="0" xfId="0" applyFont="1" applyFill="1" applyAlignment="1">
      <alignment horizontal="right" vertical="top" wrapText="1"/>
    </xf>
    <xf numFmtId="0" fontId="15" fillId="7" borderId="0" xfId="0" applyFont="1" applyFill="1" applyAlignment="1">
      <alignment horizontal="right" vertical="top" wrapText="1"/>
    </xf>
    <xf numFmtId="0" fontId="15" fillId="7" borderId="0" xfId="0" applyFont="1" applyFill="1" applyAlignment="1">
      <alignment horizontal="justify" vertical="top" wrapText="1"/>
    </xf>
    <xf numFmtId="0" fontId="15" fillId="7" borderId="0" xfId="0" applyFont="1" applyFill="1" applyAlignment="1">
      <alignment horizontal="center" vertical="top" wrapText="1"/>
    </xf>
    <xf numFmtId="0" fontId="30" fillId="7" borderId="0" xfId="0" applyFont="1" applyFill="1" applyAlignment="1">
      <alignment horizontal="justify" vertical="top" wrapText="1"/>
    </xf>
    <xf numFmtId="0" fontId="29" fillId="7" borderId="90" xfId="0" applyFont="1" applyFill="1" applyBorder="1" applyAlignment="1">
      <alignment horizontal="right" vertical="top" wrapText="1"/>
    </xf>
    <xf numFmtId="0" fontId="15" fillId="7" borderId="91" xfId="0" applyFont="1" applyFill="1" applyBorder="1" applyAlignment="1">
      <alignment horizontal="right" vertical="top" wrapText="1"/>
    </xf>
    <xf numFmtId="0" fontId="15" fillId="7" borderId="91" xfId="0" applyFont="1" applyFill="1" applyBorder="1" applyAlignment="1">
      <alignment horizontal="justify" vertical="top" wrapText="1"/>
    </xf>
    <xf numFmtId="0" fontId="29" fillId="7" borderId="92" xfId="0" applyFont="1" applyFill="1" applyBorder="1" applyAlignment="1">
      <alignment horizontal="right" vertical="top" wrapText="1"/>
    </xf>
    <xf numFmtId="0" fontId="31" fillId="23" borderId="0" xfId="0" applyFont="1" applyFill="1" applyAlignment="1">
      <alignment horizontal="right" vertical="center" wrapText="1"/>
    </xf>
    <xf numFmtId="0" fontId="15" fillId="7" borderId="0" xfId="0" applyFont="1" applyFill="1" applyAlignment="1">
      <alignment horizontal="left" vertical="top" wrapText="1"/>
    </xf>
    <xf numFmtId="0" fontId="15" fillId="7" borderId="0" xfId="0" applyFont="1" applyFill="1" applyAlignment="1">
      <alignment vertical="center" wrapText="1"/>
    </xf>
    <xf numFmtId="0" fontId="32" fillId="7" borderId="0" xfId="0" applyFont="1" applyFill="1" applyAlignment="1">
      <alignment vertical="top" wrapText="1"/>
    </xf>
    <xf numFmtId="0" fontId="33" fillId="7" borderId="0" xfId="0" applyFont="1" applyFill="1" applyAlignment="1">
      <alignment vertical="top" wrapText="1"/>
    </xf>
    <xf numFmtId="0" fontId="34" fillId="7" borderId="0" xfId="0" applyFont="1" applyFill="1" applyAlignment="1">
      <alignment vertical="top" wrapText="1"/>
    </xf>
    <xf numFmtId="0" fontId="15" fillId="7" borderId="0" xfId="0" applyFont="1" applyFill="1" applyAlignment="1">
      <alignment vertical="top" wrapText="1"/>
    </xf>
    <xf numFmtId="0" fontId="29" fillId="7" borderId="95" xfId="0" applyFont="1" applyFill="1" applyBorder="1" applyAlignment="1">
      <alignment horizontal="right" vertical="top" wrapText="1"/>
    </xf>
    <xf numFmtId="0" fontId="15" fillId="7" borderId="96" xfId="0" applyFont="1" applyFill="1" applyBorder="1" applyAlignment="1">
      <alignment horizontal="right" vertical="top" wrapText="1"/>
    </xf>
    <xf numFmtId="0" fontId="15" fillId="7" borderId="96" xfId="0" applyFont="1" applyFill="1" applyBorder="1" applyAlignment="1">
      <alignment vertical="top" wrapText="1"/>
    </xf>
    <xf numFmtId="0" fontId="32" fillId="7" borderId="96" xfId="0" applyFont="1" applyFill="1" applyBorder="1" applyAlignment="1">
      <alignment vertical="top" wrapText="1"/>
    </xf>
    <xf numFmtId="0" fontId="29" fillId="13" borderId="0" xfId="0" applyFont="1" applyFill="1" applyAlignment="1">
      <alignment horizontal="right" vertical="top" wrapText="1"/>
    </xf>
    <xf numFmtId="0" fontId="15" fillId="13" borderId="0" xfId="0" applyFont="1" applyFill="1" applyAlignment="1">
      <alignment horizontal="right" vertical="top" wrapText="1"/>
    </xf>
    <xf numFmtId="0" fontId="15" fillId="13" borderId="0" xfId="0" applyFont="1" applyFill="1" applyAlignment="1">
      <alignment horizontal="justify" vertical="top" wrapText="1"/>
    </xf>
    <xf numFmtId="0" fontId="28" fillId="13" borderId="0" xfId="0" applyFont="1" applyFill="1" applyAlignment="1">
      <alignment horizontal="center" vertical="top" wrapText="1"/>
    </xf>
    <xf numFmtId="0" fontId="28" fillId="13" borderId="0" xfId="0" applyFont="1" applyFill="1" applyAlignment="1">
      <alignment horizontal="justify" vertical="top" wrapText="1"/>
    </xf>
    <xf numFmtId="0" fontId="15" fillId="7" borderId="91" xfId="0" applyFont="1" applyFill="1" applyBorder="1" applyAlignment="1">
      <alignment horizontal="center" vertical="top" wrapText="1"/>
    </xf>
    <xf numFmtId="0" fontId="30" fillId="7" borderId="91" xfId="0" applyFont="1" applyFill="1" applyBorder="1" applyAlignment="1">
      <alignment horizontal="justify" vertical="top" wrapText="1"/>
    </xf>
    <xf numFmtId="0" fontId="15" fillId="7" borderId="0" xfId="0" applyFont="1" applyFill="1" applyAlignment="1">
      <alignment wrapText="1"/>
    </xf>
    <xf numFmtId="0" fontId="15" fillId="7" borderId="0" xfId="0" applyFont="1" applyFill="1" applyAlignment="1">
      <alignment horizontal="right" wrapText="1"/>
    </xf>
    <xf numFmtId="0" fontId="34" fillId="7" borderId="0" xfId="0" applyFont="1" applyFill="1" applyAlignment="1">
      <alignment wrapText="1"/>
    </xf>
    <xf numFmtId="0" fontId="34" fillId="7" borderId="0" xfId="0" applyFont="1" applyFill="1" applyAlignment="1">
      <alignment vertical="center" wrapText="1"/>
    </xf>
    <xf numFmtId="14" fontId="38" fillId="7" borderId="0" xfId="0" applyNumberFormat="1" applyFont="1" applyFill="1" applyAlignment="1">
      <alignment vertical="center" wrapText="1"/>
    </xf>
    <xf numFmtId="0" fontId="30" fillId="7" borderId="96" xfId="0" applyFont="1" applyFill="1" applyBorder="1" applyAlignment="1">
      <alignment horizontal="justify" vertical="top" wrapText="1"/>
    </xf>
    <xf numFmtId="0" fontId="15" fillId="13" borderId="0" xfId="0" applyFont="1" applyFill="1" applyAlignment="1">
      <alignment horizontal="center" vertical="top" wrapText="1"/>
    </xf>
    <xf numFmtId="0" fontId="30" fillId="13" borderId="0" xfId="0" applyFont="1" applyFill="1" applyAlignment="1">
      <alignment horizontal="justify" vertical="top" wrapText="1"/>
    </xf>
    <xf numFmtId="0" fontId="30" fillId="18" borderId="5" xfId="0" applyFont="1" applyFill="1" applyBorder="1" applyAlignment="1">
      <alignment horizontal="justify" vertical="top" wrapText="1"/>
    </xf>
    <xf numFmtId="14" fontId="30" fillId="18" borderId="9" xfId="0" applyNumberFormat="1" applyFont="1" applyFill="1" applyBorder="1" applyAlignment="1">
      <alignment horizontal="justify" vertical="top" wrapText="1"/>
    </xf>
    <xf numFmtId="0" fontId="15" fillId="18" borderId="9" xfId="0" applyFont="1" applyFill="1" applyBorder="1" applyAlignment="1">
      <alignment horizontal="justify" vertical="top" wrapText="1"/>
    </xf>
    <xf numFmtId="0" fontId="15" fillId="18" borderId="6" xfId="0" applyFont="1" applyFill="1" applyBorder="1" applyAlignment="1">
      <alignment horizontal="justify" vertical="top" wrapText="1"/>
    </xf>
    <xf numFmtId="0" fontId="30" fillId="18" borderId="7" xfId="0" applyFont="1" applyFill="1" applyBorder="1" applyAlignment="1">
      <alignment horizontal="justify" vertical="top" wrapText="1"/>
    </xf>
    <xf numFmtId="0" fontId="15" fillId="18" borderId="8" xfId="0" applyFont="1" applyFill="1" applyBorder="1" applyAlignment="1">
      <alignment horizontal="justify" vertical="top" wrapText="1"/>
    </xf>
    <xf numFmtId="0" fontId="15" fillId="18" borderId="10" xfId="0" applyFont="1" applyFill="1" applyBorder="1" applyAlignment="1">
      <alignment horizontal="justify" vertical="top" wrapText="1"/>
    </xf>
    <xf numFmtId="0" fontId="15" fillId="18" borderId="11" xfId="0" applyFont="1" applyFill="1" applyBorder="1" applyAlignment="1">
      <alignment horizontal="justify" vertical="top" wrapText="1"/>
    </xf>
    <xf numFmtId="0" fontId="15" fillId="18" borderId="12" xfId="0" applyFont="1" applyFill="1" applyBorder="1" applyAlignment="1">
      <alignment horizontal="justify" vertical="top" wrapText="1"/>
    </xf>
    <xf numFmtId="0" fontId="15" fillId="7" borderId="96" xfId="0" applyFont="1" applyFill="1" applyBorder="1" applyAlignment="1">
      <alignment horizontal="justify" vertical="top" wrapText="1"/>
    </xf>
    <xf numFmtId="0" fontId="29" fillId="7" borderId="98" xfId="0" applyFont="1" applyFill="1" applyBorder="1" applyAlignment="1">
      <alignment horizontal="right" vertical="top" wrapText="1"/>
    </xf>
    <xf numFmtId="0" fontId="29" fillId="7" borderId="100" xfId="0" applyFont="1" applyFill="1" applyBorder="1" applyAlignment="1">
      <alignment horizontal="right" vertical="top" wrapText="1"/>
    </xf>
    <xf numFmtId="0" fontId="15" fillId="7" borderId="100" xfId="0" applyFont="1" applyFill="1" applyBorder="1" applyAlignment="1">
      <alignment horizontal="right" vertical="top" wrapText="1"/>
    </xf>
    <xf numFmtId="0" fontId="15" fillId="7" borderId="99" xfId="0" applyFont="1" applyFill="1" applyBorder="1" applyAlignment="1">
      <alignment horizontal="right" vertical="top" wrapText="1"/>
    </xf>
    <xf numFmtId="0" fontId="27" fillId="15" borderId="0" xfId="0" applyFont="1" applyFill="1"/>
    <xf numFmtId="0" fontId="19" fillId="15" borderId="0" xfId="0" applyFont="1" applyFill="1" applyAlignment="1">
      <alignment horizontal="center" vertical="center"/>
    </xf>
    <xf numFmtId="0" fontId="19" fillId="15" borderId="105" xfId="0" applyFont="1" applyFill="1" applyBorder="1" applyAlignment="1">
      <alignment horizontal="center" vertical="center" wrapText="1"/>
    </xf>
    <xf numFmtId="0" fontId="19" fillId="15" borderId="106" xfId="0" applyFont="1" applyFill="1" applyBorder="1" applyAlignment="1">
      <alignment horizontal="center" vertical="center" wrapText="1"/>
    </xf>
    <xf numFmtId="0" fontId="19" fillId="15" borderId="0" xfId="0" applyFont="1" applyFill="1" applyAlignment="1">
      <alignment horizontal="center" vertical="center" wrapText="1"/>
    </xf>
    <xf numFmtId="0" fontId="19" fillId="15" borderId="0" xfId="0" applyFont="1" applyFill="1"/>
    <xf numFmtId="164" fontId="19" fillId="0" borderId="18" xfId="1" applyFont="1" applyFill="1" applyBorder="1" applyAlignment="1" applyProtection="1">
      <alignment horizontal="center" vertical="center" wrapText="1"/>
      <protection locked="0"/>
    </xf>
    <xf numFmtId="1" fontId="40" fillId="15" borderId="12" xfId="1" applyNumberFormat="1" applyFont="1" applyFill="1" applyBorder="1" applyAlignment="1">
      <alignment horizontal="center" vertical="center" wrapText="1"/>
    </xf>
    <xf numFmtId="0" fontId="19" fillId="15" borderId="107" xfId="0" applyFont="1" applyFill="1" applyBorder="1" applyAlignment="1">
      <alignment horizontal="center" vertical="center" wrapText="1"/>
    </xf>
    <xf numFmtId="0" fontId="19" fillId="15" borderId="71" xfId="0" applyFont="1" applyFill="1" applyBorder="1" applyAlignment="1">
      <alignment horizontal="center" vertical="center" wrapText="1"/>
    </xf>
    <xf numFmtId="0" fontId="19" fillId="0" borderId="18" xfId="0" applyFont="1" applyBorder="1" applyAlignment="1" applyProtection="1">
      <alignment horizontal="center" vertical="center" wrapText="1"/>
      <protection locked="0"/>
    </xf>
    <xf numFmtId="0" fontId="40" fillId="15" borderId="79" xfId="0" applyFont="1" applyFill="1" applyBorder="1" applyAlignment="1">
      <alignment horizontal="center" vertical="center" wrapText="1"/>
    </xf>
    <xf numFmtId="164" fontId="40" fillId="15" borderId="75" xfId="1" applyFont="1" applyFill="1" applyBorder="1" applyAlignment="1">
      <alignment horizontal="center" vertical="center" wrapText="1"/>
    </xf>
    <xf numFmtId="0" fontId="41" fillId="15" borderId="0" xfId="0" applyFont="1" applyFill="1" applyAlignment="1">
      <alignment horizontal="center" vertical="center" wrapText="1"/>
    </xf>
    <xf numFmtId="0" fontId="19" fillId="15" borderId="2" xfId="0" applyFont="1" applyFill="1" applyBorder="1" applyAlignment="1">
      <alignment horizontal="center" vertical="center" wrapText="1"/>
    </xf>
    <xf numFmtId="0" fontId="42" fillId="15" borderId="3" xfId="0" applyFont="1" applyFill="1" applyBorder="1" applyAlignment="1">
      <alignment horizontal="center" vertical="center" wrapText="1"/>
    </xf>
    <xf numFmtId="0" fontId="42" fillId="15" borderId="1" xfId="0" applyFont="1" applyFill="1" applyBorder="1" applyAlignment="1">
      <alignment horizontal="center" vertical="center" wrapText="1"/>
    </xf>
    <xf numFmtId="0" fontId="19" fillId="15" borderId="1" xfId="0" applyFont="1" applyFill="1" applyBorder="1" applyAlignment="1">
      <alignment horizontal="center" vertical="center" wrapText="1"/>
    </xf>
    <xf numFmtId="0" fontId="19" fillId="6" borderId="75" xfId="0" applyFont="1" applyFill="1" applyBorder="1" applyAlignment="1" applyProtection="1">
      <alignment horizontal="center" vertical="center" wrapText="1"/>
      <protection locked="0"/>
    </xf>
    <xf numFmtId="0" fontId="19" fillId="15" borderId="108" xfId="0" applyFont="1" applyFill="1" applyBorder="1" applyAlignment="1">
      <alignment horizontal="center" vertical="center"/>
    </xf>
    <xf numFmtId="0" fontId="19" fillId="15" borderId="24" xfId="0" applyFont="1" applyFill="1" applyBorder="1" applyAlignment="1">
      <alignment horizontal="center" vertical="center"/>
    </xf>
    <xf numFmtId="0" fontId="19" fillId="15" borderId="9" xfId="0" applyFont="1" applyFill="1" applyBorder="1" applyAlignment="1">
      <alignment horizontal="center" vertical="center"/>
    </xf>
    <xf numFmtId="0" fontId="19" fillId="15" borderId="109" xfId="0" applyFont="1" applyFill="1" applyBorder="1" applyAlignment="1">
      <alignment horizontal="center" vertical="center"/>
    </xf>
    <xf numFmtId="0" fontId="19" fillId="0" borderId="18" xfId="0" applyFont="1" applyBorder="1" applyAlignment="1" applyProtection="1">
      <alignment horizontal="center" vertical="center"/>
      <protection locked="0"/>
    </xf>
    <xf numFmtId="0" fontId="19" fillId="15" borderId="110" xfId="0" applyFont="1" applyFill="1" applyBorder="1" applyAlignment="1">
      <alignment horizontal="center" vertical="center"/>
    </xf>
    <xf numFmtId="0" fontId="40" fillId="15" borderId="27" xfId="0" applyFont="1" applyFill="1" applyBorder="1" applyAlignment="1">
      <alignment horizontal="center" vertical="center"/>
    </xf>
    <xf numFmtId="0" fontId="19" fillId="15" borderId="11" xfId="0" applyFont="1" applyFill="1" applyBorder="1" applyAlignment="1">
      <alignment horizontal="center" vertical="center"/>
    </xf>
    <xf numFmtId="0" fontId="40" fillId="15" borderId="0" xfId="0" applyFont="1" applyFill="1"/>
    <xf numFmtId="0" fontId="40" fillId="15" borderId="24" xfId="0" applyFont="1" applyFill="1" applyBorder="1" applyAlignment="1">
      <alignment horizontal="center" vertical="center"/>
    </xf>
    <xf numFmtId="0" fontId="40" fillId="15" borderId="0" xfId="0" applyFont="1" applyFill="1" applyAlignment="1">
      <alignment horizontal="center" vertical="center"/>
    </xf>
    <xf numFmtId="0" fontId="19" fillId="15" borderId="30" xfId="0" applyFont="1" applyFill="1" applyBorder="1" applyAlignment="1">
      <alignment horizontal="center" vertical="center"/>
    </xf>
    <xf numFmtId="0" fontId="40" fillId="15" borderId="29" xfId="0" applyFont="1" applyFill="1" applyBorder="1" applyAlignment="1">
      <alignment horizontal="center" vertical="center"/>
    </xf>
    <xf numFmtId="0" fontId="40" fillId="15" borderId="30" xfId="0" applyFont="1" applyFill="1" applyBorder="1" applyAlignment="1">
      <alignment horizontal="center" vertical="center"/>
    </xf>
    <xf numFmtId="0" fontId="5" fillId="0" borderId="1" xfId="0" applyFont="1" applyBorder="1" applyAlignment="1">
      <alignment horizontal="right"/>
    </xf>
    <xf numFmtId="0" fontId="5" fillId="0" borderId="1" xfId="0" applyFont="1" applyBorder="1" applyAlignment="1" applyProtection="1">
      <alignment horizontal="center"/>
      <protection locked="0"/>
    </xf>
    <xf numFmtId="0" fontId="5" fillId="0" borderId="1" xfId="0" applyFont="1" applyBorder="1" applyAlignment="1">
      <alignment horizontal="right" vertical="center"/>
    </xf>
    <xf numFmtId="0" fontId="5" fillId="0" borderId="1" xfId="0" applyFont="1" applyBorder="1" applyAlignment="1">
      <alignment horizontal="left" wrapText="1"/>
    </xf>
    <xf numFmtId="0" fontId="6" fillId="0" borderId="1" xfId="0" applyFont="1" applyBorder="1" applyAlignment="1">
      <alignment horizontal="left"/>
    </xf>
    <xf numFmtId="0" fontId="5" fillId="0" borderId="1" xfId="0" applyFont="1" applyBorder="1" applyAlignment="1" applyProtection="1">
      <alignment horizontal="center" vertical="center"/>
      <protection locked="0"/>
    </xf>
    <xf numFmtId="0" fontId="6" fillId="8" borderId="1" xfId="0" applyFont="1" applyFill="1" applyBorder="1" applyAlignment="1">
      <alignment horizontal="center"/>
    </xf>
    <xf numFmtId="0" fontId="39" fillId="15" borderId="0" xfId="0" applyFont="1" applyFill="1" applyAlignment="1">
      <alignment horizontal="center"/>
    </xf>
    <xf numFmtId="0" fontId="15" fillId="0" borderId="102" xfId="0" applyFont="1" applyBorder="1" applyAlignment="1">
      <alignment horizontal="center" vertical="top" wrapText="1"/>
    </xf>
    <xf numFmtId="0" fontId="15" fillId="0" borderId="103" xfId="0" applyFont="1" applyBorder="1" applyAlignment="1">
      <alignment horizontal="center" vertical="top" wrapText="1"/>
    </xf>
    <xf numFmtId="0" fontId="15" fillId="7" borderId="0" xfId="0" applyFont="1" applyFill="1" applyAlignment="1">
      <alignment horizontal="left" vertical="top" wrapText="1"/>
    </xf>
    <xf numFmtId="0" fontId="49" fillId="12" borderId="93" xfId="0" applyFont="1" applyFill="1" applyBorder="1" applyAlignment="1" applyProtection="1">
      <alignment horizontal="center" vertical="center" wrapText="1"/>
      <protection locked="0"/>
    </xf>
    <xf numFmtId="0" fontId="15" fillId="12" borderId="94" xfId="0" applyFont="1" applyFill="1" applyBorder="1" applyAlignment="1" applyProtection="1">
      <alignment horizontal="center" vertical="center" wrapText="1"/>
      <protection locked="0"/>
    </xf>
    <xf numFmtId="0" fontId="15" fillId="12" borderId="97" xfId="0" applyFont="1" applyFill="1" applyBorder="1" applyAlignment="1" applyProtection="1">
      <alignment horizontal="center" vertical="center" wrapText="1"/>
      <protection locked="0"/>
    </xf>
    <xf numFmtId="49" fontId="36" fillId="18" borderId="9" xfId="0" applyNumberFormat="1" applyFont="1" applyFill="1" applyBorder="1" applyAlignment="1">
      <alignment horizontal="center" vertical="top" wrapText="1"/>
    </xf>
    <xf numFmtId="0" fontId="15" fillId="12" borderId="93" xfId="0" applyFont="1" applyFill="1" applyBorder="1" applyAlignment="1" applyProtection="1">
      <alignment horizontal="center" vertical="center" wrapText="1"/>
      <protection locked="0"/>
    </xf>
    <xf numFmtId="0" fontId="15" fillId="0" borderId="102" xfId="0" applyFont="1" applyBorder="1" applyAlignment="1">
      <alignment horizontal="center" vertical="center" wrapText="1"/>
    </xf>
    <xf numFmtId="0" fontId="15" fillId="0" borderId="104" xfId="0" applyFont="1" applyBorder="1" applyAlignment="1">
      <alignment horizontal="center" vertical="center" wrapText="1"/>
    </xf>
    <xf numFmtId="0" fontId="15" fillId="0" borderId="103" xfId="0" applyFont="1" applyBorder="1" applyAlignment="1">
      <alignment horizontal="center" vertical="center" wrapText="1"/>
    </xf>
    <xf numFmtId="0" fontId="30" fillId="24" borderId="0" xfId="0" applyFont="1" applyFill="1" applyAlignment="1">
      <alignment horizontal="center" vertical="top" wrapText="1"/>
    </xf>
    <xf numFmtId="0" fontId="30" fillId="24" borderId="101" xfId="0" applyFont="1" applyFill="1" applyBorder="1" applyAlignment="1">
      <alignment horizontal="center" vertical="top" wrapText="1"/>
    </xf>
    <xf numFmtId="0" fontId="15" fillId="5" borderId="94" xfId="0" applyFont="1" applyFill="1" applyBorder="1" applyAlignment="1" applyProtection="1">
      <alignment horizontal="center" vertical="center" wrapText="1"/>
      <protection locked="0"/>
    </xf>
    <xf numFmtId="0" fontId="15" fillId="5" borderId="97" xfId="0" applyFont="1" applyFill="1" applyBorder="1" applyAlignment="1" applyProtection="1">
      <alignment horizontal="center" vertical="center" wrapText="1"/>
      <protection locked="0"/>
    </xf>
    <xf numFmtId="0" fontId="36" fillId="7" borderId="0" xfId="0" applyFont="1" applyFill="1" applyAlignment="1">
      <alignment horizontal="center" vertical="top" wrapText="1"/>
    </xf>
    <xf numFmtId="0" fontId="36" fillId="16" borderId="90" xfId="0" applyFont="1" applyFill="1" applyBorder="1" applyAlignment="1">
      <alignment horizontal="center" vertical="center" wrapText="1"/>
    </xf>
    <xf numFmtId="0" fontId="36" fillId="16" borderId="91" xfId="0" applyFont="1" applyFill="1" applyBorder="1" applyAlignment="1">
      <alignment horizontal="center" vertical="center" wrapText="1"/>
    </xf>
    <xf numFmtId="0" fontId="36" fillId="16" borderId="98" xfId="0" applyFont="1" applyFill="1" applyBorder="1" applyAlignment="1">
      <alignment horizontal="center" vertical="center" wrapText="1"/>
    </xf>
    <xf numFmtId="0" fontId="36" fillId="16" borderId="92" xfId="0" applyFont="1" applyFill="1" applyBorder="1" applyAlignment="1">
      <alignment horizontal="center" vertical="center" wrapText="1"/>
    </xf>
    <xf numFmtId="0" fontId="36" fillId="16" borderId="0" xfId="0" applyFont="1" applyFill="1" applyAlignment="1">
      <alignment horizontal="center" vertical="center" wrapText="1"/>
    </xf>
    <xf numFmtId="0" fontId="36" fillId="16" borderId="100" xfId="0" applyFont="1" applyFill="1" applyBorder="1" applyAlignment="1">
      <alignment horizontal="center" vertical="center" wrapText="1"/>
    </xf>
    <xf numFmtId="0" fontId="36" fillId="16" borderId="95" xfId="0" applyFont="1" applyFill="1" applyBorder="1" applyAlignment="1">
      <alignment horizontal="center" vertical="center" wrapText="1"/>
    </xf>
    <xf numFmtId="0" fontId="36" fillId="16" borderId="96" xfId="0" applyFont="1" applyFill="1" applyBorder="1" applyAlignment="1">
      <alignment horizontal="center" vertical="center" wrapText="1"/>
    </xf>
    <xf numFmtId="0" fontId="36" fillId="16" borderId="99" xfId="0" applyFont="1" applyFill="1" applyBorder="1" applyAlignment="1">
      <alignment horizontal="center" vertical="center" wrapText="1"/>
    </xf>
    <xf numFmtId="0" fontId="28" fillId="13" borderId="0" xfId="0" applyFont="1" applyFill="1" applyAlignment="1">
      <alignment horizontal="center" wrapText="1"/>
    </xf>
    <xf numFmtId="0" fontId="31" fillId="23" borderId="0" xfId="0" applyFont="1" applyFill="1" applyAlignment="1">
      <alignment horizontal="left" vertical="center" wrapText="1"/>
    </xf>
    <xf numFmtId="0" fontId="35" fillId="23" borderId="0" xfId="0" applyFont="1" applyFill="1" applyAlignment="1">
      <alignment horizontal="center" vertical="top" wrapText="1"/>
    </xf>
    <xf numFmtId="0" fontId="15" fillId="5" borderId="93" xfId="0" applyFont="1" applyFill="1" applyBorder="1" applyAlignment="1" applyProtection="1">
      <alignment horizontal="center" vertical="center" wrapText="1"/>
      <protection locked="0"/>
    </xf>
    <xf numFmtId="0" fontId="37" fillId="16" borderId="90" xfId="0" applyFont="1" applyFill="1" applyBorder="1" applyAlignment="1">
      <alignment horizontal="center" vertical="center" wrapText="1"/>
    </xf>
    <xf numFmtId="0" fontId="37" fillId="16" borderId="91" xfId="0" applyFont="1" applyFill="1" applyBorder="1" applyAlignment="1">
      <alignment horizontal="center" vertical="center" wrapText="1"/>
    </xf>
    <xf numFmtId="0" fontId="37" fillId="16" borderId="98" xfId="0" applyFont="1" applyFill="1" applyBorder="1" applyAlignment="1">
      <alignment horizontal="center" vertical="center" wrapText="1"/>
    </xf>
    <xf numFmtId="0" fontId="37" fillId="16" borderId="95" xfId="0" applyFont="1" applyFill="1" applyBorder="1" applyAlignment="1">
      <alignment horizontal="center" vertical="center" wrapText="1"/>
    </xf>
    <xf numFmtId="0" fontId="37" fillId="16" borderId="96" xfId="0" applyFont="1" applyFill="1" applyBorder="1" applyAlignment="1">
      <alignment horizontal="center" vertical="center" wrapText="1"/>
    </xf>
    <xf numFmtId="0" fontId="37" fillId="16" borderId="99" xfId="0" applyFont="1" applyFill="1" applyBorder="1" applyAlignment="1">
      <alignment horizontal="center" vertical="center" wrapText="1"/>
    </xf>
    <xf numFmtId="0" fontId="19" fillId="8" borderId="1" xfId="0" applyFont="1" applyFill="1" applyBorder="1" applyAlignment="1">
      <alignment horizontal="center" vertical="center"/>
    </xf>
    <xf numFmtId="0" fontId="26" fillId="2" borderId="0" xfId="0" applyFont="1" applyFill="1" applyAlignment="1">
      <alignment horizontal="left" vertical="center" wrapText="1"/>
    </xf>
    <xf numFmtId="0" fontId="26" fillId="4" borderId="0" xfId="0" applyFont="1" applyFill="1" applyAlignment="1">
      <alignment horizontal="left" vertical="center" wrapText="1"/>
    </xf>
    <xf numFmtId="0" fontId="0" fillId="0" borderId="0" xfId="0" applyAlignment="1">
      <alignment horizontal="center" vertical="center" wrapText="1"/>
    </xf>
    <xf numFmtId="0" fontId="0" fillId="0" borderId="89" xfId="0" applyBorder="1" applyAlignment="1">
      <alignment horizontal="center" vertical="center" wrapText="1"/>
    </xf>
    <xf numFmtId="0" fontId="0" fillId="0" borderId="28" xfId="0" applyBorder="1" applyAlignment="1">
      <alignment horizontal="center" vertical="center" wrapText="1"/>
    </xf>
    <xf numFmtId="0" fontId="0" fillId="0" borderId="75" xfId="0" applyBorder="1" applyAlignment="1">
      <alignment horizontal="center" vertical="center" wrapText="1"/>
    </xf>
    <xf numFmtId="0" fontId="0" fillId="0" borderId="1" xfId="0" applyBorder="1" applyAlignment="1">
      <alignment horizontal="center" vertical="center" wrapText="1"/>
    </xf>
    <xf numFmtId="0" fontId="0" fillId="2" borderId="19" xfId="0" applyFill="1" applyBorder="1" applyAlignment="1">
      <alignment horizontal="center" vertical="center" wrapText="1"/>
    </xf>
    <xf numFmtId="0" fontId="0" fillId="2" borderId="17" xfId="0" applyFill="1" applyBorder="1" applyAlignment="1">
      <alignment horizontal="center" vertical="center" wrapText="1"/>
    </xf>
    <xf numFmtId="0" fontId="23" fillId="0" borderId="0" xfId="0" applyFont="1" applyAlignment="1">
      <alignment horizontal="center" vertical="center"/>
    </xf>
    <xf numFmtId="0" fontId="0" fillId="4" borderId="9" xfId="0" applyFill="1" applyBorder="1" applyAlignment="1">
      <alignment horizontal="center" vertical="center"/>
    </xf>
    <xf numFmtId="0" fontId="0" fillId="4" borderId="9" xfId="0" applyFill="1" applyBorder="1" applyAlignment="1">
      <alignment horizontal="center" vertical="center" wrapText="1"/>
    </xf>
    <xf numFmtId="0" fontId="0" fillId="0" borderId="0" xfId="0" applyAlignment="1">
      <alignment horizontal="center" vertical="center"/>
    </xf>
    <xf numFmtId="0" fontId="0" fillId="0" borderId="88" xfId="0" applyBorder="1" applyAlignment="1">
      <alignment horizontal="center" vertical="center" wrapText="1"/>
    </xf>
    <xf numFmtId="0" fontId="0" fillId="0" borderId="25" xfId="0" applyBorder="1" applyAlignment="1">
      <alignment horizontal="center" vertical="center" wrapText="1"/>
    </xf>
    <xf numFmtId="0" fontId="0" fillId="0" borderId="24" xfId="0" applyBorder="1" applyAlignment="1">
      <alignment horizontal="center" vertical="center"/>
    </xf>
    <xf numFmtId="0" fontId="0" fillId="0" borderId="30" xfId="0" applyBorder="1" applyAlignment="1">
      <alignment horizontal="center" vertical="center"/>
    </xf>
    <xf numFmtId="0" fontId="0" fillId="2" borderId="0" xfId="0" applyFill="1" applyAlignment="1">
      <alignment horizontal="right" vertical="center"/>
    </xf>
    <xf numFmtId="0" fontId="20" fillId="0" borderId="0" xfId="0" applyFont="1" applyAlignment="1">
      <alignment horizontal="center" vertical="center" wrapText="1"/>
    </xf>
    <xf numFmtId="0" fontId="0" fillId="18" borderId="69" xfId="0" applyFill="1" applyBorder="1" applyAlignment="1">
      <alignment horizontal="center" vertical="center" wrapText="1"/>
    </xf>
    <xf numFmtId="0" fontId="0" fillId="18" borderId="77" xfId="0" applyFill="1" applyBorder="1" applyAlignment="1">
      <alignment horizontal="center" vertical="center" wrapText="1"/>
    </xf>
    <xf numFmtId="0" fontId="0" fillId="18" borderId="4" xfId="0" applyFill="1" applyBorder="1" applyAlignment="1">
      <alignment horizontal="center" vertical="center" wrapText="1"/>
    </xf>
    <xf numFmtId="0" fontId="0" fillId="18" borderId="78" xfId="0" applyFill="1" applyBorder="1" applyAlignment="1">
      <alignment horizontal="center" vertical="center" wrapText="1"/>
    </xf>
    <xf numFmtId="0" fontId="0" fillId="18" borderId="71" xfId="0" applyFill="1" applyBorder="1" applyAlignment="1">
      <alignment horizontal="center" vertical="center" wrapText="1"/>
    </xf>
    <xf numFmtId="0" fontId="0" fillId="18" borderId="79" xfId="0" applyFill="1" applyBorder="1" applyAlignment="1">
      <alignment horizontal="center" vertical="center" wrapText="1"/>
    </xf>
    <xf numFmtId="0" fontId="0" fillId="0" borderId="16" xfId="0" applyBorder="1" applyAlignment="1">
      <alignment horizontal="center" vertical="center" wrapText="1"/>
    </xf>
    <xf numFmtId="0" fontId="0" fillId="0" borderId="19" xfId="0" applyBorder="1" applyAlignment="1">
      <alignment horizontal="center" vertical="center" wrapText="1"/>
    </xf>
    <xf numFmtId="0" fontId="0" fillId="0" borderId="17" xfId="0" applyBorder="1" applyAlignment="1">
      <alignment horizontal="center" vertical="center" wrapText="1"/>
    </xf>
    <xf numFmtId="0" fontId="0" fillId="5" borderId="86" xfId="0" applyFill="1" applyBorder="1" applyAlignment="1">
      <alignment horizontal="center" vertical="center" wrapText="1"/>
    </xf>
    <xf numFmtId="0" fontId="0" fillId="5" borderId="87" xfId="0" applyFill="1" applyBorder="1" applyAlignment="1">
      <alignment horizontal="center" vertical="center" wrapText="1"/>
    </xf>
    <xf numFmtId="0" fontId="20" fillId="18" borderId="1" xfId="0" applyFont="1" applyFill="1" applyBorder="1" applyAlignment="1">
      <alignment horizontal="center" vertical="center" wrapText="1"/>
    </xf>
    <xf numFmtId="0" fontId="10" fillId="8" borderId="34" xfId="0" applyFont="1" applyFill="1" applyBorder="1" applyAlignment="1">
      <alignment horizontal="center" vertical="center" wrapText="1"/>
    </xf>
    <xf numFmtId="0" fontId="10" fillId="3" borderId="69" xfId="0" applyFont="1" applyFill="1" applyBorder="1" applyAlignment="1">
      <alignment horizontal="center" vertical="top"/>
    </xf>
    <xf numFmtId="0" fontId="10" fillId="3" borderId="70" xfId="0" applyFont="1" applyFill="1" applyBorder="1" applyAlignment="1">
      <alignment horizontal="center" vertical="top"/>
    </xf>
    <xf numFmtId="0" fontId="10" fillId="3" borderId="77" xfId="0" applyFont="1" applyFill="1" applyBorder="1" applyAlignment="1">
      <alignment horizontal="center" vertical="top"/>
    </xf>
    <xf numFmtId="0" fontId="10" fillId="3" borderId="4" xfId="0" applyFont="1" applyFill="1" applyBorder="1" applyAlignment="1">
      <alignment horizontal="center" vertical="top"/>
    </xf>
    <xf numFmtId="0" fontId="10" fillId="3" borderId="0" xfId="0" applyFont="1" applyFill="1" applyAlignment="1">
      <alignment horizontal="center" vertical="top"/>
    </xf>
    <xf numFmtId="0" fontId="10" fillId="3" borderId="78" xfId="0" applyFont="1" applyFill="1" applyBorder="1" applyAlignment="1">
      <alignment horizontal="center" vertical="top"/>
    </xf>
    <xf numFmtId="0" fontId="10" fillId="3" borderId="71" xfId="0" applyFont="1" applyFill="1" applyBorder="1" applyAlignment="1">
      <alignment horizontal="center" vertical="top"/>
    </xf>
    <xf numFmtId="0" fontId="10" fillId="3" borderId="72" xfId="0" applyFont="1" applyFill="1" applyBorder="1" applyAlignment="1">
      <alignment horizontal="center" vertical="top"/>
    </xf>
    <xf numFmtId="0" fontId="10" fillId="3" borderId="79" xfId="0" applyFont="1" applyFill="1" applyBorder="1" applyAlignment="1">
      <alignment horizontal="center" vertical="top"/>
    </xf>
    <xf numFmtId="0" fontId="3" fillId="8" borderId="1" xfId="0" applyFont="1" applyFill="1" applyBorder="1" applyAlignment="1">
      <alignment horizontal="center" vertical="center" wrapText="1"/>
    </xf>
    <xf numFmtId="0" fontId="3" fillId="8" borderId="34" xfId="0" applyFont="1" applyFill="1" applyBorder="1" applyAlignment="1">
      <alignment horizontal="center" vertical="center" wrapText="1"/>
    </xf>
    <xf numFmtId="0" fontId="5" fillId="3" borderId="1" xfId="0" applyFont="1" applyFill="1" applyBorder="1" applyAlignment="1">
      <alignment horizontal="center" vertical="center" wrapText="1"/>
    </xf>
    <xf numFmtId="0" fontId="16" fillId="3" borderId="69" xfId="2" applyFont="1" applyFill="1" applyBorder="1" applyAlignment="1" applyProtection="1">
      <alignment horizontal="center" vertical="center" wrapText="1"/>
    </xf>
    <xf numFmtId="0" fontId="16" fillId="3" borderId="77" xfId="2" applyFont="1" applyFill="1" applyBorder="1" applyAlignment="1" applyProtection="1">
      <alignment horizontal="center" vertical="center" wrapText="1"/>
    </xf>
    <xf numFmtId="0" fontId="16" fillId="3" borderId="4" xfId="2" applyFont="1" applyFill="1" applyBorder="1" applyAlignment="1" applyProtection="1">
      <alignment horizontal="center" vertical="center" wrapText="1"/>
    </xf>
    <xf numFmtId="0" fontId="16" fillId="3" borderId="78" xfId="2" applyFont="1" applyFill="1" applyBorder="1" applyAlignment="1" applyProtection="1">
      <alignment horizontal="center" vertical="center" wrapText="1"/>
    </xf>
    <xf numFmtId="0" fontId="16" fillId="3" borderId="71" xfId="2" applyFont="1" applyFill="1" applyBorder="1" applyAlignment="1" applyProtection="1">
      <alignment horizontal="center" vertical="center" wrapText="1"/>
    </xf>
    <xf numFmtId="0" fontId="16" fillId="3" borderId="79" xfId="2" applyFont="1" applyFill="1" applyBorder="1" applyAlignment="1" applyProtection="1">
      <alignment horizontal="center" vertical="center" wrapText="1"/>
    </xf>
    <xf numFmtId="0" fontId="15" fillId="3" borderId="69" xfId="2" applyFont="1" applyFill="1" applyBorder="1" applyAlignment="1" applyProtection="1">
      <alignment horizontal="center" vertical="center" wrapText="1"/>
    </xf>
    <xf numFmtId="0" fontId="15" fillId="3" borderId="77" xfId="2" applyFont="1" applyFill="1" applyBorder="1" applyAlignment="1" applyProtection="1">
      <alignment horizontal="center" vertical="center" wrapText="1"/>
    </xf>
    <xf numFmtId="0" fontId="15" fillId="3" borderId="4" xfId="2" applyFont="1" applyFill="1" applyBorder="1" applyAlignment="1" applyProtection="1">
      <alignment horizontal="center" vertical="center" wrapText="1"/>
    </xf>
    <xf numFmtId="0" fontId="15" fillId="3" borderId="78" xfId="2" applyFont="1" applyFill="1" applyBorder="1" applyAlignment="1" applyProtection="1">
      <alignment horizontal="center" vertical="center" wrapText="1"/>
    </xf>
    <xf numFmtId="0" fontId="15" fillId="3" borderId="71" xfId="2" applyFont="1" applyFill="1" applyBorder="1" applyAlignment="1" applyProtection="1">
      <alignment horizontal="center" vertical="center" wrapText="1"/>
    </xf>
    <xf numFmtId="0" fontId="15" fillId="3" borderId="79" xfId="2" applyFont="1" applyFill="1" applyBorder="1" applyAlignment="1" applyProtection="1">
      <alignment horizontal="center" vertical="center" wrapText="1"/>
    </xf>
    <xf numFmtId="0" fontId="5" fillId="8" borderId="34" xfId="0" applyFont="1" applyFill="1" applyBorder="1" applyAlignment="1">
      <alignment horizontal="center" vertical="center" wrapText="1"/>
    </xf>
    <xf numFmtId="0" fontId="16" fillId="8" borderId="34" xfId="2" applyFont="1" applyFill="1" applyBorder="1" applyAlignment="1" applyProtection="1">
      <alignment horizontal="center" vertical="center" wrapText="1"/>
    </xf>
    <xf numFmtId="0" fontId="15" fillId="8" borderId="34" xfId="2" applyFont="1" applyFill="1" applyBorder="1" applyAlignment="1" applyProtection="1">
      <alignment horizontal="center" vertical="center" wrapText="1"/>
    </xf>
    <xf numFmtId="0" fontId="10" fillId="3" borderId="69" xfId="0" applyFont="1" applyFill="1" applyBorder="1" applyAlignment="1">
      <alignment horizontal="center" vertical="center" wrapText="1"/>
    </xf>
    <xf numFmtId="0" fontId="10" fillId="3" borderId="70" xfId="0" applyFont="1" applyFill="1" applyBorder="1" applyAlignment="1">
      <alignment horizontal="center" vertical="center" wrapText="1"/>
    </xf>
    <xf numFmtId="0" fontId="10" fillId="3" borderId="77" xfId="0" applyFont="1" applyFill="1" applyBorder="1" applyAlignment="1">
      <alignment horizontal="center" vertical="center" wrapText="1"/>
    </xf>
    <xf numFmtId="0" fontId="10" fillId="3" borderId="4" xfId="0" applyFont="1" applyFill="1" applyBorder="1" applyAlignment="1">
      <alignment horizontal="center" vertical="center" wrapText="1"/>
    </xf>
    <xf numFmtId="0" fontId="10" fillId="3" borderId="0" xfId="0" applyFont="1" applyFill="1" applyAlignment="1">
      <alignment horizontal="center" vertical="center" wrapText="1"/>
    </xf>
    <xf numFmtId="0" fontId="10" fillId="3" borderId="78" xfId="0" applyFont="1" applyFill="1" applyBorder="1" applyAlignment="1">
      <alignment horizontal="center" vertical="center" wrapText="1"/>
    </xf>
    <xf numFmtId="0" fontId="10" fillId="3" borderId="71" xfId="0" applyFont="1" applyFill="1" applyBorder="1" applyAlignment="1">
      <alignment horizontal="center" vertical="center" wrapText="1"/>
    </xf>
    <xf numFmtId="0" fontId="10" fillId="3" borderId="72" xfId="0" applyFont="1" applyFill="1" applyBorder="1" applyAlignment="1">
      <alignment horizontal="center" vertical="center" wrapText="1"/>
    </xf>
    <xf numFmtId="0" fontId="10" fillId="3" borderId="79" xfId="0" applyFont="1" applyFill="1" applyBorder="1" applyAlignment="1">
      <alignment horizontal="center" vertical="center" wrapText="1"/>
    </xf>
    <xf numFmtId="0" fontId="5" fillId="3" borderId="69" xfId="0" applyFont="1" applyFill="1" applyBorder="1" applyAlignment="1">
      <alignment horizontal="center" vertical="center" wrapText="1"/>
    </xf>
    <xf numFmtId="0" fontId="5" fillId="3" borderId="77"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5" fillId="3" borderId="78" xfId="0" applyFont="1" applyFill="1" applyBorder="1" applyAlignment="1">
      <alignment horizontal="center" vertical="center" wrapText="1"/>
    </xf>
    <xf numFmtId="0" fontId="5" fillId="3" borderId="71" xfId="0" applyFont="1" applyFill="1" applyBorder="1" applyAlignment="1">
      <alignment horizontal="center" vertical="center" wrapText="1"/>
    </xf>
    <xf numFmtId="0" fontId="5" fillId="3" borderId="79" xfId="0" applyFont="1" applyFill="1" applyBorder="1" applyAlignment="1">
      <alignment horizontal="center" vertical="center" wrapText="1"/>
    </xf>
    <xf numFmtId="0" fontId="15" fillId="8" borderId="34"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16" fillId="8" borderId="69" xfId="2" applyFont="1" applyFill="1" applyBorder="1" applyAlignment="1" applyProtection="1">
      <alignment horizontal="center" vertical="center" wrapText="1"/>
    </xf>
    <xf numFmtId="0" fontId="16" fillId="8" borderId="77" xfId="2" applyFont="1" applyFill="1" applyBorder="1" applyAlignment="1" applyProtection="1">
      <alignment horizontal="center" vertical="center" wrapText="1"/>
    </xf>
    <xf numFmtId="0" fontId="16" fillId="8" borderId="4" xfId="2" applyFont="1" applyFill="1" applyBorder="1" applyAlignment="1" applyProtection="1">
      <alignment horizontal="center" vertical="center" wrapText="1"/>
    </xf>
    <xf numFmtId="0" fontId="16" fillId="8" borderId="78" xfId="2" applyFont="1" applyFill="1" applyBorder="1" applyAlignment="1" applyProtection="1">
      <alignment horizontal="center" vertical="center" wrapText="1"/>
    </xf>
    <xf numFmtId="0" fontId="16" fillId="8" borderId="71" xfId="2" applyFont="1" applyFill="1" applyBorder="1" applyAlignment="1" applyProtection="1">
      <alignment horizontal="center" vertical="center" wrapText="1"/>
    </xf>
    <xf numFmtId="0" fontId="16" fillId="8" borderId="79" xfId="2" applyFont="1" applyFill="1" applyBorder="1" applyAlignment="1" applyProtection="1">
      <alignment horizontal="center" vertical="center" wrapText="1"/>
    </xf>
    <xf numFmtId="0" fontId="15" fillId="20" borderId="69" xfId="2" applyFont="1" applyFill="1" applyBorder="1" applyAlignment="1" applyProtection="1">
      <alignment horizontal="center" vertical="center" wrapText="1"/>
      <protection locked="0"/>
    </xf>
    <xf numFmtId="0" fontId="15" fillId="20" borderId="77" xfId="2" applyFont="1" applyFill="1" applyBorder="1" applyAlignment="1" applyProtection="1">
      <alignment horizontal="center" vertical="center" wrapText="1"/>
      <protection locked="0"/>
    </xf>
    <xf numFmtId="0" fontId="15" fillId="20" borderId="4" xfId="2" applyFont="1" applyFill="1" applyBorder="1" applyAlignment="1" applyProtection="1">
      <alignment horizontal="center" vertical="center" wrapText="1"/>
      <protection locked="0"/>
    </xf>
    <xf numFmtId="0" fontId="15" fillId="20" borderId="78" xfId="2" applyFont="1" applyFill="1" applyBorder="1" applyAlignment="1" applyProtection="1">
      <alignment horizontal="center" vertical="center" wrapText="1"/>
      <protection locked="0"/>
    </xf>
    <xf numFmtId="0" fontId="15" fillId="20" borderId="71" xfId="2" applyFont="1" applyFill="1" applyBorder="1" applyAlignment="1" applyProtection="1">
      <alignment horizontal="center" vertical="center" wrapText="1"/>
      <protection locked="0"/>
    </xf>
    <xf numFmtId="0" fontId="15" fillId="20" borderId="79" xfId="2" applyFont="1" applyFill="1" applyBorder="1" applyAlignment="1" applyProtection="1">
      <alignment horizontal="center" vertical="center" wrapText="1"/>
      <protection locked="0"/>
    </xf>
    <xf numFmtId="0" fontId="10" fillId="20" borderId="69" xfId="0" applyFont="1" applyFill="1" applyBorder="1" applyAlignment="1" applyProtection="1">
      <alignment horizontal="center" vertical="top"/>
      <protection locked="0"/>
    </xf>
    <xf numFmtId="0" fontId="10" fillId="20" borderId="70" xfId="0" applyFont="1" applyFill="1" applyBorder="1" applyAlignment="1" applyProtection="1">
      <alignment horizontal="center" vertical="top"/>
      <protection locked="0"/>
    </xf>
    <xf numFmtId="0" fontId="10" fillId="20" borderId="77" xfId="0" applyFont="1" applyFill="1" applyBorder="1" applyAlignment="1" applyProtection="1">
      <alignment horizontal="center" vertical="top"/>
      <protection locked="0"/>
    </xf>
    <xf numFmtId="0" fontId="10" fillId="20" borderId="4" xfId="0" applyFont="1" applyFill="1" applyBorder="1" applyAlignment="1" applyProtection="1">
      <alignment horizontal="center" vertical="top"/>
      <protection locked="0"/>
    </xf>
    <xf numFmtId="0" fontId="10" fillId="20" borderId="0" xfId="0" applyFont="1" applyFill="1" applyAlignment="1" applyProtection="1">
      <alignment horizontal="center" vertical="top"/>
      <protection locked="0"/>
    </xf>
    <xf numFmtId="0" fontId="10" fillId="20" borderId="78" xfId="0" applyFont="1" applyFill="1" applyBorder="1" applyAlignment="1" applyProtection="1">
      <alignment horizontal="center" vertical="top"/>
      <protection locked="0"/>
    </xf>
    <xf numFmtId="0" fontId="10" fillId="20" borderId="71" xfId="0" applyFont="1" applyFill="1" applyBorder="1" applyAlignment="1" applyProtection="1">
      <alignment horizontal="center" vertical="top"/>
      <protection locked="0"/>
    </xf>
    <xf numFmtId="0" fontId="10" fillId="20" borderId="72" xfId="0" applyFont="1" applyFill="1" applyBorder="1" applyAlignment="1" applyProtection="1">
      <alignment horizontal="center" vertical="top"/>
      <protection locked="0"/>
    </xf>
    <xf numFmtId="0" fontId="10" fillId="20" borderId="79" xfId="0" applyFont="1" applyFill="1" applyBorder="1" applyAlignment="1" applyProtection="1">
      <alignment horizontal="center" vertical="top"/>
      <protection locked="0"/>
    </xf>
    <xf numFmtId="0" fontId="15" fillId="8" borderId="69" xfId="2" applyFont="1" applyFill="1" applyBorder="1" applyAlignment="1" applyProtection="1">
      <alignment horizontal="center" vertical="center" wrapText="1"/>
    </xf>
    <xf numFmtId="0" fontId="15" fillId="8" borderId="77" xfId="2" applyFont="1" applyFill="1" applyBorder="1" applyAlignment="1" applyProtection="1">
      <alignment horizontal="center" vertical="center" wrapText="1"/>
    </xf>
    <xf numFmtId="0" fontId="15" fillId="8" borderId="4" xfId="2" applyFont="1" applyFill="1" applyBorder="1" applyAlignment="1" applyProtection="1">
      <alignment horizontal="center" vertical="center" wrapText="1"/>
    </xf>
    <xf numFmtId="0" fontId="15" fillId="8" borderId="78" xfId="2" applyFont="1" applyFill="1" applyBorder="1" applyAlignment="1" applyProtection="1">
      <alignment horizontal="center" vertical="center" wrapText="1"/>
    </xf>
    <xf numFmtId="0" fontId="15" fillId="8" borderId="71" xfId="2" applyFont="1" applyFill="1" applyBorder="1" applyAlignment="1" applyProtection="1">
      <alignment horizontal="center" vertical="center" wrapText="1"/>
    </xf>
    <xf numFmtId="0" fontId="15" fillId="8" borderId="79" xfId="2" applyFont="1" applyFill="1" applyBorder="1" applyAlignment="1" applyProtection="1">
      <alignment horizontal="center" vertical="center" wrapText="1"/>
    </xf>
    <xf numFmtId="0" fontId="3" fillId="8" borderId="69" xfId="0" applyFont="1" applyFill="1" applyBorder="1" applyAlignment="1">
      <alignment horizontal="center" vertical="center" wrapText="1"/>
    </xf>
    <xf numFmtId="0" fontId="3" fillId="8" borderId="77" xfId="0" applyFont="1" applyFill="1" applyBorder="1" applyAlignment="1">
      <alignment horizontal="center" vertical="center" wrapText="1"/>
    </xf>
    <xf numFmtId="0" fontId="3" fillId="8" borderId="4" xfId="0" applyFont="1" applyFill="1" applyBorder="1" applyAlignment="1">
      <alignment horizontal="center" vertical="center" wrapText="1"/>
    </xf>
    <xf numFmtId="0" fontId="3" fillId="8" borderId="78" xfId="0" applyFont="1" applyFill="1" applyBorder="1" applyAlignment="1">
      <alignment horizontal="center" vertical="center" wrapText="1"/>
    </xf>
    <xf numFmtId="0" fontId="3" fillId="8" borderId="71" xfId="0" applyFont="1" applyFill="1" applyBorder="1" applyAlignment="1">
      <alignment horizontal="center" vertical="center" wrapText="1"/>
    </xf>
    <xf numFmtId="0" fontId="3" fillId="8" borderId="79" xfId="0" applyFont="1" applyFill="1" applyBorder="1" applyAlignment="1">
      <alignment horizontal="center" vertical="center" wrapText="1"/>
    </xf>
    <xf numFmtId="0" fontId="10" fillId="8" borderId="69" xfId="0" applyFont="1" applyFill="1" applyBorder="1" applyAlignment="1">
      <alignment horizontal="center" vertical="center" wrapText="1"/>
    </xf>
    <xf numFmtId="0" fontId="10" fillId="8" borderId="70" xfId="0" applyFont="1" applyFill="1" applyBorder="1" applyAlignment="1">
      <alignment horizontal="center" vertical="center" wrapText="1"/>
    </xf>
    <xf numFmtId="0" fontId="10" fillId="8" borderId="4" xfId="0" applyFont="1" applyFill="1" applyBorder="1" applyAlignment="1">
      <alignment horizontal="center" vertical="center" wrapText="1"/>
    </xf>
    <xf numFmtId="0" fontId="10" fillId="8" borderId="0" xfId="0" applyFont="1" applyFill="1" applyAlignment="1">
      <alignment horizontal="center" vertical="center" wrapText="1"/>
    </xf>
    <xf numFmtId="0" fontId="10" fillId="8" borderId="71" xfId="0" applyFont="1" applyFill="1" applyBorder="1" applyAlignment="1">
      <alignment horizontal="center" vertical="center" wrapText="1"/>
    </xf>
    <xf numFmtId="0" fontId="10" fillId="8" borderId="72" xfId="0" applyFont="1" applyFill="1" applyBorder="1" applyAlignment="1">
      <alignment horizontal="center" vertical="center" wrapText="1"/>
    </xf>
    <xf numFmtId="0" fontId="10" fillId="8" borderId="1" xfId="0" applyFont="1" applyFill="1" applyBorder="1" applyAlignment="1">
      <alignment horizontal="center" vertical="center"/>
    </xf>
    <xf numFmtId="0" fontId="10" fillId="8" borderId="34" xfId="0" applyFont="1" applyFill="1" applyBorder="1" applyAlignment="1">
      <alignment horizontal="center" vertical="center"/>
    </xf>
    <xf numFmtId="0" fontId="10" fillId="8" borderId="69" xfId="0" applyFont="1" applyFill="1" applyBorder="1" applyAlignment="1">
      <alignment horizontal="center" vertical="top"/>
    </xf>
    <xf numFmtId="0" fontId="10" fillId="8" borderId="70" xfId="0" applyFont="1" applyFill="1" applyBorder="1" applyAlignment="1">
      <alignment horizontal="center" vertical="top"/>
    </xf>
    <xf numFmtId="0" fontId="10" fillId="8" borderId="77" xfId="0" applyFont="1" applyFill="1" applyBorder="1" applyAlignment="1">
      <alignment horizontal="center" vertical="top"/>
    </xf>
    <xf numFmtId="0" fontId="10" fillId="8" borderId="4" xfId="0" applyFont="1" applyFill="1" applyBorder="1" applyAlignment="1">
      <alignment horizontal="center" vertical="top"/>
    </xf>
    <xf numFmtId="0" fontId="10" fillId="8" borderId="0" xfId="0" applyFont="1" applyFill="1" applyAlignment="1">
      <alignment horizontal="center" vertical="top"/>
    </xf>
    <xf numFmtId="0" fontId="10" fillId="8" borderId="78" xfId="0" applyFont="1" applyFill="1" applyBorder="1" applyAlignment="1">
      <alignment horizontal="center" vertical="top"/>
    </xf>
    <xf numFmtId="0" fontId="10" fillId="8" borderId="71" xfId="0" applyFont="1" applyFill="1" applyBorder="1" applyAlignment="1">
      <alignment horizontal="center" vertical="top"/>
    </xf>
    <xf numFmtId="0" fontId="10" fillId="8" borderId="72" xfId="0" applyFont="1" applyFill="1" applyBorder="1" applyAlignment="1">
      <alignment horizontal="center" vertical="top"/>
    </xf>
    <xf numFmtId="0" fontId="10" fillId="8" borderId="79" xfId="0" applyFont="1" applyFill="1" applyBorder="1" applyAlignment="1">
      <alignment horizontal="center" vertical="top"/>
    </xf>
    <xf numFmtId="0" fontId="15" fillId="8" borderId="1" xfId="0" applyFont="1" applyFill="1" applyBorder="1" applyAlignment="1">
      <alignment horizontal="center" vertical="center" wrapText="1"/>
    </xf>
    <xf numFmtId="0" fontId="17" fillId="8" borderId="69" xfId="2" applyFont="1" applyFill="1" applyBorder="1" applyAlignment="1" applyProtection="1">
      <alignment horizontal="center" vertical="center" wrapText="1"/>
    </xf>
    <xf numFmtId="0" fontId="17" fillId="8" borderId="77" xfId="2" applyFont="1" applyFill="1" applyBorder="1" applyAlignment="1" applyProtection="1">
      <alignment horizontal="center" vertical="center" wrapText="1"/>
    </xf>
    <xf numFmtId="0" fontId="17" fillId="8" borderId="4" xfId="2" applyFont="1" applyFill="1" applyBorder="1" applyAlignment="1" applyProtection="1">
      <alignment horizontal="center" vertical="center" wrapText="1"/>
    </xf>
    <xf numFmtId="0" fontId="17" fillId="8" borderId="78" xfId="2" applyFont="1" applyFill="1" applyBorder="1" applyAlignment="1" applyProtection="1">
      <alignment horizontal="center" vertical="center" wrapText="1"/>
    </xf>
    <xf numFmtId="0" fontId="17" fillId="8" borderId="71" xfId="2" applyFont="1" applyFill="1" applyBorder="1" applyAlignment="1" applyProtection="1">
      <alignment horizontal="center" vertical="center" wrapText="1"/>
    </xf>
    <xf numFmtId="0" fontId="17" fillId="8" borderId="79" xfId="2" applyFont="1" applyFill="1" applyBorder="1" applyAlignment="1" applyProtection="1">
      <alignment horizontal="center" vertical="center" wrapText="1"/>
    </xf>
    <xf numFmtId="0" fontId="17" fillId="8" borderId="34" xfId="2" applyFont="1" applyFill="1" applyBorder="1" applyAlignment="1" applyProtection="1">
      <alignment horizontal="center" vertical="center" wrapText="1"/>
    </xf>
    <xf numFmtId="0" fontId="5" fillId="8" borderId="69" xfId="0" applyFont="1" applyFill="1" applyBorder="1" applyAlignment="1">
      <alignment horizontal="center" vertical="center" wrapText="1"/>
    </xf>
    <xf numFmtId="0" fontId="5" fillId="8" borderId="77" xfId="0" applyFont="1" applyFill="1" applyBorder="1" applyAlignment="1">
      <alignment horizontal="center" vertical="center" wrapText="1"/>
    </xf>
    <xf numFmtId="0" fontId="5" fillId="8" borderId="4" xfId="0" applyFont="1" applyFill="1" applyBorder="1" applyAlignment="1">
      <alignment horizontal="center" vertical="center" wrapText="1"/>
    </xf>
    <xf numFmtId="0" fontId="5" fillId="8" borderId="78" xfId="0" applyFont="1" applyFill="1" applyBorder="1" applyAlignment="1">
      <alignment horizontal="center" vertical="center" wrapText="1"/>
    </xf>
    <xf numFmtId="0" fontId="5" fillId="8" borderId="71" xfId="0" applyFont="1" applyFill="1" applyBorder="1" applyAlignment="1">
      <alignment horizontal="center" vertical="center" wrapText="1"/>
    </xf>
    <xf numFmtId="0" fontId="5" fillId="8" borderId="79" xfId="0" applyFont="1" applyFill="1" applyBorder="1" applyAlignment="1">
      <alignment horizontal="center" vertical="center" wrapText="1"/>
    </xf>
    <xf numFmtId="0" fontId="8" fillId="8" borderId="34" xfId="0" applyFont="1" applyFill="1" applyBorder="1" applyAlignment="1">
      <alignment horizontal="center" vertical="top"/>
    </xf>
    <xf numFmtId="0" fontId="5" fillId="0" borderId="1" xfId="0" applyFont="1" applyBorder="1" applyAlignment="1">
      <alignment horizontal="center" vertical="center" wrapText="1"/>
    </xf>
    <xf numFmtId="0" fontId="5" fillId="0" borderId="69" xfId="0" applyFont="1" applyBorder="1" applyAlignment="1">
      <alignment horizontal="left" vertical="top"/>
    </xf>
    <xf numFmtId="0" fontId="5" fillId="0" borderId="70" xfId="0" applyFont="1" applyBorder="1" applyAlignment="1">
      <alignment horizontal="left" vertical="top"/>
    </xf>
    <xf numFmtId="0" fontId="5" fillId="0" borderId="77" xfId="0" applyFont="1" applyBorder="1" applyAlignment="1">
      <alignment horizontal="left" vertical="top"/>
    </xf>
    <xf numFmtId="0" fontId="5" fillId="0" borderId="4" xfId="0" applyFont="1" applyBorder="1" applyAlignment="1">
      <alignment horizontal="left" vertical="top"/>
    </xf>
    <xf numFmtId="0" fontId="5" fillId="0" borderId="0" xfId="0" applyFont="1" applyAlignment="1">
      <alignment horizontal="left" vertical="top"/>
    </xf>
    <xf numFmtId="0" fontId="5" fillId="0" borderId="78" xfId="0" applyFont="1" applyBorder="1" applyAlignment="1">
      <alignment horizontal="left" vertical="top"/>
    </xf>
    <xf numFmtId="0" fontId="5" fillId="0" borderId="71" xfId="0" applyFont="1" applyBorder="1" applyAlignment="1">
      <alignment horizontal="left" vertical="top"/>
    </xf>
    <xf numFmtId="0" fontId="5" fillId="0" borderId="72" xfId="0" applyFont="1" applyBorder="1" applyAlignment="1">
      <alignment horizontal="left" vertical="top"/>
    </xf>
    <xf numFmtId="0" fontId="5" fillId="0" borderId="79" xfId="0" applyFont="1" applyBorder="1" applyAlignment="1">
      <alignment horizontal="left" vertical="top"/>
    </xf>
    <xf numFmtId="0" fontId="6" fillId="0" borderId="69" xfId="0" applyFont="1" applyBorder="1" applyAlignment="1">
      <alignment horizontal="center"/>
    </xf>
    <xf numFmtId="0" fontId="6" fillId="0" borderId="70" xfId="0" applyFont="1" applyBorder="1" applyAlignment="1">
      <alignment horizontal="center"/>
    </xf>
    <xf numFmtId="0" fontId="6" fillId="0" borderId="77" xfId="0" applyFont="1" applyBorder="1" applyAlignment="1">
      <alignment horizontal="center"/>
    </xf>
    <xf numFmtId="0" fontId="6" fillId="0" borderId="4" xfId="0" applyFont="1" applyBorder="1" applyAlignment="1">
      <alignment horizontal="center"/>
    </xf>
    <xf numFmtId="0" fontId="6" fillId="0" borderId="0" xfId="0" applyFont="1" applyAlignment="1">
      <alignment horizontal="center"/>
    </xf>
    <xf numFmtId="0" fontId="6" fillId="0" borderId="78" xfId="0" applyFont="1" applyBorder="1" applyAlignment="1">
      <alignment horizontal="center"/>
    </xf>
    <xf numFmtId="0" fontId="6" fillId="0" borderId="71" xfId="0" applyFont="1" applyBorder="1" applyAlignment="1">
      <alignment horizontal="center"/>
    </xf>
    <xf numFmtId="0" fontId="6" fillId="0" borderId="72" xfId="0" applyFont="1" applyBorder="1" applyAlignment="1">
      <alignment horizontal="center"/>
    </xf>
    <xf numFmtId="0" fontId="6" fillId="0" borderId="79" xfId="0" applyFont="1" applyBorder="1" applyAlignment="1">
      <alignment horizontal="center"/>
    </xf>
    <xf numFmtId="0" fontId="5" fillId="0" borderId="2" xfId="0" applyFont="1" applyBorder="1" applyAlignment="1">
      <alignment horizontal="left" wrapText="1"/>
    </xf>
    <xf numFmtId="0" fontId="6" fillId="0" borderId="1" xfId="0" applyFont="1" applyBorder="1" applyAlignment="1">
      <alignment horizontal="center" vertical="center" wrapText="1"/>
    </xf>
    <xf numFmtId="0" fontId="8" fillId="0" borderId="1" xfId="0" applyFont="1" applyBorder="1" applyAlignment="1">
      <alignment horizontal="left" vertical="center" wrapText="1"/>
    </xf>
    <xf numFmtId="0" fontId="10" fillId="8" borderId="34" xfId="0" applyFont="1" applyFill="1" applyBorder="1" applyAlignment="1">
      <alignment horizontal="left" vertical="top" wrapText="1"/>
    </xf>
    <xf numFmtId="0" fontId="10" fillId="8" borderId="37" xfId="0" applyFont="1" applyFill="1" applyBorder="1" applyAlignment="1">
      <alignment horizontal="left" vertical="top" wrapText="1"/>
    </xf>
    <xf numFmtId="0" fontId="10" fillId="8" borderId="41" xfId="0" applyFont="1" applyFill="1" applyBorder="1" applyAlignment="1">
      <alignment horizontal="left" vertical="top" wrapText="1"/>
    </xf>
    <xf numFmtId="0" fontId="10" fillId="8" borderId="0" xfId="0" applyFont="1" applyFill="1" applyAlignment="1">
      <alignment horizontal="left" vertical="top" wrapText="1"/>
    </xf>
    <xf numFmtId="0" fontId="10" fillId="8" borderId="43" xfId="0" applyFont="1" applyFill="1" applyBorder="1" applyAlignment="1">
      <alignment horizontal="left" vertical="top" wrapText="1"/>
    </xf>
    <xf numFmtId="0" fontId="8" fillId="0" borderId="0" xfId="0" applyFont="1" applyAlignment="1">
      <alignment horizontal="justify" vertical="top" wrapText="1"/>
    </xf>
    <xf numFmtId="0" fontId="8" fillId="17" borderId="38" xfId="0" applyFont="1" applyFill="1" applyBorder="1" applyAlignment="1" applyProtection="1">
      <alignment horizontal="left" vertical="center" wrapText="1"/>
      <protection locked="0"/>
    </xf>
    <xf numFmtId="0" fontId="8" fillId="0" borderId="36" xfId="0" applyFont="1" applyBorder="1" applyAlignment="1">
      <alignment horizontal="left" vertical="center" wrapText="1"/>
    </xf>
    <xf numFmtId="0" fontId="8" fillId="0" borderId="0" xfId="0" applyFont="1" applyAlignment="1">
      <alignment horizontal="left" vertical="center" wrapText="1"/>
    </xf>
    <xf numFmtId="0" fontId="10" fillId="0" borderId="56" xfId="0" applyFont="1" applyBorder="1" applyAlignment="1">
      <alignment horizontal="left" vertical="center" wrapText="1"/>
    </xf>
    <xf numFmtId="0" fontId="10" fillId="0" borderId="0" xfId="0" applyFont="1" applyAlignment="1">
      <alignment horizontal="left" vertical="center" wrapText="1"/>
    </xf>
    <xf numFmtId="0" fontId="8" fillId="0" borderId="63" xfId="0" applyFont="1" applyBorder="1" applyAlignment="1">
      <alignment horizontal="left" vertical="center" wrapText="1"/>
    </xf>
    <xf numFmtId="0" fontId="10" fillId="0" borderId="53" xfId="0" applyFont="1" applyBorder="1" applyAlignment="1">
      <alignment horizontal="left" vertical="center" wrapText="1"/>
    </xf>
    <xf numFmtId="0" fontId="10" fillId="0" borderId="54" xfId="0" applyFont="1" applyBorder="1" applyAlignment="1">
      <alignment horizontal="left" vertical="center" wrapText="1"/>
    </xf>
    <xf numFmtId="0" fontId="8" fillId="0" borderId="54" xfId="0" applyFont="1" applyBorder="1" applyAlignment="1">
      <alignment horizontal="left" vertical="center" wrapText="1"/>
    </xf>
    <xf numFmtId="0" fontId="8" fillId="17" borderId="34" xfId="0" applyFont="1" applyFill="1" applyBorder="1" applyAlignment="1" applyProtection="1">
      <alignment horizontal="justify" vertical="top" wrapText="1"/>
      <protection locked="0"/>
    </xf>
    <xf numFmtId="0" fontId="9" fillId="0" borderId="0" xfId="0" applyFont="1" applyAlignment="1">
      <alignment horizontal="right" vertical="top" wrapText="1"/>
    </xf>
    <xf numFmtId="0" fontId="8" fillId="0" borderId="36" xfId="0" applyFont="1" applyBorder="1" applyAlignment="1">
      <alignment horizontal="left" vertical="top" wrapText="1"/>
    </xf>
    <xf numFmtId="0" fontId="8" fillId="0" borderId="0" xfId="0" applyFont="1" applyAlignment="1">
      <alignment horizontal="left" vertical="top" wrapText="1"/>
    </xf>
    <xf numFmtId="0" fontId="8" fillId="0" borderId="57" xfId="0" applyFont="1" applyBorder="1" applyAlignment="1">
      <alignment horizontal="left" vertical="top" wrapText="1"/>
    </xf>
    <xf numFmtId="0" fontId="10" fillId="8" borderId="59" xfId="0" applyFont="1" applyFill="1" applyBorder="1" applyAlignment="1">
      <alignment horizontal="left" vertical="center" wrapText="1"/>
    </xf>
    <xf numFmtId="0" fontId="10" fillId="8" borderId="34" xfId="0" applyFont="1" applyFill="1" applyBorder="1" applyAlignment="1">
      <alignment horizontal="left" vertical="center" wrapText="1"/>
    </xf>
    <xf numFmtId="0" fontId="10" fillId="8" borderId="37" xfId="0" applyFont="1" applyFill="1" applyBorder="1" applyAlignment="1">
      <alignment horizontal="left" vertical="center" wrapText="1"/>
    </xf>
    <xf numFmtId="0" fontId="10" fillId="8" borderId="60" xfId="0" applyFont="1" applyFill="1" applyBorder="1" applyAlignment="1">
      <alignment horizontal="left" vertical="center" wrapText="1"/>
    </xf>
    <xf numFmtId="0" fontId="10" fillId="8" borderId="61" xfId="0" applyFont="1" applyFill="1" applyBorder="1" applyAlignment="1">
      <alignment horizontal="left" vertical="center" wrapText="1"/>
    </xf>
    <xf numFmtId="0" fontId="10" fillId="8" borderId="40" xfId="0" applyFont="1" applyFill="1" applyBorder="1" applyAlignment="1">
      <alignment horizontal="left" vertical="center" wrapText="1"/>
    </xf>
    <xf numFmtId="0" fontId="10" fillId="8" borderId="36" xfId="0" applyFont="1" applyFill="1" applyBorder="1" applyAlignment="1">
      <alignment horizontal="center" vertical="top" wrapText="1"/>
    </xf>
    <xf numFmtId="0" fontId="10" fillId="8" borderId="0" xfId="0" applyFont="1" applyFill="1" applyAlignment="1">
      <alignment horizontal="center" vertical="top" wrapText="1"/>
    </xf>
    <xf numFmtId="0" fontId="8" fillId="17" borderId="39" xfId="0" applyFont="1" applyFill="1" applyBorder="1" applyAlignment="1" applyProtection="1">
      <alignment horizontal="left" vertical="center" wrapText="1"/>
      <protection locked="0"/>
    </xf>
    <xf numFmtId="0" fontId="10" fillId="8" borderId="41" xfId="0" applyFont="1" applyFill="1" applyBorder="1" applyAlignment="1">
      <alignment horizontal="left" vertical="center" wrapText="1"/>
    </xf>
    <xf numFmtId="0" fontId="10" fillId="8" borderId="42" xfId="0" applyFont="1" applyFill="1" applyBorder="1" applyAlignment="1">
      <alignment horizontal="left" vertical="center" wrapText="1"/>
    </xf>
    <xf numFmtId="0" fontId="10" fillId="8" borderId="43" xfId="0" applyFont="1" applyFill="1" applyBorder="1" applyAlignment="1">
      <alignment horizontal="left" vertical="center" wrapText="1"/>
    </xf>
    <xf numFmtId="0" fontId="10" fillId="8" borderId="58" xfId="0" applyFont="1" applyFill="1" applyBorder="1" applyAlignment="1">
      <alignment horizontal="left" vertical="center" wrapText="1"/>
    </xf>
    <xf numFmtId="0" fontId="10" fillId="8" borderId="36" xfId="0" applyFont="1" applyFill="1" applyBorder="1" applyAlignment="1">
      <alignment horizontal="left" vertical="center" wrapText="1"/>
    </xf>
    <xf numFmtId="0" fontId="10" fillId="8" borderId="0" xfId="0" applyFont="1" applyFill="1" applyAlignment="1">
      <alignment horizontal="left" vertical="center" wrapText="1"/>
    </xf>
    <xf numFmtId="0" fontId="10" fillId="8" borderId="57" xfId="0" applyFont="1" applyFill="1" applyBorder="1" applyAlignment="1">
      <alignment horizontal="left" vertical="center" wrapText="1"/>
    </xf>
    <xf numFmtId="0" fontId="8" fillId="17" borderId="38" xfId="0" applyFont="1" applyFill="1" applyBorder="1" applyAlignment="1" applyProtection="1">
      <alignment horizontal="left" vertical="top" wrapText="1"/>
      <protection locked="0"/>
    </xf>
    <xf numFmtId="0" fontId="10" fillId="17" borderId="38" xfId="0" applyFont="1" applyFill="1" applyBorder="1" applyAlignment="1" applyProtection="1">
      <alignment horizontal="center" vertical="center" wrapText="1"/>
      <protection locked="0"/>
    </xf>
    <xf numFmtId="0" fontId="10" fillId="8" borderId="44" xfId="0" applyFont="1" applyFill="1" applyBorder="1" applyAlignment="1">
      <alignment horizontal="left" vertical="center" wrapText="1"/>
    </xf>
    <xf numFmtId="0" fontId="8" fillId="17" borderId="45" xfId="0" applyFont="1" applyFill="1" applyBorder="1" applyAlignment="1" applyProtection="1">
      <alignment horizontal="left" vertical="top" wrapText="1"/>
      <protection locked="0"/>
    </xf>
    <xf numFmtId="0" fontId="8" fillId="17" borderId="45" xfId="0" applyFont="1" applyFill="1" applyBorder="1" applyAlignment="1" applyProtection="1">
      <alignment horizontal="left" vertical="center" wrapText="1"/>
      <protection locked="0"/>
    </xf>
    <xf numFmtId="0" fontId="18" fillId="3" borderId="69" xfId="2" applyFont="1" applyFill="1" applyBorder="1" applyAlignment="1" applyProtection="1">
      <alignment horizontal="center" vertical="center" wrapText="1"/>
    </xf>
    <xf numFmtId="0" fontId="18" fillId="3" borderId="77" xfId="2" applyFont="1" applyFill="1" applyBorder="1" applyAlignment="1" applyProtection="1">
      <alignment horizontal="center" vertical="center" wrapText="1"/>
    </xf>
    <xf numFmtId="0" fontId="18" fillId="3" borderId="4" xfId="2" applyFont="1" applyFill="1" applyBorder="1" applyAlignment="1" applyProtection="1">
      <alignment horizontal="center" vertical="center" wrapText="1"/>
    </xf>
    <xf numFmtId="0" fontId="18" fillId="3" borderId="78" xfId="2" applyFont="1" applyFill="1" applyBorder="1" applyAlignment="1" applyProtection="1">
      <alignment horizontal="center" vertical="center" wrapText="1"/>
    </xf>
    <xf numFmtId="0" fontId="18" fillId="3" borderId="71" xfId="2" applyFont="1" applyFill="1" applyBorder="1" applyAlignment="1" applyProtection="1">
      <alignment horizontal="center" vertical="center" wrapText="1"/>
    </xf>
    <xf numFmtId="0" fontId="18" fillId="3" borderId="79" xfId="2" applyFont="1" applyFill="1" applyBorder="1" applyAlignment="1" applyProtection="1">
      <alignment horizontal="center" vertical="center" wrapText="1"/>
    </xf>
    <xf numFmtId="0" fontId="18" fillId="8" borderId="34" xfId="2" applyFont="1" applyFill="1" applyBorder="1" applyAlignment="1" applyProtection="1">
      <alignment horizontal="center" vertical="center" wrapText="1"/>
    </xf>
    <xf numFmtId="0" fontId="5" fillId="0" borderId="1" xfId="0" applyFont="1" applyBorder="1" applyAlignment="1">
      <alignment horizontal="center" vertical="center"/>
    </xf>
    <xf numFmtId="0" fontId="6" fillId="0" borderId="73" xfId="0" applyFont="1" applyBorder="1" applyAlignment="1">
      <alignment horizontal="center" vertical="center" wrapText="1"/>
    </xf>
    <xf numFmtId="0" fontId="6" fillId="0" borderId="82" xfId="0" applyFont="1" applyBorder="1" applyAlignment="1">
      <alignment horizontal="center" vertical="center" wrapText="1"/>
    </xf>
    <xf numFmtId="0" fontId="6" fillId="0" borderId="75" xfId="0" applyFont="1" applyBorder="1" applyAlignment="1">
      <alignment horizontal="center" vertical="center" wrapText="1"/>
    </xf>
    <xf numFmtId="0" fontId="8" fillId="7" borderId="0" xfId="0" applyFont="1" applyFill="1" applyAlignment="1">
      <alignment horizontal="left" vertical="top" wrapText="1"/>
    </xf>
    <xf numFmtId="0" fontId="8" fillId="8" borderId="1" xfId="0" applyFont="1" applyFill="1" applyBorder="1" applyAlignment="1">
      <alignment horizontal="center" vertical="top"/>
    </xf>
    <xf numFmtId="0" fontId="15" fillId="3" borderId="1" xfId="0" applyFont="1" applyFill="1" applyBorder="1" applyAlignment="1">
      <alignment horizontal="center" vertical="center" wrapText="1"/>
    </xf>
    <xf numFmtId="0" fontId="5" fillId="0" borderId="2" xfId="0" applyFont="1" applyBorder="1" applyAlignment="1">
      <alignment horizontal="left"/>
    </xf>
    <xf numFmtId="0" fontId="5" fillId="0" borderId="80" xfId="0" applyFont="1" applyBorder="1" applyAlignment="1">
      <alignment horizontal="left"/>
    </xf>
    <xf numFmtId="0" fontId="5" fillId="17" borderId="74" xfId="0" applyFont="1" applyFill="1" applyBorder="1" applyAlignment="1" applyProtection="1">
      <alignment horizontal="center"/>
      <protection locked="0"/>
    </xf>
    <xf numFmtId="0" fontId="5" fillId="0" borderId="3" xfId="0" applyFont="1" applyBorder="1" applyAlignment="1">
      <alignment horizontal="left"/>
    </xf>
    <xf numFmtId="0" fontId="5" fillId="0" borderId="1" xfId="0" applyFont="1" applyBorder="1" applyAlignment="1">
      <alignment horizontal="center"/>
    </xf>
    <xf numFmtId="0" fontId="8" fillId="7" borderId="32" xfId="0" applyFont="1" applyFill="1" applyBorder="1" applyAlignment="1">
      <alignment horizontal="center" vertical="center" wrapText="1"/>
    </xf>
    <xf numFmtId="0" fontId="8" fillId="7" borderId="32" xfId="0" applyFont="1" applyFill="1" applyBorder="1" applyAlignment="1">
      <alignment horizontal="center" vertical="top" wrapText="1"/>
    </xf>
    <xf numFmtId="0" fontId="8" fillId="7" borderId="0" xfId="0" applyFont="1" applyFill="1" applyAlignment="1">
      <alignment horizontal="left" vertical="center" wrapText="1"/>
    </xf>
    <xf numFmtId="0" fontId="5" fillId="0" borderId="1" xfId="0" applyFont="1" applyBorder="1" applyAlignment="1">
      <alignment horizontal="left"/>
    </xf>
    <xf numFmtId="0" fontId="5" fillId="0" borderId="69" xfId="0" applyFont="1" applyBorder="1" applyAlignment="1">
      <alignment horizontal="center"/>
    </xf>
    <xf numFmtId="0" fontId="5" fillId="0" borderId="70" xfId="0" applyFont="1" applyBorder="1" applyAlignment="1">
      <alignment horizontal="center"/>
    </xf>
    <xf numFmtId="0" fontId="5" fillId="0" borderId="77" xfId="0" applyFont="1" applyBorder="1" applyAlignment="1">
      <alignment horizontal="center"/>
    </xf>
    <xf numFmtId="0" fontId="5" fillId="0" borderId="71" xfId="0" applyFont="1" applyBorder="1" applyAlignment="1">
      <alignment horizontal="center"/>
    </xf>
    <xf numFmtId="0" fontId="5" fillId="0" borderId="72" xfId="0" applyFont="1" applyBorder="1" applyAlignment="1">
      <alignment horizontal="center"/>
    </xf>
    <xf numFmtId="0" fontId="5" fillId="0" borderId="79" xfId="0" applyFont="1" applyBorder="1" applyAlignment="1">
      <alignment horizontal="center"/>
    </xf>
    <xf numFmtId="0" fontId="5" fillId="0" borderId="4" xfId="0" applyFont="1" applyBorder="1" applyAlignment="1">
      <alignment horizontal="center"/>
    </xf>
    <xf numFmtId="0" fontId="5" fillId="0" borderId="0" xfId="0" applyFont="1" applyAlignment="1">
      <alignment horizontal="center"/>
    </xf>
    <xf numFmtId="0" fontId="5" fillId="0" borderId="78" xfId="0" applyFont="1" applyBorder="1" applyAlignment="1">
      <alignment horizontal="center"/>
    </xf>
    <xf numFmtId="0" fontId="6" fillId="0" borderId="2" xfId="0" applyFont="1" applyBorder="1" applyAlignment="1">
      <alignment horizontal="left"/>
    </xf>
    <xf numFmtId="0" fontId="5" fillId="0" borderId="1" xfId="0" applyFont="1" applyBorder="1"/>
    <xf numFmtId="0" fontId="5" fillId="0" borderId="2" xfId="0" applyFont="1" applyBorder="1"/>
    <xf numFmtId="0" fontId="6" fillId="0" borderId="1" xfId="0" applyFont="1" applyBorder="1"/>
    <xf numFmtId="0" fontId="6" fillId="0" borderId="2" xfId="0" applyFont="1" applyBorder="1"/>
    <xf numFmtId="0" fontId="5" fillId="0" borderId="1" xfId="0" applyFont="1" applyBorder="1" applyAlignment="1">
      <alignment vertical="center"/>
    </xf>
    <xf numFmtId="0" fontId="5" fillId="0" borderId="2" xfId="0" applyFont="1" applyBorder="1" applyAlignment="1">
      <alignment vertical="center"/>
    </xf>
    <xf numFmtId="0" fontId="8" fillId="0" borderId="1" xfId="0" applyFont="1" applyBorder="1" applyAlignment="1">
      <alignment horizontal="center" vertical="center" wrapText="1"/>
    </xf>
    <xf numFmtId="0" fontId="8" fillId="0" borderId="73" xfId="0" applyFont="1" applyBorder="1" applyAlignment="1">
      <alignment horizontal="center" vertical="center" wrapText="1"/>
    </xf>
    <xf numFmtId="0" fontId="6" fillId="17" borderId="74" xfId="0" applyFont="1" applyFill="1" applyBorder="1" applyAlignment="1" applyProtection="1">
      <alignment horizontal="center"/>
      <protection locked="0"/>
    </xf>
    <xf numFmtId="0" fontId="6" fillId="0" borderId="1" xfId="0" applyFont="1" applyBorder="1" applyAlignment="1">
      <alignment horizontal="center"/>
    </xf>
    <xf numFmtId="0" fontId="6" fillId="0" borderId="75" xfId="0" applyFont="1" applyBorder="1" applyAlignment="1">
      <alignment horizontal="left"/>
    </xf>
    <xf numFmtId="0" fontId="8" fillId="7" borderId="0" xfId="0" applyFont="1" applyFill="1" applyAlignment="1">
      <alignment horizontal="center" vertical="top" wrapText="1"/>
    </xf>
    <xf numFmtId="14" fontId="10" fillId="17" borderId="38" xfId="0" applyNumberFormat="1" applyFont="1" applyFill="1" applyBorder="1" applyAlignment="1" applyProtection="1">
      <alignment horizontal="left" vertical="center" wrapText="1"/>
      <protection locked="0"/>
    </xf>
    <xf numFmtId="0" fontId="10" fillId="17" borderId="38" xfId="0" applyFont="1" applyFill="1" applyBorder="1" applyAlignment="1" applyProtection="1">
      <alignment horizontal="left" vertical="center" wrapText="1"/>
      <protection locked="0"/>
    </xf>
    <xf numFmtId="14" fontId="8" fillId="0" borderId="36" xfId="0" applyNumberFormat="1" applyFont="1" applyBorder="1" applyAlignment="1">
      <alignment horizontal="left" vertical="center" wrapText="1"/>
    </xf>
    <xf numFmtId="0" fontId="6" fillId="8" borderId="73" xfId="0" applyFont="1" applyFill="1" applyBorder="1" applyAlignment="1">
      <alignment horizontal="center"/>
    </xf>
    <xf numFmtId="0" fontId="6" fillId="0" borderId="74" xfId="0" applyFont="1" applyBorder="1" applyAlignment="1">
      <alignment horizontal="center"/>
    </xf>
    <xf numFmtId="14" fontId="8" fillId="0" borderId="0" xfId="0" applyNumberFormat="1" applyFont="1" applyAlignment="1">
      <alignment horizontal="left" vertical="center" wrapText="1"/>
    </xf>
    <xf numFmtId="0" fontId="10" fillId="8" borderId="47" xfId="0" applyFont="1" applyFill="1" applyBorder="1" applyAlignment="1">
      <alignment horizontal="center" vertical="center" wrapText="1"/>
    </xf>
    <xf numFmtId="0" fontId="10" fillId="8" borderId="62" xfId="0" applyFont="1" applyFill="1" applyBorder="1" applyAlignment="1">
      <alignment horizontal="center" vertical="center" wrapText="1"/>
    </xf>
    <xf numFmtId="0" fontId="8" fillId="0" borderId="65" xfId="0" applyFont="1" applyBorder="1" applyAlignment="1">
      <alignment horizontal="left" vertical="center" wrapText="1"/>
    </xf>
    <xf numFmtId="0" fontId="10" fillId="8" borderId="48" xfId="0" applyFont="1" applyFill="1" applyBorder="1" applyAlignment="1">
      <alignment horizontal="left" vertical="center" wrapText="1"/>
    </xf>
    <xf numFmtId="0" fontId="10" fillId="8" borderId="35" xfId="0" applyFont="1" applyFill="1" applyBorder="1" applyAlignment="1">
      <alignment horizontal="left" vertical="center" wrapText="1"/>
    </xf>
    <xf numFmtId="0" fontId="10" fillId="8" borderId="64" xfId="0" applyFont="1" applyFill="1" applyBorder="1" applyAlignment="1">
      <alignment horizontal="left" vertical="center" wrapText="1"/>
    </xf>
    <xf numFmtId="0" fontId="13" fillId="16" borderId="53" xfId="0" applyFont="1" applyFill="1" applyBorder="1" applyAlignment="1">
      <alignment horizontal="right" vertical="center" wrapText="1"/>
    </xf>
    <xf numFmtId="0" fontId="13" fillId="16" borderId="54" xfId="0" applyFont="1" applyFill="1" applyBorder="1" applyAlignment="1">
      <alignment horizontal="right" vertical="center" wrapText="1"/>
    </xf>
    <xf numFmtId="164" fontId="10" fillId="16" borderId="54" xfId="1" applyFont="1" applyFill="1" applyBorder="1" applyAlignment="1" applyProtection="1">
      <alignment horizontal="center" vertical="center" wrapText="1"/>
    </xf>
    <xf numFmtId="164" fontId="10" fillId="16" borderId="65" xfId="1" applyFont="1" applyFill="1" applyBorder="1" applyAlignment="1" applyProtection="1">
      <alignment horizontal="center" vertical="center" wrapText="1"/>
    </xf>
    <xf numFmtId="0" fontId="10" fillId="19" borderId="55" xfId="0" applyFont="1" applyFill="1" applyBorder="1" applyAlignment="1">
      <alignment horizontal="left" vertical="center" wrapText="1"/>
    </xf>
    <xf numFmtId="0" fontId="10" fillId="19" borderId="54" xfId="0" applyFont="1" applyFill="1" applyBorder="1" applyAlignment="1">
      <alignment horizontal="left" vertical="center" wrapText="1"/>
    </xf>
    <xf numFmtId="0" fontId="10" fillId="8" borderId="46" xfId="0" applyFont="1" applyFill="1" applyBorder="1" applyAlignment="1">
      <alignment horizontal="left" vertical="center" wrapText="1"/>
    </xf>
    <xf numFmtId="0" fontId="10" fillId="8" borderId="47" xfId="0" applyFont="1" applyFill="1" applyBorder="1" applyAlignment="1">
      <alignment horizontal="left" vertical="center" wrapText="1"/>
    </xf>
    <xf numFmtId="0" fontId="10" fillId="16" borderId="50" xfId="0" applyFont="1" applyFill="1" applyBorder="1" applyAlignment="1">
      <alignment horizontal="left" vertical="center" wrapText="1"/>
    </xf>
    <xf numFmtId="0" fontId="10" fillId="16" borderId="44" xfId="0" applyFont="1" applyFill="1" applyBorder="1" applyAlignment="1">
      <alignment horizontal="left" vertical="center" wrapText="1"/>
    </xf>
    <xf numFmtId="164" fontId="10" fillId="16" borderId="0" xfId="1" applyFont="1" applyFill="1" applyBorder="1" applyAlignment="1" applyProtection="1">
      <alignment horizontal="center" vertical="center" wrapText="1"/>
    </xf>
    <xf numFmtId="164" fontId="10" fillId="16" borderId="63" xfId="1" applyFont="1" applyFill="1" applyBorder="1" applyAlignment="1" applyProtection="1">
      <alignment horizontal="center" vertical="center" wrapText="1"/>
    </xf>
    <xf numFmtId="0" fontId="10" fillId="16" borderId="59" xfId="0" applyFont="1" applyFill="1" applyBorder="1" applyAlignment="1">
      <alignment horizontal="left" vertical="center" wrapText="1"/>
    </xf>
    <xf numFmtId="0" fontId="8" fillId="16" borderId="36" xfId="0" applyFont="1" applyFill="1" applyBorder="1" applyAlignment="1">
      <alignment horizontal="center" vertical="center" wrapText="1"/>
    </xf>
    <xf numFmtId="0" fontId="8" fillId="16" borderId="0" xfId="0" applyFont="1" applyFill="1" applyAlignment="1">
      <alignment horizontal="center" vertical="center" wrapText="1"/>
    </xf>
    <xf numFmtId="164" fontId="8" fillId="16" borderId="0" xfId="1" applyFont="1" applyFill="1" applyBorder="1" applyAlignment="1" applyProtection="1">
      <alignment horizontal="center" vertical="center" wrapText="1"/>
    </xf>
    <xf numFmtId="164" fontId="8" fillId="16" borderId="63" xfId="1" applyFont="1" applyFill="1" applyBorder="1" applyAlignment="1" applyProtection="1">
      <alignment horizontal="center" vertical="center" wrapText="1"/>
    </xf>
    <xf numFmtId="0" fontId="12" fillId="16" borderId="51" xfId="0" applyFont="1" applyFill="1" applyBorder="1" applyAlignment="1">
      <alignment horizontal="left" vertical="center" wrapText="1"/>
    </xf>
    <xf numFmtId="0" fontId="12" fillId="16" borderId="41" xfId="0" applyFont="1" applyFill="1" applyBorder="1" applyAlignment="1">
      <alignment horizontal="left" vertical="center" wrapText="1"/>
    </xf>
    <xf numFmtId="0" fontId="12" fillId="16" borderId="60" xfId="0" applyFont="1" applyFill="1" applyBorder="1" applyAlignment="1">
      <alignment horizontal="left" vertical="center" wrapText="1"/>
    </xf>
    <xf numFmtId="0" fontId="10" fillId="8" borderId="52" xfId="0" applyFont="1" applyFill="1" applyBorder="1" applyAlignment="1">
      <alignment horizontal="left" vertical="center" wrapText="1"/>
    </xf>
    <xf numFmtId="0" fontId="10" fillId="8" borderId="56" xfId="0" applyFont="1" applyFill="1" applyBorder="1" applyAlignment="1">
      <alignment horizontal="left" vertical="center" wrapText="1"/>
    </xf>
    <xf numFmtId="0" fontId="10" fillId="8" borderId="63" xfId="0" applyFont="1" applyFill="1" applyBorder="1" applyAlignment="1">
      <alignment horizontal="left" vertical="center" wrapText="1"/>
    </xf>
    <xf numFmtId="0" fontId="10" fillId="16" borderId="49" xfId="0" applyFont="1" applyFill="1" applyBorder="1" applyAlignment="1">
      <alignment horizontal="left" vertical="center" wrapText="1"/>
    </xf>
    <xf numFmtId="0" fontId="10" fillId="16" borderId="43" xfId="0" applyFont="1" applyFill="1" applyBorder="1" applyAlignment="1">
      <alignment horizontal="left" vertical="center" wrapText="1"/>
    </xf>
    <xf numFmtId="0" fontId="10" fillId="16" borderId="58" xfId="0" applyFont="1" applyFill="1" applyBorder="1" applyAlignment="1">
      <alignment horizontal="left" vertical="center" wrapText="1"/>
    </xf>
    <xf numFmtId="0" fontId="10" fillId="16" borderId="51" xfId="0" applyFont="1" applyFill="1" applyBorder="1" applyAlignment="1">
      <alignment horizontal="left" vertical="center" wrapText="1"/>
    </xf>
    <xf numFmtId="0" fontId="10" fillId="16" borderId="41" xfId="0" applyFont="1" applyFill="1" applyBorder="1" applyAlignment="1">
      <alignment horizontal="left" vertical="center" wrapText="1"/>
    </xf>
    <xf numFmtId="0" fontId="10" fillId="16" borderId="60" xfId="0" applyFont="1" applyFill="1" applyBorder="1" applyAlignment="1">
      <alignment horizontal="left" vertical="center" wrapText="1"/>
    </xf>
    <xf numFmtId="0" fontId="10" fillId="19" borderId="47" xfId="0" applyFont="1" applyFill="1" applyBorder="1" applyAlignment="1">
      <alignment horizontal="left" vertical="center" wrapText="1"/>
    </xf>
    <xf numFmtId="0" fontId="10" fillId="19" borderId="62" xfId="0" applyFont="1" applyFill="1" applyBorder="1" applyAlignment="1">
      <alignment horizontal="left" vertical="center" wrapText="1"/>
    </xf>
    <xf numFmtId="0" fontId="10" fillId="17" borderId="53" xfId="0" applyFont="1" applyFill="1" applyBorder="1" applyAlignment="1" applyProtection="1">
      <alignment horizontal="center" vertical="center" wrapText="1"/>
      <protection locked="0"/>
    </xf>
    <xf numFmtId="0" fontId="10" fillId="17" borderId="54" xfId="0" applyFont="1" applyFill="1" applyBorder="1" applyAlignment="1" applyProtection="1">
      <alignment horizontal="center" vertical="center" wrapText="1"/>
      <protection locked="0"/>
    </xf>
    <xf numFmtId="0" fontId="10" fillId="17" borderId="65" xfId="0" applyFont="1" applyFill="1" applyBorder="1" applyAlignment="1" applyProtection="1">
      <alignment horizontal="center" vertical="center" wrapText="1"/>
      <protection locked="0"/>
    </xf>
    <xf numFmtId="0" fontId="8" fillId="8" borderId="54" xfId="0" applyFont="1" applyFill="1" applyBorder="1" applyAlignment="1">
      <alignment horizontal="center" vertical="center" wrapText="1"/>
    </xf>
    <xf numFmtId="0" fontId="8" fillId="8" borderId="65" xfId="0" applyFont="1" applyFill="1" applyBorder="1" applyAlignment="1">
      <alignment horizontal="center" vertical="center" wrapText="1"/>
    </xf>
    <xf numFmtId="0" fontId="10" fillId="8" borderId="46" xfId="0" applyFont="1" applyFill="1" applyBorder="1" applyAlignment="1">
      <alignment horizontal="center" vertical="center" wrapText="1"/>
    </xf>
    <xf numFmtId="0" fontId="11" fillId="16" borderId="48" xfId="0" applyFont="1" applyFill="1" applyBorder="1" applyAlignment="1">
      <alignment horizontal="left" vertical="center" wrapText="1"/>
    </xf>
    <xf numFmtId="0" fontId="11" fillId="16" borderId="34" xfId="0" applyFont="1" applyFill="1" applyBorder="1" applyAlignment="1">
      <alignment horizontal="left" vertical="center" wrapText="1"/>
    </xf>
    <xf numFmtId="0" fontId="11" fillId="16" borderId="37" xfId="0" applyFont="1" applyFill="1" applyBorder="1" applyAlignment="1">
      <alignment horizontal="left" vertical="center" wrapText="1"/>
    </xf>
    <xf numFmtId="0" fontId="8" fillId="18" borderId="38" xfId="0" applyFont="1" applyFill="1" applyBorder="1" applyAlignment="1" applyProtection="1">
      <alignment horizontal="left" vertical="center" wrapText="1"/>
      <protection locked="0"/>
    </xf>
    <xf numFmtId="0" fontId="8" fillId="0" borderId="57" xfId="0" applyFont="1" applyBorder="1" applyAlignment="1">
      <alignment horizontal="left" vertical="center" wrapText="1"/>
    </xf>
    <xf numFmtId="0" fontId="8" fillId="18" borderId="38" xfId="0" applyFont="1" applyFill="1" applyBorder="1" applyAlignment="1" applyProtection="1">
      <alignment horizontal="center" vertical="center" wrapText="1"/>
      <protection locked="0"/>
    </xf>
    <xf numFmtId="0" fontId="10" fillId="18" borderId="38" xfId="0" applyFont="1" applyFill="1" applyBorder="1" applyAlignment="1" applyProtection="1">
      <alignment horizontal="center" vertical="center" wrapText="1"/>
      <protection locked="0"/>
    </xf>
    <xf numFmtId="0" fontId="10" fillId="8" borderId="57" xfId="0" applyFont="1" applyFill="1" applyBorder="1" applyAlignment="1">
      <alignment horizontal="center" vertical="center" wrapText="1"/>
    </xf>
    <xf numFmtId="0" fontId="10" fillId="8" borderId="52" xfId="0" applyFont="1" applyFill="1" applyBorder="1" applyAlignment="1">
      <alignment horizontal="center" vertical="center" wrapText="1"/>
    </xf>
    <xf numFmtId="0" fontId="10" fillId="8" borderId="36" xfId="0" applyFont="1" applyFill="1" applyBorder="1" applyAlignment="1">
      <alignment horizontal="center" vertical="center" wrapText="1"/>
    </xf>
    <xf numFmtId="14" fontId="8" fillId="0" borderId="36" xfId="0" applyNumberFormat="1" applyFont="1" applyBorder="1" applyAlignment="1">
      <alignment horizontal="left" vertical="top" wrapText="1"/>
    </xf>
    <xf numFmtId="14" fontId="8" fillId="0" borderId="0" xfId="0" applyNumberFormat="1" applyFont="1" applyAlignment="1">
      <alignment horizontal="left" vertical="top" wrapText="1"/>
    </xf>
    <xf numFmtId="0" fontId="0" fillId="13" borderId="24" xfId="0" applyFill="1" applyBorder="1" applyAlignment="1">
      <alignment horizontal="center" vertical="center" wrapText="1"/>
    </xf>
    <xf numFmtId="0" fontId="0" fillId="13" borderId="30" xfId="0" applyFill="1" applyBorder="1" applyAlignment="1">
      <alignment horizontal="center" vertical="center" wrapText="1"/>
    </xf>
    <xf numFmtId="0" fontId="0" fillId="14" borderId="23" xfId="0" applyFill="1" applyBorder="1" applyAlignment="1">
      <alignment horizontal="center" vertical="center" wrapText="1"/>
    </xf>
    <xf numFmtId="0" fontId="0" fillId="14" borderId="24" xfId="0" applyFill="1" applyBorder="1" applyAlignment="1">
      <alignment horizontal="center" vertical="center" wrapText="1"/>
    </xf>
    <xf numFmtId="0" fontId="0" fillId="14" borderId="30" xfId="0" applyFill="1" applyBorder="1" applyAlignment="1">
      <alignment horizontal="center" vertical="center" wrapText="1"/>
    </xf>
    <xf numFmtId="0" fontId="0" fillId="7" borderId="23" xfId="0" applyFill="1" applyBorder="1" applyAlignment="1">
      <alignment horizontal="center" vertical="center" wrapText="1"/>
    </xf>
    <xf numFmtId="0" fontId="0" fillId="7" borderId="24" xfId="0" applyFill="1" applyBorder="1" applyAlignment="1">
      <alignment horizontal="center" vertical="center" wrapText="1"/>
    </xf>
    <xf numFmtId="0" fontId="0" fillId="7" borderId="30" xfId="0" applyFill="1" applyBorder="1" applyAlignment="1">
      <alignment horizontal="center" vertical="center" wrapText="1"/>
    </xf>
    <xf numFmtId="0" fontId="0" fillId="13" borderId="23" xfId="0" applyFill="1" applyBorder="1" applyAlignment="1">
      <alignment horizontal="center" vertical="center" wrapText="1"/>
    </xf>
    <xf numFmtId="0" fontId="0" fillId="0" borderId="5" xfId="0" applyBorder="1" applyAlignment="1">
      <alignment horizontal="center" vertical="center" wrapText="1"/>
    </xf>
    <xf numFmtId="0" fontId="0" fillId="0" borderId="9" xfId="0" applyBorder="1" applyAlignment="1">
      <alignment horizontal="center" vertical="center" wrapText="1"/>
    </xf>
    <xf numFmtId="0" fontId="0" fillId="0" borderId="1" xfId="0" applyBorder="1" applyAlignment="1">
      <alignment horizontal="center" vertical="top"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0" xfId="0" applyAlignment="1">
      <alignment horizontal="center" wrapText="1"/>
    </xf>
    <xf numFmtId="0" fontId="0" fillId="0" borderId="8"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5" xfId="0" applyBorder="1" applyAlignment="1">
      <alignment horizontal="center" wrapText="1"/>
    </xf>
    <xf numFmtId="0" fontId="0" fillId="0" borderId="6" xfId="0" applyBorder="1" applyAlignment="1">
      <alignment horizontal="center" wrapText="1"/>
    </xf>
    <xf numFmtId="0" fontId="0" fillId="8" borderId="16" xfId="0" applyFill="1" applyBorder="1" applyAlignment="1">
      <alignment horizontal="center" vertical="center" wrapText="1"/>
    </xf>
    <xf numFmtId="0" fontId="0" fillId="8" borderId="17" xfId="0" applyFill="1" applyBorder="1" applyAlignment="1">
      <alignment horizontal="center" vertical="center" wrapText="1"/>
    </xf>
    <xf numFmtId="0" fontId="0" fillId="8" borderId="10" xfId="0" applyFill="1" applyBorder="1" applyAlignment="1">
      <alignment horizontal="center" vertical="center" wrapText="1"/>
    </xf>
    <xf numFmtId="0" fontId="0" fillId="8" borderId="11" xfId="0" applyFill="1" applyBorder="1" applyAlignment="1">
      <alignment horizontal="center" vertical="center" wrapText="1"/>
    </xf>
  </cellXfs>
  <cellStyles count="3">
    <cellStyle name="Comma" xfId="1" builtinId="3"/>
    <cellStyle name="Hyperlink" xfId="2" builtinId="8"/>
    <cellStyle name="Normal" xfId="0" builtinId="0"/>
  </cellStyles>
  <dxfs count="3">
    <dxf>
      <font>
        <color rgb="FF9C5700"/>
      </font>
      <fill>
        <patternFill patternType="solid">
          <bgColor rgb="FFFFEB9C"/>
        </patternFill>
      </fill>
    </dxf>
    <dxf>
      <font>
        <color rgb="FF9C5700"/>
      </font>
      <fill>
        <patternFill patternType="solid">
          <bgColor rgb="FFFFEB9C"/>
        </patternFill>
      </fill>
    </dxf>
    <dxf>
      <font>
        <color rgb="FF9C5700"/>
      </font>
      <fill>
        <patternFill patternType="solid">
          <bgColor rgb="FFFFEB9C"/>
        </patternFill>
      </fill>
    </dxf>
  </dxfs>
  <tableStyles count="0" defaultTableStyle="TableStyleMedium2" defaultPivotStyle="PivotStyleLight16"/>
  <colors>
    <mruColors>
      <color rgb="FFFFFF00"/>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43"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oneCellAnchor>
    <xdr:from>
      <xdr:col>13</xdr:col>
      <xdr:colOff>0</xdr:colOff>
      <xdr:row>18</xdr:row>
      <xdr:rowOff>0</xdr:rowOff>
    </xdr:from>
    <xdr:ext cx="184731" cy="264560"/>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7650480" y="457962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13</xdr:col>
      <xdr:colOff>0</xdr:colOff>
      <xdr:row>18</xdr:row>
      <xdr:rowOff>0</xdr:rowOff>
    </xdr:from>
    <xdr:ext cx="184731" cy="264560"/>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7650480" y="457962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xdr:col>
      <xdr:colOff>0</xdr:colOff>
      <xdr:row>18</xdr:row>
      <xdr:rowOff>0</xdr:rowOff>
    </xdr:from>
    <xdr:ext cx="184731" cy="264560"/>
    <xdr:sp macro="" textlink="">
      <xdr:nvSpPr>
        <xdr:cNvPr id="42" name="TextBox 41">
          <a:extLst>
            <a:ext uri="{FF2B5EF4-FFF2-40B4-BE49-F238E27FC236}">
              <a16:creationId xmlns:a16="http://schemas.microsoft.com/office/drawing/2014/main" id="{00000000-0008-0000-0100-00002A000000}"/>
            </a:ext>
          </a:extLst>
        </xdr:cNvPr>
        <xdr:cNvSpPr txBox="1"/>
      </xdr:nvSpPr>
      <xdr:spPr>
        <a:xfrm>
          <a:off x="1143000" y="457962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mc:AlternateContent xmlns:mc="http://schemas.openxmlformats.org/markup-compatibility/2006">
    <mc:Choice xmlns:a14="http://schemas.microsoft.com/office/drawing/2010/main" Requires="a14">
      <xdr:twoCellAnchor>
        <xdr:from>
          <xdr:col>12</xdr:col>
          <xdr:colOff>38100</xdr:colOff>
          <xdr:row>11</xdr:row>
          <xdr:rowOff>95250</xdr:rowOff>
        </xdr:from>
        <xdr:to>
          <xdr:col>16</xdr:col>
          <xdr:colOff>76200</xdr:colOff>
          <xdr:row>13</xdr:row>
          <xdr:rowOff>209550</xdr:rowOff>
        </xdr:to>
        <xdr:sp macro="" textlink="">
          <xdr:nvSpPr>
            <xdr:cNvPr id="149534" name="Button 30" hidden="1">
              <a:extLst>
                <a:ext uri="{63B3BB69-23CF-44E3-9099-C40C66FF867C}">
                  <a14:compatExt spid="_x0000_s149534"/>
                </a:ext>
                <a:ext uri="{FF2B5EF4-FFF2-40B4-BE49-F238E27FC236}">
                  <a16:creationId xmlns:a16="http://schemas.microsoft.com/office/drawing/2014/main" id="{00000000-0008-0000-0100-00001E4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6576" rIns="36576" bIns="36576" anchor="ctr" upright="1"/>
            <a:lstStyle/>
            <a:p>
              <a:pPr algn="ctr" rtl="0">
                <a:defRPr sz="1000"/>
              </a:pPr>
              <a:r>
                <a:rPr lang="en-IN" sz="1100" b="0" i="0" u="none" strike="noStrike" baseline="0">
                  <a:solidFill>
                    <a:srgbClr val="FF00FF"/>
                  </a:solidFill>
                  <a:latin typeface="Calibri"/>
                  <a:ea typeface="Calibri"/>
                  <a:cs typeface="Calibri"/>
                </a:rPr>
                <a:t>File 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69850</xdr:colOff>
          <xdr:row>14</xdr:row>
          <xdr:rowOff>171450</xdr:rowOff>
        </xdr:from>
        <xdr:to>
          <xdr:col>16</xdr:col>
          <xdr:colOff>57150</xdr:colOff>
          <xdr:row>16</xdr:row>
          <xdr:rowOff>247650</xdr:rowOff>
        </xdr:to>
        <xdr:sp macro="" textlink="">
          <xdr:nvSpPr>
            <xdr:cNvPr id="149539" name="Button 35" hidden="1">
              <a:extLst>
                <a:ext uri="{63B3BB69-23CF-44E3-9099-C40C66FF867C}">
                  <a14:compatExt spid="_x0000_s149539"/>
                </a:ext>
                <a:ext uri="{FF2B5EF4-FFF2-40B4-BE49-F238E27FC236}">
                  <a16:creationId xmlns:a16="http://schemas.microsoft.com/office/drawing/2014/main" id="{00000000-0008-0000-0100-0000234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6576" rIns="36576" bIns="36576" anchor="ctr" upright="1"/>
            <a:lstStyle/>
            <a:p>
              <a:pPr algn="ctr" rtl="0">
                <a:defRPr sz="1000"/>
              </a:pPr>
              <a:r>
                <a:rPr lang="en-IN" sz="1100" b="0" i="0" u="none" strike="noStrike" baseline="0">
                  <a:solidFill>
                    <a:srgbClr val="FF00FF"/>
                  </a:solidFill>
                  <a:latin typeface="Calibri"/>
                  <a:ea typeface="Calibri"/>
                  <a:cs typeface="Calibri"/>
                </a:rPr>
                <a:t>File Name Clear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36</xdr:col>
      <xdr:colOff>0</xdr:colOff>
      <xdr:row>150</xdr:row>
      <xdr:rowOff>0</xdr:rowOff>
    </xdr:from>
    <xdr:ext cx="184731" cy="264560"/>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2139696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20</xdr:col>
      <xdr:colOff>0</xdr:colOff>
      <xdr:row>150</xdr:row>
      <xdr:rowOff>0</xdr:rowOff>
    </xdr:from>
    <xdr:ext cx="184731" cy="264560"/>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1188720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36</xdr:col>
      <xdr:colOff>0</xdr:colOff>
      <xdr:row>150</xdr:row>
      <xdr:rowOff>0</xdr:rowOff>
    </xdr:from>
    <xdr:ext cx="184731" cy="264560"/>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2139696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20</xdr:col>
      <xdr:colOff>0</xdr:colOff>
      <xdr:row>150</xdr:row>
      <xdr:rowOff>0</xdr:rowOff>
    </xdr:from>
    <xdr:ext cx="184731" cy="264560"/>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1188720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20</xdr:col>
      <xdr:colOff>0</xdr:colOff>
      <xdr:row>150</xdr:row>
      <xdr:rowOff>0</xdr:rowOff>
    </xdr:from>
    <xdr:ext cx="184731" cy="264560"/>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1188720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36</xdr:col>
      <xdr:colOff>0</xdr:colOff>
      <xdr:row>150</xdr:row>
      <xdr:rowOff>0</xdr:rowOff>
    </xdr:from>
    <xdr:ext cx="184731" cy="264560"/>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2139696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20</xdr:col>
      <xdr:colOff>0</xdr:colOff>
      <xdr:row>150</xdr:row>
      <xdr:rowOff>0</xdr:rowOff>
    </xdr:from>
    <xdr:ext cx="184731" cy="264560"/>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1188720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36</xdr:col>
      <xdr:colOff>0</xdr:colOff>
      <xdr:row>330</xdr:row>
      <xdr:rowOff>0</xdr:rowOff>
    </xdr:from>
    <xdr:ext cx="184731" cy="264560"/>
    <xdr:sp macro="" textlink="">
      <xdr:nvSpPr>
        <xdr:cNvPr id="9" name="TextBox 8">
          <a:extLst>
            <a:ext uri="{FF2B5EF4-FFF2-40B4-BE49-F238E27FC236}">
              <a16:creationId xmlns:a16="http://schemas.microsoft.com/office/drawing/2014/main" id="{00000000-0008-0000-0700-000009000000}"/>
            </a:ext>
          </a:extLst>
        </xdr:cNvPr>
        <xdr:cNvSpPr txBox="1"/>
      </xdr:nvSpPr>
      <xdr:spPr>
        <a:xfrm>
          <a:off x="21396960" y="84488655"/>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20</xdr:col>
      <xdr:colOff>0</xdr:colOff>
      <xdr:row>330</xdr:row>
      <xdr:rowOff>0</xdr:rowOff>
    </xdr:from>
    <xdr:ext cx="184731" cy="264560"/>
    <xdr:sp macro="" textlink="">
      <xdr:nvSpPr>
        <xdr:cNvPr id="10" name="TextBox 9">
          <a:extLst>
            <a:ext uri="{FF2B5EF4-FFF2-40B4-BE49-F238E27FC236}">
              <a16:creationId xmlns:a16="http://schemas.microsoft.com/office/drawing/2014/main" id="{00000000-0008-0000-0700-00000A000000}"/>
            </a:ext>
          </a:extLst>
        </xdr:cNvPr>
        <xdr:cNvSpPr txBox="1"/>
      </xdr:nvSpPr>
      <xdr:spPr>
        <a:xfrm>
          <a:off x="11887200" y="84488655"/>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21</xdr:col>
      <xdr:colOff>31150</xdr:colOff>
      <xdr:row>113</xdr:row>
      <xdr:rowOff>44041</xdr:rowOff>
    </xdr:from>
    <xdr:to>
      <xdr:col>27</xdr:col>
      <xdr:colOff>239931</xdr:colOff>
      <xdr:row>122</xdr:row>
      <xdr:rowOff>150721</xdr:rowOff>
    </xdr:to>
    <xdr:sp macro="" textlink="">
      <xdr:nvSpPr>
        <xdr:cNvPr id="11" name="01">
          <a:extLst>
            <a:ext uri="{FF2B5EF4-FFF2-40B4-BE49-F238E27FC236}">
              <a16:creationId xmlns:a16="http://schemas.microsoft.com/office/drawing/2014/main" id="{00000000-0008-0000-0700-00000B000000}"/>
            </a:ext>
          </a:extLst>
        </xdr:cNvPr>
        <xdr:cNvSpPr/>
      </xdr:nvSpPr>
      <xdr:spPr>
        <a:xfrm>
          <a:off x="12512675" y="28889325"/>
          <a:ext cx="3774440" cy="2404110"/>
        </a:xfrm>
        <a:prstGeom prst="rect">
          <a:avLst/>
        </a:prstGeom>
        <a:blipFill>
          <a:blip xmlns:r="http://schemas.openxmlformats.org/officeDocument/2006/relationships" r:embed="rId1"/>
          <a:stretch>
            <a:fillRect/>
          </a:stretch>
        </a:blipFill>
        <a:ln w="12700">
          <a:solidFill>
            <a:srgbClr val="C0C0C0"/>
          </a:solid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endParaRPr lang="en-IN" sz="1200" b="1">
            <a:solidFill>
              <a:sysClr val="windowText" lastClr="000000"/>
            </a:solidFill>
            <a:latin typeface="Arial Rounded MT Bold" panose="020F0704030504030204" pitchFamily="34" charset="0"/>
            <a:cs typeface="Aharoni" panose="02010803020104030203" pitchFamily="2" charset="-79"/>
          </a:endParaRPr>
        </a:p>
      </xdr:txBody>
    </xdr:sp>
    <xdr:clientData/>
  </xdr:twoCellAnchor>
  <xdr:twoCellAnchor>
    <xdr:from>
      <xdr:col>20</xdr:col>
      <xdr:colOff>495859</xdr:colOff>
      <xdr:row>81</xdr:row>
      <xdr:rowOff>184342</xdr:rowOff>
    </xdr:from>
    <xdr:to>
      <xdr:col>33</xdr:col>
      <xdr:colOff>396364</xdr:colOff>
      <xdr:row>94</xdr:row>
      <xdr:rowOff>184342</xdr:rowOff>
    </xdr:to>
    <xdr:sp macro="" textlink="">
      <xdr:nvSpPr>
        <xdr:cNvPr id="12" name="L">
          <a:extLst>
            <a:ext uri="{FF2B5EF4-FFF2-40B4-BE49-F238E27FC236}">
              <a16:creationId xmlns:a16="http://schemas.microsoft.com/office/drawing/2014/main" id="{00000000-0008-0000-0700-00000C000000}"/>
            </a:ext>
          </a:extLst>
        </xdr:cNvPr>
        <xdr:cNvSpPr/>
      </xdr:nvSpPr>
      <xdr:spPr>
        <a:xfrm>
          <a:off x="12382500" y="20861020"/>
          <a:ext cx="7627620" cy="3318510"/>
        </a:xfrm>
        <a:prstGeom prst="rect">
          <a:avLst/>
        </a:prstGeom>
        <a:blipFill>
          <a:blip xmlns:r="http://schemas.openxmlformats.org/officeDocument/2006/relationships" r:embed="rId1"/>
          <a:stretch>
            <a:fillRect/>
          </a:stretch>
        </a:blipFill>
        <a:ln w="12700">
          <a:solidFill>
            <a:srgbClr val="C0C0C0"/>
          </a:solid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endParaRPr lang="en-IN"/>
        </a:p>
      </xdr:txBody>
    </xdr:sp>
    <xdr:clientData/>
  </xdr:twoCellAnchor>
  <xdr:twoCellAnchor>
    <xdr:from>
      <xdr:col>27</xdr:col>
      <xdr:colOff>403412</xdr:colOff>
      <xdr:row>113</xdr:row>
      <xdr:rowOff>29473</xdr:rowOff>
    </xdr:from>
    <xdr:to>
      <xdr:col>33</xdr:col>
      <xdr:colOff>565761</xdr:colOff>
      <xdr:row>122</xdr:row>
      <xdr:rowOff>136153</xdr:rowOff>
    </xdr:to>
    <xdr:sp macro="" textlink="">
      <xdr:nvSpPr>
        <xdr:cNvPr id="13" name="02">
          <a:extLst>
            <a:ext uri="{FF2B5EF4-FFF2-40B4-BE49-F238E27FC236}">
              <a16:creationId xmlns:a16="http://schemas.microsoft.com/office/drawing/2014/main" id="{00000000-0008-0000-0700-00000D000000}"/>
            </a:ext>
          </a:extLst>
        </xdr:cNvPr>
        <xdr:cNvSpPr/>
      </xdr:nvSpPr>
      <xdr:spPr>
        <a:xfrm>
          <a:off x="16450945" y="28874720"/>
          <a:ext cx="3728085" cy="2404110"/>
        </a:xfrm>
        <a:prstGeom prst="rect">
          <a:avLst/>
        </a:prstGeom>
        <a:blipFill>
          <a:blip xmlns:r="http://schemas.openxmlformats.org/officeDocument/2006/relationships" r:embed="rId1"/>
          <a:stretch>
            <a:fillRect/>
          </a:stretch>
        </a:blipFill>
        <a:ln w="12700">
          <a:solidFill>
            <a:srgbClr val="C0C0C0"/>
          </a:solid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endParaRPr lang="en-IN" sz="1200" b="1">
            <a:solidFill>
              <a:sysClr val="windowText" lastClr="000000"/>
            </a:solidFill>
            <a:latin typeface="Arial Rounded MT Bold" panose="020F0704030504030204" pitchFamily="34" charset="0"/>
          </a:endParaRPr>
        </a:p>
      </xdr:txBody>
    </xdr:sp>
    <xdr:clientData/>
  </xdr:twoCellAnchor>
  <xdr:twoCellAnchor>
    <xdr:from>
      <xdr:col>21</xdr:col>
      <xdr:colOff>39554</xdr:colOff>
      <xdr:row>123</xdr:row>
      <xdr:rowOff>32838</xdr:rowOff>
    </xdr:from>
    <xdr:to>
      <xdr:col>27</xdr:col>
      <xdr:colOff>246529</xdr:colOff>
      <xdr:row>132</xdr:row>
      <xdr:rowOff>138396</xdr:rowOff>
    </xdr:to>
    <xdr:sp macro="" textlink="">
      <xdr:nvSpPr>
        <xdr:cNvPr id="14" name="03">
          <a:extLst>
            <a:ext uri="{FF2B5EF4-FFF2-40B4-BE49-F238E27FC236}">
              <a16:creationId xmlns:a16="http://schemas.microsoft.com/office/drawing/2014/main" id="{00000000-0008-0000-0700-00000E000000}"/>
            </a:ext>
          </a:extLst>
        </xdr:cNvPr>
        <xdr:cNvSpPr/>
      </xdr:nvSpPr>
      <xdr:spPr>
        <a:xfrm>
          <a:off x="12520930" y="31430595"/>
          <a:ext cx="3773170" cy="2402840"/>
        </a:xfrm>
        <a:prstGeom prst="rect">
          <a:avLst/>
        </a:prstGeom>
        <a:blipFill>
          <a:blip xmlns:r="http://schemas.openxmlformats.org/officeDocument/2006/relationships" r:embed="rId1"/>
          <a:stretch>
            <a:fillRect/>
          </a:stretch>
        </a:blipFill>
        <a:ln w="12700">
          <a:solidFill>
            <a:srgbClr val="C0C0C0"/>
          </a:solid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endParaRPr lang="en-IN" sz="1200" b="1">
            <a:solidFill>
              <a:sysClr val="windowText" lastClr="000000"/>
            </a:solidFill>
            <a:latin typeface="Arial Rounded MT Bold" panose="020F0704030504030204" pitchFamily="34" charset="0"/>
          </a:endParaRPr>
        </a:p>
      </xdr:txBody>
    </xdr:sp>
    <xdr:clientData/>
  </xdr:twoCellAnchor>
  <xdr:twoCellAnchor>
    <xdr:from>
      <xdr:col>27</xdr:col>
      <xdr:colOff>424143</xdr:colOff>
      <xdr:row>123</xdr:row>
      <xdr:rowOff>18830</xdr:rowOff>
    </xdr:from>
    <xdr:to>
      <xdr:col>34</xdr:col>
      <xdr:colOff>3786</xdr:colOff>
      <xdr:row>132</xdr:row>
      <xdr:rowOff>125510</xdr:rowOff>
    </xdr:to>
    <xdr:sp macro="" textlink="">
      <xdr:nvSpPr>
        <xdr:cNvPr id="15" name="04">
          <a:extLst>
            <a:ext uri="{FF2B5EF4-FFF2-40B4-BE49-F238E27FC236}">
              <a16:creationId xmlns:a16="http://schemas.microsoft.com/office/drawing/2014/main" id="{00000000-0008-0000-0700-00000F000000}"/>
            </a:ext>
          </a:extLst>
        </xdr:cNvPr>
        <xdr:cNvSpPr/>
      </xdr:nvSpPr>
      <xdr:spPr>
        <a:xfrm>
          <a:off x="16471265" y="31416625"/>
          <a:ext cx="3740150" cy="2404110"/>
        </a:xfrm>
        <a:prstGeom prst="rect">
          <a:avLst/>
        </a:prstGeom>
        <a:blipFill>
          <a:blip xmlns:r="http://schemas.openxmlformats.org/officeDocument/2006/relationships" r:embed="rId1"/>
          <a:stretch>
            <a:fillRect/>
          </a:stretch>
        </a:blipFill>
        <a:ln w="12700">
          <a:solidFill>
            <a:srgbClr val="C0C0C0"/>
          </a:solid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endParaRPr lang="en-IN" sz="1200" b="1">
            <a:solidFill>
              <a:sysClr val="windowText" lastClr="000000"/>
            </a:solidFill>
            <a:latin typeface="Arial Rounded MT Bold" panose="020F0704030504030204" pitchFamily="34" charset="0"/>
          </a:endParaRPr>
        </a:p>
      </xdr:txBody>
    </xdr:sp>
    <xdr:clientData/>
  </xdr:twoCellAnchor>
  <xdr:twoCellAnchor>
    <xdr:from>
      <xdr:col>21</xdr:col>
      <xdr:colOff>15462</xdr:colOff>
      <xdr:row>133</xdr:row>
      <xdr:rowOff>31944</xdr:rowOff>
    </xdr:from>
    <xdr:to>
      <xdr:col>27</xdr:col>
      <xdr:colOff>222437</xdr:colOff>
      <xdr:row>142</xdr:row>
      <xdr:rowOff>137504</xdr:rowOff>
    </xdr:to>
    <xdr:sp macro="" textlink="">
      <xdr:nvSpPr>
        <xdr:cNvPr id="16" name="05">
          <a:extLst>
            <a:ext uri="{FF2B5EF4-FFF2-40B4-BE49-F238E27FC236}">
              <a16:creationId xmlns:a16="http://schemas.microsoft.com/office/drawing/2014/main" id="{00000000-0008-0000-0700-000010000000}"/>
            </a:ext>
          </a:extLst>
        </xdr:cNvPr>
        <xdr:cNvSpPr/>
      </xdr:nvSpPr>
      <xdr:spPr>
        <a:xfrm>
          <a:off x="12496800" y="33982660"/>
          <a:ext cx="3773170" cy="2402840"/>
        </a:xfrm>
        <a:prstGeom prst="rect">
          <a:avLst/>
        </a:prstGeom>
        <a:blipFill>
          <a:blip xmlns:r="http://schemas.openxmlformats.org/officeDocument/2006/relationships" r:embed="rId1"/>
          <a:stretch>
            <a:fillRect/>
          </a:stretch>
        </a:blipFill>
        <a:ln w="12700">
          <a:solidFill>
            <a:srgbClr val="C0C0C0"/>
          </a:solid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endParaRPr lang="en-IN" sz="1200" b="1">
            <a:solidFill>
              <a:sysClr val="windowText" lastClr="000000"/>
            </a:solidFill>
            <a:latin typeface="Arial Rounded MT Bold" panose="020F0704030504030204" pitchFamily="34" charset="0"/>
          </a:endParaRPr>
        </a:p>
      </xdr:txBody>
    </xdr:sp>
    <xdr:clientData/>
  </xdr:twoCellAnchor>
  <xdr:twoCellAnchor>
    <xdr:from>
      <xdr:col>27</xdr:col>
      <xdr:colOff>416299</xdr:colOff>
      <xdr:row>133</xdr:row>
      <xdr:rowOff>24100</xdr:rowOff>
    </xdr:from>
    <xdr:to>
      <xdr:col>33</xdr:col>
      <xdr:colOff>578648</xdr:colOff>
      <xdr:row>142</xdr:row>
      <xdr:rowOff>129660</xdr:rowOff>
    </xdr:to>
    <xdr:sp macro="" textlink="">
      <xdr:nvSpPr>
        <xdr:cNvPr id="17" name="06">
          <a:extLst>
            <a:ext uri="{FF2B5EF4-FFF2-40B4-BE49-F238E27FC236}">
              <a16:creationId xmlns:a16="http://schemas.microsoft.com/office/drawing/2014/main" id="{00000000-0008-0000-0700-000011000000}"/>
            </a:ext>
          </a:extLst>
        </xdr:cNvPr>
        <xdr:cNvSpPr/>
      </xdr:nvSpPr>
      <xdr:spPr>
        <a:xfrm>
          <a:off x="16463645" y="33974405"/>
          <a:ext cx="3728720" cy="2403475"/>
        </a:xfrm>
        <a:prstGeom prst="rect">
          <a:avLst/>
        </a:prstGeom>
        <a:blipFill>
          <a:blip xmlns:r="http://schemas.openxmlformats.org/officeDocument/2006/relationships" r:embed="rId1"/>
          <a:stretch>
            <a:fillRect/>
          </a:stretch>
        </a:blipFill>
        <a:ln w="12700">
          <a:solidFill>
            <a:srgbClr val="C0C0C0"/>
          </a:solid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endParaRPr lang="en-IN" sz="1200" b="1">
            <a:solidFill>
              <a:sysClr val="windowText" lastClr="000000"/>
            </a:solidFill>
            <a:latin typeface="Arial Rounded MT Bold" panose="020F0704030504030204" pitchFamily="34" charset="0"/>
          </a:endParaRPr>
        </a:p>
      </xdr:txBody>
    </xdr:sp>
    <xdr:clientData/>
  </xdr:twoCellAnchor>
  <xdr:twoCellAnchor>
    <xdr:from>
      <xdr:col>21</xdr:col>
      <xdr:colOff>15462</xdr:colOff>
      <xdr:row>143</xdr:row>
      <xdr:rowOff>28027</xdr:rowOff>
    </xdr:from>
    <xdr:to>
      <xdr:col>27</xdr:col>
      <xdr:colOff>222437</xdr:colOff>
      <xdr:row>152</xdr:row>
      <xdr:rowOff>134708</xdr:rowOff>
    </xdr:to>
    <xdr:sp macro="" textlink="">
      <xdr:nvSpPr>
        <xdr:cNvPr id="18" name="07">
          <a:extLst>
            <a:ext uri="{FF2B5EF4-FFF2-40B4-BE49-F238E27FC236}">
              <a16:creationId xmlns:a16="http://schemas.microsoft.com/office/drawing/2014/main" id="{00000000-0008-0000-0700-000012000000}"/>
            </a:ext>
          </a:extLst>
        </xdr:cNvPr>
        <xdr:cNvSpPr/>
      </xdr:nvSpPr>
      <xdr:spPr>
        <a:xfrm>
          <a:off x="12496800" y="36531550"/>
          <a:ext cx="3773170" cy="2404110"/>
        </a:xfrm>
        <a:prstGeom prst="rect">
          <a:avLst/>
        </a:prstGeom>
        <a:blipFill>
          <a:blip xmlns:r="http://schemas.openxmlformats.org/officeDocument/2006/relationships" r:embed="rId1"/>
          <a:stretch>
            <a:fillRect/>
          </a:stretch>
        </a:blipFill>
        <a:ln w="12700">
          <a:solidFill>
            <a:srgbClr val="C0C0C0"/>
          </a:solid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endParaRPr lang="en-IN" sz="1200" b="1">
            <a:solidFill>
              <a:sysClr val="windowText" lastClr="000000"/>
            </a:solidFill>
            <a:latin typeface="Arial Rounded MT Bold" panose="020F0704030504030204" pitchFamily="34" charset="0"/>
          </a:endParaRPr>
        </a:p>
      </xdr:txBody>
    </xdr:sp>
    <xdr:clientData/>
  </xdr:twoCellAnchor>
  <xdr:twoCellAnchor>
    <xdr:from>
      <xdr:col>27</xdr:col>
      <xdr:colOff>401731</xdr:colOff>
      <xdr:row>143</xdr:row>
      <xdr:rowOff>40913</xdr:rowOff>
    </xdr:from>
    <xdr:to>
      <xdr:col>33</xdr:col>
      <xdr:colOff>564080</xdr:colOff>
      <xdr:row>152</xdr:row>
      <xdr:rowOff>147595</xdr:rowOff>
    </xdr:to>
    <xdr:sp macro="" textlink="">
      <xdr:nvSpPr>
        <xdr:cNvPr id="19" name="08">
          <a:extLst>
            <a:ext uri="{FF2B5EF4-FFF2-40B4-BE49-F238E27FC236}">
              <a16:creationId xmlns:a16="http://schemas.microsoft.com/office/drawing/2014/main" id="{00000000-0008-0000-0700-000013000000}"/>
            </a:ext>
          </a:extLst>
        </xdr:cNvPr>
        <xdr:cNvSpPr/>
      </xdr:nvSpPr>
      <xdr:spPr>
        <a:xfrm>
          <a:off x="16449040" y="36544250"/>
          <a:ext cx="3728720" cy="2404110"/>
        </a:xfrm>
        <a:prstGeom prst="rect">
          <a:avLst/>
        </a:prstGeom>
        <a:blipFill>
          <a:blip xmlns:r="http://schemas.openxmlformats.org/officeDocument/2006/relationships" r:embed="rId1"/>
          <a:stretch>
            <a:fillRect/>
          </a:stretch>
        </a:blipFill>
        <a:ln w="12700">
          <a:solidFill>
            <a:srgbClr val="C0C0C0"/>
          </a:solid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endParaRPr lang="en-IN" sz="1200" b="1">
            <a:solidFill>
              <a:sysClr val="windowText" lastClr="000000"/>
            </a:solidFill>
            <a:latin typeface="Arial Rounded MT Bold" panose="020F0704030504030204" pitchFamily="34" charset="0"/>
          </a:endParaRPr>
        </a:p>
      </xdr:txBody>
    </xdr:sp>
    <xdr:clientData/>
  </xdr:twoCellAnchor>
  <xdr:twoCellAnchor>
    <xdr:from>
      <xdr:col>20</xdr:col>
      <xdr:colOff>497352</xdr:colOff>
      <xdr:row>95</xdr:row>
      <xdr:rowOff>169215</xdr:rowOff>
    </xdr:from>
    <xdr:to>
      <xdr:col>33</xdr:col>
      <xdr:colOff>425822</xdr:colOff>
      <xdr:row>110</xdr:row>
      <xdr:rowOff>103660</xdr:rowOff>
    </xdr:to>
    <xdr:sp macro="" textlink="">
      <xdr:nvSpPr>
        <xdr:cNvPr id="36" name="S">
          <a:extLst>
            <a:ext uri="{FF2B5EF4-FFF2-40B4-BE49-F238E27FC236}">
              <a16:creationId xmlns:a16="http://schemas.microsoft.com/office/drawing/2014/main" id="{00000000-0008-0000-0700-000024000000}"/>
            </a:ext>
          </a:extLst>
        </xdr:cNvPr>
        <xdr:cNvSpPr/>
      </xdr:nvSpPr>
      <xdr:spPr>
        <a:xfrm>
          <a:off x="12384405" y="24419560"/>
          <a:ext cx="7654925" cy="3763645"/>
        </a:xfrm>
        <a:prstGeom prst="rect">
          <a:avLst/>
        </a:prstGeom>
        <a:blipFill>
          <a:blip xmlns:r="http://schemas.openxmlformats.org/officeDocument/2006/relationships" r:embed="rId1"/>
          <a:stretch>
            <a:fillRect/>
          </a:stretch>
        </a:blipFill>
        <a:ln w="12700">
          <a:solidFill>
            <a:srgbClr val="C0C0C0"/>
          </a:solid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endParaRPr lang="en-IN"/>
        </a:p>
      </xdr:txBody>
    </xdr:sp>
    <xdr:clientData/>
  </xdr:twoCellAnchor>
  <xdr:oneCellAnchor>
    <xdr:from>
      <xdr:col>36</xdr:col>
      <xdr:colOff>0</xdr:colOff>
      <xdr:row>150</xdr:row>
      <xdr:rowOff>0</xdr:rowOff>
    </xdr:from>
    <xdr:ext cx="184731" cy="264560"/>
    <xdr:sp macro="" textlink="">
      <xdr:nvSpPr>
        <xdr:cNvPr id="37" name="TextBox 36">
          <a:extLst>
            <a:ext uri="{FF2B5EF4-FFF2-40B4-BE49-F238E27FC236}">
              <a16:creationId xmlns:a16="http://schemas.microsoft.com/office/drawing/2014/main" id="{00000000-0008-0000-0700-000025000000}"/>
            </a:ext>
          </a:extLst>
        </xdr:cNvPr>
        <xdr:cNvSpPr txBox="1"/>
      </xdr:nvSpPr>
      <xdr:spPr>
        <a:xfrm>
          <a:off x="2139696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20</xdr:col>
      <xdr:colOff>0</xdr:colOff>
      <xdr:row>150</xdr:row>
      <xdr:rowOff>0</xdr:rowOff>
    </xdr:from>
    <xdr:ext cx="184731" cy="264560"/>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1188720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18</xdr:col>
      <xdr:colOff>0</xdr:colOff>
      <xdr:row>150</xdr:row>
      <xdr:rowOff>0</xdr:rowOff>
    </xdr:from>
    <xdr:ext cx="184731" cy="264560"/>
    <xdr:sp macro="" textlink="">
      <xdr:nvSpPr>
        <xdr:cNvPr id="39" name="TextBox 38">
          <a:extLst>
            <a:ext uri="{FF2B5EF4-FFF2-40B4-BE49-F238E27FC236}">
              <a16:creationId xmlns:a16="http://schemas.microsoft.com/office/drawing/2014/main" id="{00000000-0008-0000-0700-000027000000}"/>
            </a:ext>
          </a:extLst>
        </xdr:cNvPr>
        <xdr:cNvSpPr txBox="1"/>
      </xdr:nvSpPr>
      <xdr:spPr>
        <a:xfrm>
          <a:off x="1069848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36</xdr:col>
      <xdr:colOff>0</xdr:colOff>
      <xdr:row>150</xdr:row>
      <xdr:rowOff>0</xdr:rowOff>
    </xdr:from>
    <xdr:ext cx="184731" cy="264560"/>
    <xdr:sp macro="" textlink="">
      <xdr:nvSpPr>
        <xdr:cNvPr id="41" name="TextBox 40">
          <a:extLst>
            <a:ext uri="{FF2B5EF4-FFF2-40B4-BE49-F238E27FC236}">
              <a16:creationId xmlns:a16="http://schemas.microsoft.com/office/drawing/2014/main" id="{00000000-0008-0000-0700-000029000000}"/>
            </a:ext>
          </a:extLst>
        </xdr:cNvPr>
        <xdr:cNvSpPr txBox="1"/>
      </xdr:nvSpPr>
      <xdr:spPr>
        <a:xfrm>
          <a:off x="2139696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20</xdr:col>
      <xdr:colOff>0</xdr:colOff>
      <xdr:row>150</xdr:row>
      <xdr:rowOff>0</xdr:rowOff>
    </xdr:from>
    <xdr:ext cx="184731" cy="264560"/>
    <xdr:sp macro="" textlink="">
      <xdr:nvSpPr>
        <xdr:cNvPr id="42" name="TextBox 41">
          <a:extLst>
            <a:ext uri="{FF2B5EF4-FFF2-40B4-BE49-F238E27FC236}">
              <a16:creationId xmlns:a16="http://schemas.microsoft.com/office/drawing/2014/main" id="{00000000-0008-0000-0700-00002A000000}"/>
            </a:ext>
          </a:extLst>
        </xdr:cNvPr>
        <xdr:cNvSpPr txBox="1"/>
      </xdr:nvSpPr>
      <xdr:spPr>
        <a:xfrm>
          <a:off x="1188720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18</xdr:col>
      <xdr:colOff>0</xdr:colOff>
      <xdr:row>150</xdr:row>
      <xdr:rowOff>0</xdr:rowOff>
    </xdr:from>
    <xdr:ext cx="184731" cy="264560"/>
    <xdr:sp macro="" textlink="">
      <xdr:nvSpPr>
        <xdr:cNvPr id="43" name="TextBox 42">
          <a:extLst>
            <a:ext uri="{FF2B5EF4-FFF2-40B4-BE49-F238E27FC236}">
              <a16:creationId xmlns:a16="http://schemas.microsoft.com/office/drawing/2014/main" id="{00000000-0008-0000-0700-00002B000000}"/>
            </a:ext>
          </a:extLst>
        </xdr:cNvPr>
        <xdr:cNvSpPr txBox="1"/>
      </xdr:nvSpPr>
      <xdr:spPr>
        <a:xfrm>
          <a:off x="1069848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18</xdr:col>
      <xdr:colOff>0</xdr:colOff>
      <xdr:row>150</xdr:row>
      <xdr:rowOff>0</xdr:rowOff>
    </xdr:from>
    <xdr:ext cx="184731" cy="264560"/>
    <xdr:sp macro="" textlink="">
      <xdr:nvSpPr>
        <xdr:cNvPr id="45" name="TextBox 44">
          <a:extLst>
            <a:ext uri="{FF2B5EF4-FFF2-40B4-BE49-F238E27FC236}">
              <a16:creationId xmlns:a16="http://schemas.microsoft.com/office/drawing/2014/main" id="{00000000-0008-0000-0700-00002D000000}"/>
            </a:ext>
          </a:extLst>
        </xdr:cNvPr>
        <xdr:cNvSpPr txBox="1"/>
      </xdr:nvSpPr>
      <xdr:spPr>
        <a:xfrm>
          <a:off x="1069848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20</xdr:col>
      <xdr:colOff>0</xdr:colOff>
      <xdr:row>150</xdr:row>
      <xdr:rowOff>0</xdr:rowOff>
    </xdr:from>
    <xdr:ext cx="184731" cy="264560"/>
    <xdr:sp macro="" textlink="">
      <xdr:nvSpPr>
        <xdr:cNvPr id="46" name="TextBox 45">
          <a:extLst>
            <a:ext uri="{FF2B5EF4-FFF2-40B4-BE49-F238E27FC236}">
              <a16:creationId xmlns:a16="http://schemas.microsoft.com/office/drawing/2014/main" id="{00000000-0008-0000-0700-00002E000000}"/>
            </a:ext>
          </a:extLst>
        </xdr:cNvPr>
        <xdr:cNvSpPr txBox="1"/>
      </xdr:nvSpPr>
      <xdr:spPr>
        <a:xfrm>
          <a:off x="1188720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36</xdr:col>
      <xdr:colOff>0</xdr:colOff>
      <xdr:row>150</xdr:row>
      <xdr:rowOff>0</xdr:rowOff>
    </xdr:from>
    <xdr:ext cx="184731" cy="264560"/>
    <xdr:sp macro="" textlink="">
      <xdr:nvSpPr>
        <xdr:cNvPr id="47" name="TextBox 46">
          <a:extLst>
            <a:ext uri="{FF2B5EF4-FFF2-40B4-BE49-F238E27FC236}">
              <a16:creationId xmlns:a16="http://schemas.microsoft.com/office/drawing/2014/main" id="{00000000-0008-0000-0700-00002F000000}"/>
            </a:ext>
          </a:extLst>
        </xdr:cNvPr>
        <xdr:cNvSpPr txBox="1"/>
      </xdr:nvSpPr>
      <xdr:spPr>
        <a:xfrm>
          <a:off x="2139696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20</xdr:col>
      <xdr:colOff>0</xdr:colOff>
      <xdr:row>150</xdr:row>
      <xdr:rowOff>0</xdr:rowOff>
    </xdr:from>
    <xdr:ext cx="184731" cy="264560"/>
    <xdr:sp macro="" textlink="">
      <xdr:nvSpPr>
        <xdr:cNvPr id="48" name="TextBox 47">
          <a:extLst>
            <a:ext uri="{FF2B5EF4-FFF2-40B4-BE49-F238E27FC236}">
              <a16:creationId xmlns:a16="http://schemas.microsoft.com/office/drawing/2014/main" id="{00000000-0008-0000-0700-000030000000}"/>
            </a:ext>
          </a:extLst>
        </xdr:cNvPr>
        <xdr:cNvSpPr txBox="1"/>
      </xdr:nvSpPr>
      <xdr:spPr>
        <a:xfrm>
          <a:off x="1188720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18</xdr:col>
      <xdr:colOff>0</xdr:colOff>
      <xdr:row>150</xdr:row>
      <xdr:rowOff>0</xdr:rowOff>
    </xdr:from>
    <xdr:ext cx="184731" cy="264560"/>
    <xdr:sp macro="" textlink="">
      <xdr:nvSpPr>
        <xdr:cNvPr id="49" name="TextBox 48">
          <a:extLst>
            <a:ext uri="{FF2B5EF4-FFF2-40B4-BE49-F238E27FC236}">
              <a16:creationId xmlns:a16="http://schemas.microsoft.com/office/drawing/2014/main" id="{00000000-0008-0000-0700-000031000000}"/>
            </a:ext>
          </a:extLst>
        </xdr:cNvPr>
        <xdr:cNvSpPr txBox="1"/>
      </xdr:nvSpPr>
      <xdr:spPr>
        <a:xfrm>
          <a:off x="1069848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36</xdr:col>
      <xdr:colOff>0</xdr:colOff>
      <xdr:row>329</xdr:row>
      <xdr:rowOff>0</xdr:rowOff>
    </xdr:from>
    <xdr:ext cx="184731" cy="264560"/>
    <xdr:sp macro="" textlink="">
      <xdr:nvSpPr>
        <xdr:cNvPr id="51" name="TextBox 50">
          <a:extLst>
            <a:ext uri="{FF2B5EF4-FFF2-40B4-BE49-F238E27FC236}">
              <a16:creationId xmlns:a16="http://schemas.microsoft.com/office/drawing/2014/main" id="{00000000-0008-0000-0700-000033000000}"/>
            </a:ext>
          </a:extLst>
        </xdr:cNvPr>
        <xdr:cNvSpPr txBox="1"/>
      </xdr:nvSpPr>
      <xdr:spPr>
        <a:xfrm>
          <a:off x="21396960" y="84233385"/>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10</xdr:col>
      <xdr:colOff>558612</xdr:colOff>
      <xdr:row>117</xdr:row>
      <xdr:rowOff>25212</xdr:rowOff>
    </xdr:from>
    <xdr:to>
      <xdr:col>12</xdr:col>
      <xdr:colOff>549087</xdr:colOff>
      <xdr:row>119</xdr:row>
      <xdr:rowOff>34738</xdr:rowOff>
    </xdr:to>
    <xdr:sp macro="[0]!Sheet40.insertPicture01" textlink="">
      <xdr:nvSpPr>
        <xdr:cNvPr id="52" name="101">
          <a:extLst>
            <a:ext uri="{FF2B5EF4-FFF2-40B4-BE49-F238E27FC236}">
              <a16:creationId xmlns:a16="http://schemas.microsoft.com/office/drawing/2014/main" id="{00000000-0008-0000-0700-000034000000}"/>
            </a:ext>
          </a:extLst>
        </xdr:cNvPr>
        <xdr:cNvSpPr/>
      </xdr:nvSpPr>
      <xdr:spPr>
        <a:xfrm>
          <a:off x="6501765" y="29891355"/>
          <a:ext cx="1179195" cy="520065"/>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Image 01</a:t>
          </a:r>
        </a:p>
      </xdr:txBody>
    </xdr:sp>
    <xdr:clientData/>
  </xdr:twoCellAnchor>
  <xdr:twoCellAnchor>
    <xdr:from>
      <xdr:col>14</xdr:col>
      <xdr:colOff>11207</xdr:colOff>
      <xdr:row>116</xdr:row>
      <xdr:rowOff>244850</xdr:rowOff>
    </xdr:from>
    <xdr:to>
      <xdr:col>16</xdr:col>
      <xdr:colOff>11205</xdr:colOff>
      <xdr:row>118</xdr:row>
      <xdr:rowOff>244850</xdr:rowOff>
    </xdr:to>
    <xdr:sp macro="[0]!Sheet40.insertPicture02" textlink="">
      <xdr:nvSpPr>
        <xdr:cNvPr id="53" name="102">
          <a:extLst>
            <a:ext uri="{FF2B5EF4-FFF2-40B4-BE49-F238E27FC236}">
              <a16:creationId xmlns:a16="http://schemas.microsoft.com/office/drawing/2014/main" id="{00000000-0008-0000-0700-000035000000}"/>
            </a:ext>
          </a:extLst>
        </xdr:cNvPr>
        <xdr:cNvSpPr/>
      </xdr:nvSpPr>
      <xdr:spPr>
        <a:xfrm>
          <a:off x="8331835" y="29855795"/>
          <a:ext cx="1188720" cy="510540"/>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Image 02</a:t>
          </a:r>
        </a:p>
      </xdr:txBody>
    </xdr:sp>
    <xdr:clientData/>
  </xdr:twoCellAnchor>
  <xdr:twoCellAnchor>
    <xdr:from>
      <xdr:col>13</xdr:col>
      <xdr:colOff>11206</xdr:colOff>
      <xdr:row>87</xdr:row>
      <xdr:rowOff>11204</xdr:rowOff>
    </xdr:from>
    <xdr:to>
      <xdr:col>15</xdr:col>
      <xdr:colOff>571500</xdr:colOff>
      <xdr:row>90</xdr:row>
      <xdr:rowOff>33618</xdr:rowOff>
    </xdr:to>
    <xdr:sp macro="[0]!Sheet40.insertPictureL" textlink="">
      <xdr:nvSpPr>
        <xdr:cNvPr id="54" name="LB">
          <a:extLst>
            <a:ext uri="{FF2B5EF4-FFF2-40B4-BE49-F238E27FC236}">
              <a16:creationId xmlns:a16="http://schemas.microsoft.com/office/drawing/2014/main" id="{00000000-0008-0000-0700-000036000000}"/>
            </a:ext>
          </a:extLst>
        </xdr:cNvPr>
        <xdr:cNvSpPr/>
      </xdr:nvSpPr>
      <xdr:spPr>
        <a:xfrm>
          <a:off x="7737475" y="22219285"/>
          <a:ext cx="1749425" cy="788035"/>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Latitude</a:t>
          </a:r>
          <a:r>
            <a:rPr lang="en-IN" sz="1100" b="1" cap="none" spc="0" baseline="0">
              <a:solidFill>
                <a:schemeClr val="accent3"/>
              </a:solidFill>
              <a:effectLst/>
            </a:rPr>
            <a:t> &amp; Longitude</a:t>
          </a:r>
          <a:endParaRPr lang="en-IN" sz="1100" b="1" cap="none" spc="0">
            <a:solidFill>
              <a:schemeClr val="accent3"/>
            </a:solidFill>
            <a:effectLst/>
          </a:endParaRPr>
        </a:p>
      </xdr:txBody>
    </xdr:sp>
    <xdr:clientData/>
  </xdr:twoCellAnchor>
  <xdr:twoCellAnchor>
    <xdr:from>
      <xdr:col>12</xdr:col>
      <xdr:colOff>571500</xdr:colOff>
      <xdr:row>99</xdr:row>
      <xdr:rowOff>33617</xdr:rowOff>
    </xdr:from>
    <xdr:to>
      <xdr:col>16</xdr:col>
      <xdr:colOff>11206</xdr:colOff>
      <xdr:row>102</xdr:row>
      <xdr:rowOff>0</xdr:rowOff>
    </xdr:to>
    <xdr:sp macro="[0]!Sheet40.insertPictureS" textlink="">
      <xdr:nvSpPr>
        <xdr:cNvPr id="57" name="SB">
          <a:extLst>
            <a:ext uri="{FF2B5EF4-FFF2-40B4-BE49-F238E27FC236}">
              <a16:creationId xmlns:a16="http://schemas.microsoft.com/office/drawing/2014/main" id="{00000000-0008-0000-0700-000039000000}"/>
            </a:ext>
          </a:extLst>
        </xdr:cNvPr>
        <xdr:cNvSpPr/>
      </xdr:nvSpPr>
      <xdr:spPr>
        <a:xfrm>
          <a:off x="7703820" y="25304750"/>
          <a:ext cx="1816735" cy="732790"/>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Site</a:t>
          </a:r>
          <a:r>
            <a:rPr lang="en-IN" sz="1100" b="1" cap="none" spc="0" baseline="0">
              <a:solidFill>
                <a:schemeClr val="accent3"/>
              </a:solidFill>
              <a:effectLst/>
            </a:rPr>
            <a:t> Layout</a:t>
          </a:r>
          <a:endParaRPr lang="en-IN" sz="1100" b="1" cap="none" spc="0">
            <a:solidFill>
              <a:schemeClr val="accent3"/>
            </a:solidFill>
            <a:effectLst/>
          </a:endParaRPr>
        </a:p>
      </xdr:txBody>
    </xdr:sp>
    <xdr:clientData/>
  </xdr:twoCellAnchor>
  <xdr:twoCellAnchor>
    <xdr:from>
      <xdr:col>2</xdr:col>
      <xdr:colOff>32370</xdr:colOff>
      <xdr:row>308</xdr:row>
      <xdr:rowOff>534</xdr:rowOff>
    </xdr:from>
    <xdr:to>
      <xdr:col>5</xdr:col>
      <xdr:colOff>504267</xdr:colOff>
      <xdr:row>310</xdr:row>
      <xdr:rowOff>100856</xdr:rowOff>
    </xdr:to>
    <xdr:sp macro="[0]!ButtonP8_Click" textlink="">
      <xdr:nvSpPr>
        <xdr:cNvPr id="59" name="LB">
          <a:extLst>
            <a:ext uri="{FF2B5EF4-FFF2-40B4-BE49-F238E27FC236}">
              <a16:creationId xmlns:a16="http://schemas.microsoft.com/office/drawing/2014/main" id="{00000000-0008-0000-0700-00003B000000}"/>
            </a:ext>
          </a:extLst>
        </xdr:cNvPr>
        <xdr:cNvSpPr/>
      </xdr:nvSpPr>
      <xdr:spPr>
        <a:xfrm>
          <a:off x="1220470" y="78872715"/>
          <a:ext cx="2255520" cy="610870"/>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400" b="1" i="0" cap="none" spc="0" baseline="0">
              <a:solidFill>
                <a:srgbClr val="0070C0"/>
              </a:solidFill>
              <a:effectLst/>
              <a:latin typeface="Abadi" panose="020B0604020104020204" pitchFamily="34" charset="0"/>
            </a:rPr>
            <a:t>Print Valuation Report</a:t>
          </a:r>
        </a:p>
      </xdr:txBody>
    </xdr:sp>
    <xdr:clientData/>
  </xdr:twoCellAnchor>
  <xdr:oneCellAnchor>
    <xdr:from>
      <xdr:col>20</xdr:col>
      <xdr:colOff>0</xdr:colOff>
      <xdr:row>329</xdr:row>
      <xdr:rowOff>0</xdr:rowOff>
    </xdr:from>
    <xdr:ext cx="184731" cy="264560"/>
    <xdr:sp macro="" textlink="">
      <xdr:nvSpPr>
        <xdr:cNvPr id="62" name="TextBox 61">
          <a:extLst>
            <a:ext uri="{FF2B5EF4-FFF2-40B4-BE49-F238E27FC236}">
              <a16:creationId xmlns:a16="http://schemas.microsoft.com/office/drawing/2014/main" id="{00000000-0008-0000-0700-00003E000000}"/>
            </a:ext>
          </a:extLst>
        </xdr:cNvPr>
        <xdr:cNvSpPr txBox="1"/>
      </xdr:nvSpPr>
      <xdr:spPr>
        <a:xfrm>
          <a:off x="11887200" y="84233385"/>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18</xdr:col>
      <xdr:colOff>0</xdr:colOff>
      <xdr:row>329</xdr:row>
      <xdr:rowOff>0</xdr:rowOff>
    </xdr:from>
    <xdr:ext cx="184731" cy="264560"/>
    <xdr:sp macro="" textlink="">
      <xdr:nvSpPr>
        <xdr:cNvPr id="151580" name="TextBox 151579">
          <a:extLst>
            <a:ext uri="{FF2B5EF4-FFF2-40B4-BE49-F238E27FC236}">
              <a16:creationId xmlns:a16="http://schemas.microsoft.com/office/drawing/2014/main" id="{00000000-0008-0000-0700-00001C500200}"/>
            </a:ext>
          </a:extLst>
        </xdr:cNvPr>
        <xdr:cNvSpPr txBox="1"/>
      </xdr:nvSpPr>
      <xdr:spPr>
        <a:xfrm>
          <a:off x="10698480" y="84233385"/>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11</xdr:col>
      <xdr:colOff>9524</xdr:colOff>
      <xdr:row>126</xdr:row>
      <xdr:rowOff>22413</xdr:rowOff>
    </xdr:from>
    <xdr:to>
      <xdr:col>13</xdr:col>
      <xdr:colOff>11206</xdr:colOff>
      <xdr:row>127</xdr:row>
      <xdr:rowOff>246529</xdr:rowOff>
    </xdr:to>
    <xdr:sp macro="[0]!Sheet40.insertPicture03" textlink="">
      <xdr:nvSpPr>
        <xdr:cNvPr id="151581" name="103">
          <a:extLst>
            <a:ext uri="{FF2B5EF4-FFF2-40B4-BE49-F238E27FC236}">
              <a16:creationId xmlns:a16="http://schemas.microsoft.com/office/drawing/2014/main" id="{00000000-0008-0000-0700-00001D500200}"/>
            </a:ext>
          </a:extLst>
        </xdr:cNvPr>
        <xdr:cNvSpPr/>
      </xdr:nvSpPr>
      <xdr:spPr>
        <a:xfrm>
          <a:off x="6546850" y="32186245"/>
          <a:ext cx="1190625" cy="479425"/>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Image 03</a:t>
          </a:r>
        </a:p>
      </xdr:txBody>
    </xdr:sp>
    <xdr:clientData/>
  </xdr:twoCellAnchor>
  <xdr:twoCellAnchor>
    <xdr:from>
      <xdr:col>14</xdr:col>
      <xdr:colOff>11207</xdr:colOff>
      <xdr:row>126</xdr:row>
      <xdr:rowOff>12954</xdr:rowOff>
    </xdr:from>
    <xdr:to>
      <xdr:col>15</xdr:col>
      <xdr:colOff>571500</xdr:colOff>
      <xdr:row>128</xdr:row>
      <xdr:rowOff>33616</xdr:rowOff>
    </xdr:to>
    <xdr:sp macro="[0]!Sheet40.insertPicture04" textlink="">
      <xdr:nvSpPr>
        <xdr:cNvPr id="151582" name="104">
          <a:extLst>
            <a:ext uri="{FF2B5EF4-FFF2-40B4-BE49-F238E27FC236}">
              <a16:creationId xmlns:a16="http://schemas.microsoft.com/office/drawing/2014/main" id="{00000000-0008-0000-0700-00001E500200}"/>
            </a:ext>
          </a:extLst>
        </xdr:cNvPr>
        <xdr:cNvSpPr/>
      </xdr:nvSpPr>
      <xdr:spPr>
        <a:xfrm>
          <a:off x="8331835" y="32176720"/>
          <a:ext cx="1155065" cy="530860"/>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Image 04</a:t>
          </a:r>
        </a:p>
      </xdr:txBody>
    </xdr:sp>
    <xdr:clientData/>
  </xdr:twoCellAnchor>
  <xdr:twoCellAnchor>
    <xdr:from>
      <xdr:col>11</xdr:col>
      <xdr:colOff>17929</xdr:colOff>
      <xdr:row>136</xdr:row>
      <xdr:rowOff>5923</xdr:rowOff>
    </xdr:from>
    <xdr:to>
      <xdr:col>12</xdr:col>
      <xdr:colOff>571501</xdr:colOff>
      <xdr:row>138</xdr:row>
      <xdr:rowOff>2</xdr:rowOff>
    </xdr:to>
    <xdr:sp macro="[0]!Sheet40.insertPicture05" textlink="">
      <xdr:nvSpPr>
        <xdr:cNvPr id="151583" name="105">
          <a:extLst>
            <a:ext uri="{FF2B5EF4-FFF2-40B4-BE49-F238E27FC236}">
              <a16:creationId xmlns:a16="http://schemas.microsoft.com/office/drawing/2014/main" id="{00000000-0008-0000-0700-00001F500200}"/>
            </a:ext>
          </a:extLst>
        </xdr:cNvPr>
        <xdr:cNvSpPr/>
      </xdr:nvSpPr>
      <xdr:spPr>
        <a:xfrm>
          <a:off x="6555740" y="34722435"/>
          <a:ext cx="1148080" cy="504825"/>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Image 05</a:t>
          </a:r>
        </a:p>
      </xdr:txBody>
    </xdr:sp>
    <xdr:clientData/>
  </xdr:twoCellAnchor>
  <xdr:twoCellAnchor>
    <xdr:from>
      <xdr:col>14</xdr:col>
      <xdr:colOff>9526</xdr:colOff>
      <xdr:row>136</xdr:row>
      <xdr:rowOff>14181</xdr:rowOff>
    </xdr:from>
    <xdr:to>
      <xdr:col>15</xdr:col>
      <xdr:colOff>571500</xdr:colOff>
      <xdr:row>138</xdr:row>
      <xdr:rowOff>33618</xdr:rowOff>
    </xdr:to>
    <xdr:sp macro="[0]!Sheet40.insertPicture06" textlink="">
      <xdr:nvSpPr>
        <xdr:cNvPr id="151584" name="106">
          <a:extLst>
            <a:ext uri="{FF2B5EF4-FFF2-40B4-BE49-F238E27FC236}">
              <a16:creationId xmlns:a16="http://schemas.microsoft.com/office/drawing/2014/main" id="{00000000-0008-0000-0700-000020500200}"/>
            </a:ext>
          </a:extLst>
        </xdr:cNvPr>
        <xdr:cNvSpPr/>
      </xdr:nvSpPr>
      <xdr:spPr>
        <a:xfrm>
          <a:off x="8330565" y="34730690"/>
          <a:ext cx="1156335" cy="529590"/>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Image 06</a:t>
          </a:r>
        </a:p>
      </xdr:txBody>
    </xdr:sp>
    <xdr:clientData/>
  </xdr:twoCellAnchor>
  <xdr:twoCellAnchor>
    <xdr:from>
      <xdr:col>10</xdr:col>
      <xdr:colOff>581024</xdr:colOff>
      <xdr:row>146</xdr:row>
      <xdr:rowOff>219039</xdr:rowOff>
    </xdr:from>
    <xdr:to>
      <xdr:col>12</xdr:col>
      <xdr:colOff>571497</xdr:colOff>
      <xdr:row>149</xdr:row>
      <xdr:rowOff>11207</xdr:rowOff>
    </xdr:to>
    <xdr:sp macro="[0]!Sheet40.insertPicture07" textlink="">
      <xdr:nvSpPr>
        <xdr:cNvPr id="151585" name="107">
          <a:extLst>
            <a:ext uri="{FF2B5EF4-FFF2-40B4-BE49-F238E27FC236}">
              <a16:creationId xmlns:a16="http://schemas.microsoft.com/office/drawing/2014/main" id="{00000000-0008-0000-0700-000021500200}"/>
            </a:ext>
          </a:extLst>
        </xdr:cNvPr>
        <xdr:cNvSpPr/>
      </xdr:nvSpPr>
      <xdr:spPr>
        <a:xfrm>
          <a:off x="6523990" y="37487860"/>
          <a:ext cx="1179195" cy="558165"/>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Image 07</a:t>
          </a:r>
        </a:p>
      </xdr:txBody>
    </xdr:sp>
    <xdr:clientData/>
  </xdr:twoCellAnchor>
  <xdr:twoCellAnchor>
    <xdr:from>
      <xdr:col>13</xdr:col>
      <xdr:colOff>560293</xdr:colOff>
      <xdr:row>146</xdr:row>
      <xdr:rowOff>222339</xdr:rowOff>
    </xdr:from>
    <xdr:to>
      <xdr:col>15</xdr:col>
      <xdr:colOff>571499</xdr:colOff>
      <xdr:row>148</xdr:row>
      <xdr:rowOff>235325</xdr:rowOff>
    </xdr:to>
    <xdr:sp macro="[0]!Sheet40.insertPicture08" textlink="">
      <xdr:nvSpPr>
        <xdr:cNvPr id="151586" name="108">
          <a:extLst>
            <a:ext uri="{FF2B5EF4-FFF2-40B4-BE49-F238E27FC236}">
              <a16:creationId xmlns:a16="http://schemas.microsoft.com/office/drawing/2014/main" id="{00000000-0008-0000-0700-000022500200}"/>
            </a:ext>
          </a:extLst>
        </xdr:cNvPr>
        <xdr:cNvSpPr/>
      </xdr:nvSpPr>
      <xdr:spPr>
        <a:xfrm>
          <a:off x="8286750" y="37491670"/>
          <a:ext cx="1199515" cy="523240"/>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Image 08</a:t>
          </a:r>
        </a:p>
      </xdr:txBody>
    </xdr:sp>
    <xdr:clientData/>
  </xdr:twoCellAnchor>
  <xdr:twoCellAnchor>
    <xdr:from>
      <xdr:col>10</xdr:col>
      <xdr:colOff>501647</xdr:colOff>
      <xdr:row>156</xdr:row>
      <xdr:rowOff>223378</xdr:rowOff>
    </xdr:from>
    <xdr:to>
      <xdr:col>12</xdr:col>
      <xdr:colOff>560295</xdr:colOff>
      <xdr:row>158</xdr:row>
      <xdr:rowOff>235325</xdr:rowOff>
    </xdr:to>
    <xdr:sp macro="[0]!Sheet40.insertPicture09" textlink="">
      <xdr:nvSpPr>
        <xdr:cNvPr id="151587" name="109">
          <a:extLst>
            <a:ext uri="{FF2B5EF4-FFF2-40B4-BE49-F238E27FC236}">
              <a16:creationId xmlns:a16="http://schemas.microsoft.com/office/drawing/2014/main" id="{00000000-0008-0000-0700-000023500200}"/>
            </a:ext>
          </a:extLst>
        </xdr:cNvPr>
        <xdr:cNvSpPr/>
      </xdr:nvSpPr>
      <xdr:spPr>
        <a:xfrm>
          <a:off x="6444615" y="40045005"/>
          <a:ext cx="1247775" cy="522605"/>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Image 09</a:t>
          </a:r>
        </a:p>
      </xdr:txBody>
    </xdr:sp>
    <xdr:clientData/>
  </xdr:twoCellAnchor>
  <xdr:twoCellAnchor>
    <xdr:from>
      <xdr:col>13</xdr:col>
      <xdr:colOff>560296</xdr:colOff>
      <xdr:row>156</xdr:row>
      <xdr:rowOff>224711</xdr:rowOff>
    </xdr:from>
    <xdr:to>
      <xdr:col>15</xdr:col>
      <xdr:colOff>566826</xdr:colOff>
      <xdr:row>158</xdr:row>
      <xdr:rowOff>240850</xdr:rowOff>
    </xdr:to>
    <xdr:sp macro="[0]!Sheet40.insertPicture10" textlink="">
      <xdr:nvSpPr>
        <xdr:cNvPr id="151588" name="110">
          <a:extLst>
            <a:ext uri="{FF2B5EF4-FFF2-40B4-BE49-F238E27FC236}">
              <a16:creationId xmlns:a16="http://schemas.microsoft.com/office/drawing/2014/main" id="{00000000-0008-0000-0700-000024500200}"/>
            </a:ext>
          </a:extLst>
        </xdr:cNvPr>
        <xdr:cNvSpPr/>
      </xdr:nvSpPr>
      <xdr:spPr>
        <a:xfrm>
          <a:off x="8286750" y="40046275"/>
          <a:ext cx="1195070" cy="527050"/>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Image 10</a:t>
          </a:r>
        </a:p>
      </xdr:txBody>
    </xdr:sp>
    <xdr:clientData/>
  </xdr:twoCellAnchor>
  <xdr:twoCellAnchor>
    <xdr:from>
      <xdr:col>35</xdr:col>
      <xdr:colOff>155385</xdr:colOff>
      <xdr:row>294</xdr:row>
      <xdr:rowOff>197498</xdr:rowOff>
    </xdr:from>
    <xdr:to>
      <xdr:col>37</xdr:col>
      <xdr:colOff>145677</xdr:colOff>
      <xdr:row>296</xdr:row>
      <xdr:rowOff>190500</xdr:rowOff>
    </xdr:to>
    <xdr:sp macro="[1]!Sheet26.insertPicture11" textlink="">
      <xdr:nvSpPr>
        <xdr:cNvPr id="151589" name="111">
          <a:extLst>
            <a:ext uri="{FF2B5EF4-FFF2-40B4-BE49-F238E27FC236}">
              <a16:creationId xmlns:a16="http://schemas.microsoft.com/office/drawing/2014/main" id="{00000000-0008-0000-0700-000025500200}"/>
            </a:ext>
          </a:extLst>
        </xdr:cNvPr>
        <xdr:cNvSpPr/>
      </xdr:nvSpPr>
      <xdr:spPr>
        <a:xfrm>
          <a:off x="20957540" y="75496420"/>
          <a:ext cx="1179195" cy="503555"/>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Image 11</a:t>
          </a:r>
        </a:p>
      </xdr:txBody>
    </xdr:sp>
    <xdr:clientData/>
  </xdr:twoCellAnchor>
  <xdr:twoCellAnchor>
    <xdr:from>
      <xdr:col>38</xdr:col>
      <xdr:colOff>155202</xdr:colOff>
      <xdr:row>294</xdr:row>
      <xdr:rowOff>191465</xdr:rowOff>
    </xdr:from>
    <xdr:to>
      <xdr:col>40</xdr:col>
      <xdr:colOff>93378</xdr:colOff>
      <xdr:row>296</xdr:row>
      <xdr:rowOff>200025</xdr:rowOff>
    </xdr:to>
    <xdr:sp macro="[1]!Sheet26.insertPicture12" textlink="">
      <xdr:nvSpPr>
        <xdr:cNvPr id="151590" name="112">
          <a:extLst>
            <a:ext uri="{FF2B5EF4-FFF2-40B4-BE49-F238E27FC236}">
              <a16:creationId xmlns:a16="http://schemas.microsoft.com/office/drawing/2014/main" id="{00000000-0008-0000-0700-000026500200}"/>
            </a:ext>
          </a:extLst>
        </xdr:cNvPr>
        <xdr:cNvSpPr/>
      </xdr:nvSpPr>
      <xdr:spPr>
        <a:xfrm>
          <a:off x="22740620" y="75490070"/>
          <a:ext cx="1127125" cy="519430"/>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Image 12</a:t>
          </a:r>
        </a:p>
      </xdr:txBody>
    </xdr:sp>
    <xdr:clientData/>
  </xdr:twoCellAnchor>
  <xdr:twoCellAnchor>
    <xdr:from>
      <xdr:col>35</xdr:col>
      <xdr:colOff>164910</xdr:colOff>
      <xdr:row>303</xdr:row>
      <xdr:rowOff>197691</xdr:rowOff>
    </xdr:from>
    <xdr:to>
      <xdr:col>37</xdr:col>
      <xdr:colOff>145677</xdr:colOff>
      <xdr:row>305</xdr:row>
      <xdr:rowOff>190499</xdr:rowOff>
    </xdr:to>
    <xdr:sp macro="[1]!Sheet26.insertPicture13" textlink="">
      <xdr:nvSpPr>
        <xdr:cNvPr id="151591" name="113">
          <a:extLst>
            <a:ext uri="{FF2B5EF4-FFF2-40B4-BE49-F238E27FC236}">
              <a16:creationId xmlns:a16="http://schemas.microsoft.com/office/drawing/2014/main" id="{00000000-0008-0000-0700-000027500200}"/>
            </a:ext>
          </a:extLst>
        </xdr:cNvPr>
        <xdr:cNvSpPr/>
      </xdr:nvSpPr>
      <xdr:spPr>
        <a:xfrm>
          <a:off x="20967065" y="77793850"/>
          <a:ext cx="1169670" cy="502920"/>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Image 13</a:t>
          </a:r>
        </a:p>
      </xdr:txBody>
    </xdr:sp>
    <xdr:clientData/>
  </xdr:twoCellAnchor>
  <xdr:twoCellAnchor>
    <xdr:from>
      <xdr:col>38</xdr:col>
      <xdr:colOff>145677</xdr:colOff>
      <xdr:row>303</xdr:row>
      <xdr:rowOff>198864</xdr:rowOff>
    </xdr:from>
    <xdr:to>
      <xdr:col>40</xdr:col>
      <xdr:colOff>152208</xdr:colOff>
      <xdr:row>305</xdr:row>
      <xdr:rowOff>209548</xdr:rowOff>
    </xdr:to>
    <xdr:sp macro="[1]!Sheet26.insertPicture14" textlink="">
      <xdr:nvSpPr>
        <xdr:cNvPr id="151592" name="114">
          <a:extLst>
            <a:ext uri="{FF2B5EF4-FFF2-40B4-BE49-F238E27FC236}">
              <a16:creationId xmlns:a16="http://schemas.microsoft.com/office/drawing/2014/main" id="{00000000-0008-0000-0700-000028500200}"/>
            </a:ext>
          </a:extLst>
        </xdr:cNvPr>
        <xdr:cNvSpPr/>
      </xdr:nvSpPr>
      <xdr:spPr>
        <a:xfrm>
          <a:off x="22731095" y="77795120"/>
          <a:ext cx="1195070" cy="520700"/>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Image 14</a:t>
          </a:r>
        </a:p>
      </xdr:txBody>
    </xdr:sp>
    <xdr:clientData/>
  </xdr:twoCellAnchor>
  <xdr:twoCellAnchor>
    <xdr:from>
      <xdr:col>35</xdr:col>
      <xdr:colOff>145860</xdr:colOff>
      <xdr:row>312</xdr:row>
      <xdr:rowOff>200613</xdr:rowOff>
    </xdr:from>
    <xdr:to>
      <xdr:col>37</xdr:col>
      <xdr:colOff>155202</xdr:colOff>
      <xdr:row>314</xdr:row>
      <xdr:rowOff>190500</xdr:rowOff>
    </xdr:to>
    <xdr:sp macro="[1]!Sheet26.insertPicture15" textlink="">
      <xdr:nvSpPr>
        <xdr:cNvPr id="151593" name="115">
          <a:extLst>
            <a:ext uri="{FF2B5EF4-FFF2-40B4-BE49-F238E27FC236}">
              <a16:creationId xmlns:a16="http://schemas.microsoft.com/office/drawing/2014/main" id="{00000000-0008-0000-0700-000029500200}"/>
            </a:ext>
          </a:extLst>
        </xdr:cNvPr>
        <xdr:cNvSpPr/>
      </xdr:nvSpPr>
      <xdr:spPr>
        <a:xfrm>
          <a:off x="20948015" y="80093820"/>
          <a:ext cx="1198245" cy="501015"/>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Image 15</a:t>
          </a:r>
        </a:p>
      </xdr:txBody>
    </xdr:sp>
    <xdr:clientData/>
  </xdr:twoCellAnchor>
  <xdr:twoCellAnchor>
    <xdr:from>
      <xdr:col>38</xdr:col>
      <xdr:colOff>164727</xdr:colOff>
      <xdr:row>312</xdr:row>
      <xdr:rowOff>206568</xdr:rowOff>
    </xdr:from>
    <xdr:to>
      <xdr:col>40</xdr:col>
      <xdr:colOff>152208</xdr:colOff>
      <xdr:row>314</xdr:row>
      <xdr:rowOff>182096</xdr:rowOff>
    </xdr:to>
    <xdr:sp macro="[1]!Sheet26.insertPicture16" textlink="">
      <xdr:nvSpPr>
        <xdr:cNvPr id="151594" name="116">
          <a:extLst>
            <a:ext uri="{FF2B5EF4-FFF2-40B4-BE49-F238E27FC236}">
              <a16:creationId xmlns:a16="http://schemas.microsoft.com/office/drawing/2014/main" id="{00000000-0008-0000-0700-00002A500200}"/>
            </a:ext>
          </a:extLst>
        </xdr:cNvPr>
        <xdr:cNvSpPr/>
      </xdr:nvSpPr>
      <xdr:spPr>
        <a:xfrm>
          <a:off x="22750145" y="80100170"/>
          <a:ext cx="1176020" cy="485775"/>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Image 16</a:t>
          </a:r>
        </a:p>
      </xdr:txBody>
    </xdr:sp>
    <xdr:clientData/>
  </xdr:twoCellAnchor>
  <xdr:twoCellAnchor>
    <xdr:from>
      <xdr:col>35</xdr:col>
      <xdr:colOff>155385</xdr:colOff>
      <xdr:row>326</xdr:row>
      <xdr:rowOff>194814</xdr:rowOff>
    </xdr:from>
    <xdr:to>
      <xdr:col>37</xdr:col>
      <xdr:colOff>145677</xdr:colOff>
      <xdr:row>328</xdr:row>
      <xdr:rowOff>190500</xdr:rowOff>
    </xdr:to>
    <xdr:sp macro="[1]!Sheet26.insertPicture17" textlink="">
      <xdr:nvSpPr>
        <xdr:cNvPr id="151595" name="117">
          <a:extLst>
            <a:ext uri="{FF2B5EF4-FFF2-40B4-BE49-F238E27FC236}">
              <a16:creationId xmlns:a16="http://schemas.microsoft.com/office/drawing/2014/main" id="{00000000-0008-0000-0700-00002B500200}"/>
            </a:ext>
          </a:extLst>
        </xdr:cNvPr>
        <xdr:cNvSpPr/>
      </xdr:nvSpPr>
      <xdr:spPr>
        <a:xfrm>
          <a:off x="20957540" y="83661885"/>
          <a:ext cx="1179195" cy="506730"/>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Image 17</a:t>
          </a:r>
        </a:p>
      </xdr:txBody>
    </xdr:sp>
    <xdr:clientData/>
  </xdr:twoCellAnchor>
  <xdr:twoCellAnchor>
    <xdr:from>
      <xdr:col>38</xdr:col>
      <xdr:colOff>155201</xdr:colOff>
      <xdr:row>326</xdr:row>
      <xdr:rowOff>200025</xdr:rowOff>
    </xdr:from>
    <xdr:to>
      <xdr:col>40</xdr:col>
      <xdr:colOff>96370</xdr:colOff>
      <xdr:row>328</xdr:row>
      <xdr:rowOff>190501</xdr:rowOff>
    </xdr:to>
    <xdr:sp macro="[1]!Sheet26.insertPicture18" textlink="">
      <xdr:nvSpPr>
        <xdr:cNvPr id="151596" name="118">
          <a:extLst>
            <a:ext uri="{FF2B5EF4-FFF2-40B4-BE49-F238E27FC236}">
              <a16:creationId xmlns:a16="http://schemas.microsoft.com/office/drawing/2014/main" id="{00000000-0008-0000-0700-00002C500200}"/>
            </a:ext>
          </a:extLst>
        </xdr:cNvPr>
        <xdr:cNvSpPr/>
      </xdr:nvSpPr>
      <xdr:spPr>
        <a:xfrm>
          <a:off x="22740620" y="83667600"/>
          <a:ext cx="1129665" cy="501015"/>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Image 18</a:t>
          </a:r>
        </a:p>
      </xdr:txBody>
    </xdr:sp>
    <xdr:clientData/>
  </xdr:twoCellAnchor>
  <xdr:twoCellAnchor>
    <xdr:from>
      <xdr:col>35</xdr:col>
      <xdr:colOff>155201</xdr:colOff>
      <xdr:row>335</xdr:row>
      <xdr:rowOff>195279</xdr:rowOff>
    </xdr:from>
    <xdr:to>
      <xdr:col>37</xdr:col>
      <xdr:colOff>152208</xdr:colOff>
      <xdr:row>337</xdr:row>
      <xdr:rowOff>209550</xdr:rowOff>
    </xdr:to>
    <xdr:sp macro="[1]!Sheet26.insertPicture19" textlink="">
      <xdr:nvSpPr>
        <xdr:cNvPr id="151597" name="119">
          <a:extLst>
            <a:ext uri="{FF2B5EF4-FFF2-40B4-BE49-F238E27FC236}">
              <a16:creationId xmlns:a16="http://schemas.microsoft.com/office/drawing/2014/main" id="{00000000-0008-0000-0700-00002D500200}"/>
            </a:ext>
          </a:extLst>
        </xdr:cNvPr>
        <xdr:cNvSpPr/>
      </xdr:nvSpPr>
      <xdr:spPr>
        <a:xfrm>
          <a:off x="20957540" y="85959950"/>
          <a:ext cx="1185545" cy="525145"/>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Image 19</a:t>
          </a:r>
        </a:p>
      </xdr:txBody>
    </xdr:sp>
    <xdr:clientData/>
  </xdr:twoCellAnchor>
  <xdr:twoCellAnchor>
    <xdr:from>
      <xdr:col>38</xdr:col>
      <xdr:colOff>155202</xdr:colOff>
      <xdr:row>335</xdr:row>
      <xdr:rowOff>199095</xdr:rowOff>
    </xdr:from>
    <xdr:to>
      <xdr:col>40</xdr:col>
      <xdr:colOff>93378</xdr:colOff>
      <xdr:row>337</xdr:row>
      <xdr:rowOff>200025</xdr:rowOff>
    </xdr:to>
    <xdr:sp macro="[1]!Sheet26.insertPicture20" textlink="">
      <xdr:nvSpPr>
        <xdr:cNvPr id="151598" name="120">
          <a:extLst>
            <a:ext uri="{FF2B5EF4-FFF2-40B4-BE49-F238E27FC236}">
              <a16:creationId xmlns:a16="http://schemas.microsoft.com/office/drawing/2014/main" id="{00000000-0008-0000-0700-00002E500200}"/>
            </a:ext>
          </a:extLst>
        </xdr:cNvPr>
        <xdr:cNvSpPr/>
      </xdr:nvSpPr>
      <xdr:spPr>
        <a:xfrm>
          <a:off x="22740620" y="85963760"/>
          <a:ext cx="1127125" cy="511810"/>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Image 20</a:t>
          </a:r>
        </a:p>
      </xdr:txBody>
    </xdr:sp>
    <xdr:clientData/>
  </xdr:twoCellAnchor>
  <xdr:twoCellAnchor>
    <xdr:from>
      <xdr:col>35</xdr:col>
      <xdr:colOff>145677</xdr:colOff>
      <xdr:row>344</xdr:row>
      <xdr:rowOff>208246</xdr:rowOff>
    </xdr:from>
    <xdr:to>
      <xdr:col>37</xdr:col>
      <xdr:colOff>152209</xdr:colOff>
      <xdr:row>346</xdr:row>
      <xdr:rowOff>200025</xdr:rowOff>
    </xdr:to>
    <xdr:sp macro="[1]!Sheet26.insertPicture21" textlink="">
      <xdr:nvSpPr>
        <xdr:cNvPr id="151599" name="121">
          <a:extLst>
            <a:ext uri="{FF2B5EF4-FFF2-40B4-BE49-F238E27FC236}">
              <a16:creationId xmlns:a16="http://schemas.microsoft.com/office/drawing/2014/main" id="{00000000-0008-0000-0700-00002F500200}"/>
            </a:ext>
          </a:extLst>
        </xdr:cNvPr>
        <xdr:cNvSpPr/>
      </xdr:nvSpPr>
      <xdr:spPr>
        <a:xfrm>
          <a:off x="20948015" y="88270080"/>
          <a:ext cx="1195070" cy="502920"/>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Image </a:t>
          </a:r>
          <a:r>
            <a:rPr lang="en-IN" sz="1100" b="1" cap="none" spc="0" baseline="0">
              <a:solidFill>
                <a:schemeClr val="accent3"/>
              </a:solidFill>
              <a:effectLst/>
            </a:rPr>
            <a:t> 21</a:t>
          </a:r>
          <a:endParaRPr lang="en-IN" sz="1100" b="1" cap="none" spc="0">
            <a:solidFill>
              <a:schemeClr val="accent3"/>
            </a:solidFill>
            <a:effectLst/>
          </a:endParaRPr>
        </a:p>
      </xdr:txBody>
    </xdr:sp>
    <xdr:clientData/>
  </xdr:twoCellAnchor>
  <xdr:twoCellAnchor>
    <xdr:from>
      <xdr:col>38</xdr:col>
      <xdr:colOff>155202</xdr:colOff>
      <xdr:row>344</xdr:row>
      <xdr:rowOff>209549</xdr:rowOff>
    </xdr:from>
    <xdr:to>
      <xdr:col>40</xdr:col>
      <xdr:colOff>152207</xdr:colOff>
      <xdr:row>346</xdr:row>
      <xdr:rowOff>182095</xdr:rowOff>
    </xdr:to>
    <xdr:sp macro="[1]!Sheet26.insertPicture22" textlink="">
      <xdr:nvSpPr>
        <xdr:cNvPr id="151600" name="122">
          <a:extLst>
            <a:ext uri="{FF2B5EF4-FFF2-40B4-BE49-F238E27FC236}">
              <a16:creationId xmlns:a16="http://schemas.microsoft.com/office/drawing/2014/main" id="{00000000-0008-0000-0700-000030500200}"/>
            </a:ext>
          </a:extLst>
        </xdr:cNvPr>
        <xdr:cNvSpPr/>
      </xdr:nvSpPr>
      <xdr:spPr>
        <a:xfrm>
          <a:off x="22740620" y="88271350"/>
          <a:ext cx="1185545" cy="483235"/>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Image 22</a:t>
          </a:r>
        </a:p>
      </xdr:txBody>
    </xdr:sp>
    <xdr:clientData/>
  </xdr:twoCellAnchor>
  <xdr:twoCellAnchor>
    <xdr:from>
      <xdr:col>35</xdr:col>
      <xdr:colOff>155201</xdr:colOff>
      <xdr:row>353</xdr:row>
      <xdr:rowOff>207092</xdr:rowOff>
    </xdr:from>
    <xdr:to>
      <xdr:col>37</xdr:col>
      <xdr:colOff>152208</xdr:colOff>
      <xdr:row>355</xdr:row>
      <xdr:rowOff>238125</xdr:rowOff>
    </xdr:to>
    <xdr:sp macro="[1]!Sheet26.insertPicture23" textlink="">
      <xdr:nvSpPr>
        <xdr:cNvPr id="151601" name="123">
          <a:extLst>
            <a:ext uri="{FF2B5EF4-FFF2-40B4-BE49-F238E27FC236}">
              <a16:creationId xmlns:a16="http://schemas.microsoft.com/office/drawing/2014/main" id="{00000000-0008-0000-0700-000031500200}"/>
            </a:ext>
          </a:extLst>
        </xdr:cNvPr>
        <xdr:cNvSpPr/>
      </xdr:nvSpPr>
      <xdr:spPr>
        <a:xfrm>
          <a:off x="20957540" y="90566875"/>
          <a:ext cx="1185545" cy="541655"/>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Image 23</a:t>
          </a:r>
        </a:p>
      </xdr:txBody>
    </xdr:sp>
    <xdr:clientData/>
  </xdr:twoCellAnchor>
  <xdr:twoCellAnchor>
    <xdr:from>
      <xdr:col>38</xdr:col>
      <xdr:colOff>155385</xdr:colOff>
      <xdr:row>353</xdr:row>
      <xdr:rowOff>207599</xdr:rowOff>
    </xdr:from>
    <xdr:to>
      <xdr:col>40</xdr:col>
      <xdr:colOff>86846</xdr:colOff>
      <xdr:row>355</xdr:row>
      <xdr:rowOff>190501</xdr:rowOff>
    </xdr:to>
    <xdr:sp macro="[1]!Sheet26.insertPicture24" textlink="">
      <xdr:nvSpPr>
        <xdr:cNvPr id="151602" name="124">
          <a:extLst>
            <a:ext uri="{FF2B5EF4-FFF2-40B4-BE49-F238E27FC236}">
              <a16:creationId xmlns:a16="http://schemas.microsoft.com/office/drawing/2014/main" id="{00000000-0008-0000-0700-000032500200}"/>
            </a:ext>
          </a:extLst>
        </xdr:cNvPr>
        <xdr:cNvSpPr/>
      </xdr:nvSpPr>
      <xdr:spPr>
        <a:xfrm>
          <a:off x="22740620" y="90566875"/>
          <a:ext cx="1120140" cy="494030"/>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Image 24</a:t>
          </a:r>
        </a:p>
      </xdr:txBody>
    </xdr:sp>
    <xdr:clientData/>
  </xdr:twoCellAnchor>
  <xdr:twoCellAnchor>
    <xdr:from>
      <xdr:col>8</xdr:col>
      <xdr:colOff>11206</xdr:colOff>
      <xdr:row>82</xdr:row>
      <xdr:rowOff>6211</xdr:rowOff>
    </xdr:from>
    <xdr:to>
      <xdr:col>10</xdr:col>
      <xdr:colOff>568141</xdr:colOff>
      <xdr:row>85</xdr:row>
      <xdr:rowOff>22412</xdr:rowOff>
    </xdr:to>
    <xdr:sp macro="[1]!insertPictureAPP08" textlink="">
      <xdr:nvSpPr>
        <xdr:cNvPr id="151603" name="8B">
          <a:extLst>
            <a:ext uri="{FF2B5EF4-FFF2-40B4-BE49-F238E27FC236}">
              <a16:creationId xmlns:a16="http://schemas.microsoft.com/office/drawing/2014/main" id="{00000000-0008-0000-0700-000033500200}"/>
            </a:ext>
          </a:extLst>
        </xdr:cNvPr>
        <xdr:cNvSpPr/>
      </xdr:nvSpPr>
      <xdr:spPr>
        <a:xfrm>
          <a:off x="4765675" y="20937855"/>
          <a:ext cx="1745615" cy="782320"/>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baseline="0">
              <a:solidFill>
                <a:schemeClr val="bg1">
                  <a:lumMod val="95000"/>
                </a:schemeClr>
              </a:solidFill>
              <a:effectLst/>
            </a:rPr>
            <a:t>App Photos</a:t>
          </a:r>
        </a:p>
        <a:p>
          <a:pPr algn="ctr"/>
          <a:r>
            <a:rPr lang="en-IN" sz="1100" b="1" cap="none" spc="0" baseline="0">
              <a:solidFill>
                <a:schemeClr val="bg1">
                  <a:lumMod val="95000"/>
                </a:schemeClr>
              </a:solidFill>
              <a:effectLst/>
            </a:rPr>
            <a:t>[Geo+Layout+ 8 Photos]</a:t>
          </a:r>
          <a:endParaRPr lang="en-IN" sz="1100" b="1" cap="none" spc="0">
            <a:solidFill>
              <a:schemeClr val="bg1">
                <a:lumMod val="95000"/>
              </a:schemeClr>
            </a:solidFill>
            <a:effectLst/>
          </a:endParaRPr>
        </a:p>
      </xdr:txBody>
    </xdr:sp>
    <xdr:clientData/>
  </xdr:twoCellAnchor>
  <xdr:twoCellAnchor>
    <xdr:from>
      <xdr:col>3</xdr:col>
      <xdr:colOff>1120</xdr:colOff>
      <xdr:row>82</xdr:row>
      <xdr:rowOff>16257</xdr:rowOff>
    </xdr:from>
    <xdr:to>
      <xdr:col>5</xdr:col>
      <xdr:colOff>571500</xdr:colOff>
      <xdr:row>84</xdr:row>
      <xdr:rowOff>212911</xdr:rowOff>
    </xdr:to>
    <xdr:sp macro="[0]!insertPictureWHITE01" textlink="">
      <xdr:nvSpPr>
        <xdr:cNvPr id="151606" name="LB">
          <a:extLst>
            <a:ext uri="{FF2B5EF4-FFF2-40B4-BE49-F238E27FC236}">
              <a16:creationId xmlns:a16="http://schemas.microsoft.com/office/drawing/2014/main" id="{00000000-0008-0000-0700-000036500200}"/>
            </a:ext>
          </a:extLst>
        </xdr:cNvPr>
        <xdr:cNvSpPr/>
      </xdr:nvSpPr>
      <xdr:spPr>
        <a:xfrm>
          <a:off x="1783715" y="20948015"/>
          <a:ext cx="1759585" cy="707390"/>
        </a:xfrm>
        <a:prstGeom prst="rect">
          <a:avLst/>
        </a:prstGeom>
        <a:solidFill>
          <a:schemeClr val="tx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IN" sz="1100" b="1" cap="none" spc="0">
              <a:solidFill>
                <a:schemeClr val="accent3"/>
              </a:solidFill>
              <a:effectLst/>
            </a:rPr>
            <a:t>Clear</a:t>
          </a:r>
          <a:r>
            <a:rPr lang="en-IN" sz="1100" b="1" cap="none" spc="0" baseline="0">
              <a:solidFill>
                <a:schemeClr val="accent3"/>
              </a:solidFill>
              <a:effectLst/>
            </a:rPr>
            <a:t> Previous Image</a:t>
          </a:r>
          <a:endParaRPr lang="en-IN" sz="1100" b="1" cap="none" spc="0">
            <a:solidFill>
              <a:schemeClr val="accent3"/>
            </a:solidFill>
            <a:effectLst/>
          </a:endParaRPr>
        </a:p>
      </xdr:txBody>
    </xdr:sp>
    <xdr:clientData/>
  </xdr:twoCellAnchor>
  <xdr:oneCellAnchor>
    <xdr:from>
      <xdr:col>18</xdr:col>
      <xdr:colOff>0</xdr:colOff>
      <xdr:row>150</xdr:row>
      <xdr:rowOff>0</xdr:rowOff>
    </xdr:from>
    <xdr:ext cx="184731" cy="264560"/>
    <xdr:sp macro="" textlink="">
      <xdr:nvSpPr>
        <xdr:cNvPr id="151611" name="TextBox 151610">
          <a:extLst>
            <a:ext uri="{FF2B5EF4-FFF2-40B4-BE49-F238E27FC236}">
              <a16:creationId xmlns:a16="http://schemas.microsoft.com/office/drawing/2014/main" id="{00000000-0008-0000-0700-00003B500200}"/>
            </a:ext>
          </a:extLst>
        </xdr:cNvPr>
        <xdr:cNvSpPr txBox="1"/>
      </xdr:nvSpPr>
      <xdr:spPr>
        <a:xfrm>
          <a:off x="1069848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18</xdr:col>
      <xdr:colOff>0</xdr:colOff>
      <xdr:row>150</xdr:row>
      <xdr:rowOff>0</xdr:rowOff>
    </xdr:from>
    <xdr:ext cx="184731" cy="264560"/>
    <xdr:sp macro="" textlink="">
      <xdr:nvSpPr>
        <xdr:cNvPr id="151612" name="TextBox 151611">
          <a:extLst>
            <a:ext uri="{FF2B5EF4-FFF2-40B4-BE49-F238E27FC236}">
              <a16:creationId xmlns:a16="http://schemas.microsoft.com/office/drawing/2014/main" id="{00000000-0008-0000-0700-00003C500200}"/>
            </a:ext>
          </a:extLst>
        </xdr:cNvPr>
        <xdr:cNvSpPr txBox="1"/>
      </xdr:nvSpPr>
      <xdr:spPr>
        <a:xfrm>
          <a:off x="1069848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18</xdr:col>
      <xdr:colOff>0</xdr:colOff>
      <xdr:row>150</xdr:row>
      <xdr:rowOff>0</xdr:rowOff>
    </xdr:from>
    <xdr:ext cx="184731" cy="264560"/>
    <xdr:sp macro="" textlink="">
      <xdr:nvSpPr>
        <xdr:cNvPr id="151613" name="TextBox 151612">
          <a:extLst>
            <a:ext uri="{FF2B5EF4-FFF2-40B4-BE49-F238E27FC236}">
              <a16:creationId xmlns:a16="http://schemas.microsoft.com/office/drawing/2014/main" id="{00000000-0008-0000-0700-00003D500200}"/>
            </a:ext>
          </a:extLst>
        </xdr:cNvPr>
        <xdr:cNvSpPr txBox="1"/>
      </xdr:nvSpPr>
      <xdr:spPr>
        <a:xfrm>
          <a:off x="1069848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18</xdr:col>
      <xdr:colOff>0</xdr:colOff>
      <xdr:row>150</xdr:row>
      <xdr:rowOff>0</xdr:rowOff>
    </xdr:from>
    <xdr:ext cx="184731" cy="264560"/>
    <xdr:sp macro="" textlink="">
      <xdr:nvSpPr>
        <xdr:cNvPr id="151614" name="TextBox 151613">
          <a:extLst>
            <a:ext uri="{FF2B5EF4-FFF2-40B4-BE49-F238E27FC236}">
              <a16:creationId xmlns:a16="http://schemas.microsoft.com/office/drawing/2014/main" id="{00000000-0008-0000-0700-00003E500200}"/>
            </a:ext>
          </a:extLst>
        </xdr:cNvPr>
        <xdr:cNvSpPr txBox="1"/>
      </xdr:nvSpPr>
      <xdr:spPr>
        <a:xfrm>
          <a:off x="1069848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xdr:col>
      <xdr:colOff>0</xdr:colOff>
      <xdr:row>150</xdr:row>
      <xdr:rowOff>0</xdr:rowOff>
    </xdr:from>
    <xdr:ext cx="184731" cy="264560"/>
    <xdr:sp macro="" textlink="">
      <xdr:nvSpPr>
        <xdr:cNvPr id="63" name="TextBox 62">
          <a:extLst>
            <a:ext uri="{FF2B5EF4-FFF2-40B4-BE49-F238E27FC236}">
              <a16:creationId xmlns:a16="http://schemas.microsoft.com/office/drawing/2014/main" id="{00000000-0008-0000-0700-00003F000000}"/>
            </a:ext>
          </a:extLst>
        </xdr:cNvPr>
        <xdr:cNvSpPr txBox="1"/>
      </xdr:nvSpPr>
      <xdr:spPr>
        <a:xfrm>
          <a:off x="118872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xdr:col>
      <xdr:colOff>0</xdr:colOff>
      <xdr:row>150</xdr:row>
      <xdr:rowOff>0</xdr:rowOff>
    </xdr:from>
    <xdr:ext cx="184731" cy="264560"/>
    <xdr:sp macro="" textlink="">
      <xdr:nvSpPr>
        <xdr:cNvPr id="151552" name="TextBox 151551">
          <a:extLst>
            <a:ext uri="{FF2B5EF4-FFF2-40B4-BE49-F238E27FC236}">
              <a16:creationId xmlns:a16="http://schemas.microsoft.com/office/drawing/2014/main" id="{00000000-0008-0000-0700-000000500200}"/>
            </a:ext>
          </a:extLst>
        </xdr:cNvPr>
        <xdr:cNvSpPr txBox="1"/>
      </xdr:nvSpPr>
      <xdr:spPr>
        <a:xfrm>
          <a:off x="118872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xdr:col>
      <xdr:colOff>0</xdr:colOff>
      <xdr:row>150</xdr:row>
      <xdr:rowOff>0</xdr:rowOff>
    </xdr:from>
    <xdr:ext cx="184731" cy="264560"/>
    <xdr:sp macro="" textlink="">
      <xdr:nvSpPr>
        <xdr:cNvPr id="151556" name="TextBox 151555">
          <a:extLst>
            <a:ext uri="{FF2B5EF4-FFF2-40B4-BE49-F238E27FC236}">
              <a16:creationId xmlns:a16="http://schemas.microsoft.com/office/drawing/2014/main" id="{00000000-0008-0000-0700-000004500200}"/>
            </a:ext>
          </a:extLst>
        </xdr:cNvPr>
        <xdr:cNvSpPr txBox="1"/>
      </xdr:nvSpPr>
      <xdr:spPr>
        <a:xfrm>
          <a:off x="118872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xdr:col>
      <xdr:colOff>0</xdr:colOff>
      <xdr:row>150</xdr:row>
      <xdr:rowOff>0</xdr:rowOff>
    </xdr:from>
    <xdr:ext cx="184731" cy="264560"/>
    <xdr:sp macro="" textlink="">
      <xdr:nvSpPr>
        <xdr:cNvPr id="151557" name="TextBox 151556">
          <a:extLst>
            <a:ext uri="{FF2B5EF4-FFF2-40B4-BE49-F238E27FC236}">
              <a16:creationId xmlns:a16="http://schemas.microsoft.com/office/drawing/2014/main" id="{00000000-0008-0000-0700-000005500200}"/>
            </a:ext>
          </a:extLst>
        </xdr:cNvPr>
        <xdr:cNvSpPr txBox="1"/>
      </xdr:nvSpPr>
      <xdr:spPr>
        <a:xfrm>
          <a:off x="118872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xdr:col>
      <xdr:colOff>0</xdr:colOff>
      <xdr:row>330</xdr:row>
      <xdr:rowOff>0</xdr:rowOff>
    </xdr:from>
    <xdr:ext cx="184731" cy="264560"/>
    <xdr:sp macro="" textlink="">
      <xdr:nvSpPr>
        <xdr:cNvPr id="151558" name="TextBox 151557">
          <a:extLst>
            <a:ext uri="{FF2B5EF4-FFF2-40B4-BE49-F238E27FC236}">
              <a16:creationId xmlns:a16="http://schemas.microsoft.com/office/drawing/2014/main" id="{00000000-0008-0000-0700-000006500200}"/>
            </a:ext>
          </a:extLst>
        </xdr:cNvPr>
        <xdr:cNvSpPr txBox="1"/>
      </xdr:nvSpPr>
      <xdr:spPr>
        <a:xfrm>
          <a:off x="1188720" y="84488655"/>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xdr:col>
      <xdr:colOff>0</xdr:colOff>
      <xdr:row>150</xdr:row>
      <xdr:rowOff>0</xdr:rowOff>
    </xdr:from>
    <xdr:ext cx="184731" cy="264560"/>
    <xdr:sp macro="" textlink="">
      <xdr:nvSpPr>
        <xdr:cNvPr id="151569" name="TextBox 151568">
          <a:extLst>
            <a:ext uri="{FF2B5EF4-FFF2-40B4-BE49-F238E27FC236}">
              <a16:creationId xmlns:a16="http://schemas.microsoft.com/office/drawing/2014/main" id="{00000000-0008-0000-0700-000011500200}"/>
            </a:ext>
          </a:extLst>
        </xdr:cNvPr>
        <xdr:cNvSpPr txBox="1"/>
      </xdr:nvSpPr>
      <xdr:spPr>
        <a:xfrm>
          <a:off x="118872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xdr:col>
      <xdr:colOff>0</xdr:colOff>
      <xdr:row>150</xdr:row>
      <xdr:rowOff>0</xdr:rowOff>
    </xdr:from>
    <xdr:ext cx="184731" cy="264560"/>
    <xdr:sp macro="" textlink="">
      <xdr:nvSpPr>
        <xdr:cNvPr id="151570" name="TextBox 151569">
          <a:extLst>
            <a:ext uri="{FF2B5EF4-FFF2-40B4-BE49-F238E27FC236}">
              <a16:creationId xmlns:a16="http://schemas.microsoft.com/office/drawing/2014/main" id="{00000000-0008-0000-0700-000012500200}"/>
            </a:ext>
          </a:extLst>
        </xdr:cNvPr>
        <xdr:cNvSpPr txBox="1"/>
      </xdr:nvSpPr>
      <xdr:spPr>
        <a:xfrm>
          <a:off x="118872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xdr:col>
      <xdr:colOff>0</xdr:colOff>
      <xdr:row>150</xdr:row>
      <xdr:rowOff>0</xdr:rowOff>
    </xdr:from>
    <xdr:ext cx="184731" cy="264560"/>
    <xdr:sp macro="" textlink="">
      <xdr:nvSpPr>
        <xdr:cNvPr id="151571" name="TextBox 151570">
          <a:extLst>
            <a:ext uri="{FF2B5EF4-FFF2-40B4-BE49-F238E27FC236}">
              <a16:creationId xmlns:a16="http://schemas.microsoft.com/office/drawing/2014/main" id="{00000000-0008-0000-0700-000013500200}"/>
            </a:ext>
          </a:extLst>
        </xdr:cNvPr>
        <xdr:cNvSpPr txBox="1"/>
      </xdr:nvSpPr>
      <xdr:spPr>
        <a:xfrm>
          <a:off x="118872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xdr:col>
      <xdr:colOff>0</xdr:colOff>
      <xdr:row>150</xdr:row>
      <xdr:rowOff>0</xdr:rowOff>
    </xdr:from>
    <xdr:ext cx="184731" cy="264560"/>
    <xdr:sp macro="" textlink="">
      <xdr:nvSpPr>
        <xdr:cNvPr id="151572" name="TextBox 151571">
          <a:extLst>
            <a:ext uri="{FF2B5EF4-FFF2-40B4-BE49-F238E27FC236}">
              <a16:creationId xmlns:a16="http://schemas.microsoft.com/office/drawing/2014/main" id="{00000000-0008-0000-0700-000014500200}"/>
            </a:ext>
          </a:extLst>
        </xdr:cNvPr>
        <xdr:cNvSpPr txBox="1"/>
      </xdr:nvSpPr>
      <xdr:spPr>
        <a:xfrm>
          <a:off x="1188720" y="38290500"/>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xdr:col>
      <xdr:colOff>0</xdr:colOff>
      <xdr:row>329</xdr:row>
      <xdr:rowOff>0</xdr:rowOff>
    </xdr:from>
    <xdr:ext cx="184731" cy="264560"/>
    <xdr:sp macro="" textlink="">
      <xdr:nvSpPr>
        <xdr:cNvPr id="151573" name="TextBox 151572">
          <a:extLst>
            <a:ext uri="{FF2B5EF4-FFF2-40B4-BE49-F238E27FC236}">
              <a16:creationId xmlns:a16="http://schemas.microsoft.com/office/drawing/2014/main" id="{00000000-0008-0000-0700-000015500200}"/>
            </a:ext>
          </a:extLst>
        </xdr:cNvPr>
        <xdr:cNvSpPr txBox="1"/>
      </xdr:nvSpPr>
      <xdr:spPr>
        <a:xfrm>
          <a:off x="1188720" y="84233385"/>
          <a:ext cx="184150" cy="264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20</xdr:col>
      <xdr:colOff>575756</xdr:colOff>
      <xdr:row>153</xdr:row>
      <xdr:rowOff>173704</xdr:rowOff>
    </xdr:from>
    <xdr:to>
      <xdr:col>27</xdr:col>
      <xdr:colOff>200025</xdr:colOff>
      <xdr:row>163</xdr:row>
      <xdr:rowOff>33856</xdr:rowOff>
    </xdr:to>
    <xdr:sp macro="" textlink="">
      <xdr:nvSpPr>
        <xdr:cNvPr id="20" name="09">
          <a:extLst>
            <a:ext uri="{FF2B5EF4-FFF2-40B4-BE49-F238E27FC236}">
              <a16:creationId xmlns:a16="http://schemas.microsoft.com/office/drawing/2014/main" id="{00000000-0008-0000-0700-000014000000}"/>
            </a:ext>
          </a:extLst>
        </xdr:cNvPr>
        <xdr:cNvSpPr/>
      </xdr:nvSpPr>
      <xdr:spPr>
        <a:xfrm>
          <a:off x="12462510" y="39229665"/>
          <a:ext cx="3785235" cy="2413000"/>
        </a:xfrm>
        <a:prstGeom prst="rect">
          <a:avLst/>
        </a:prstGeom>
        <a:blipFill>
          <a:blip xmlns:r="http://schemas.openxmlformats.org/officeDocument/2006/relationships" r:embed="rId1"/>
          <a:stretch>
            <a:fillRect/>
          </a:stretch>
        </a:blipFill>
        <a:ln w="12700">
          <a:solidFill>
            <a:srgbClr val="C0C0C0"/>
          </a:solid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endParaRPr lang="en-IN" sz="1200" b="1">
            <a:solidFill>
              <a:sysClr val="windowText" lastClr="000000"/>
            </a:solidFill>
            <a:latin typeface="Arial Rounded MT Bold" panose="020F0704030504030204" pitchFamily="34" charset="0"/>
          </a:endParaRPr>
        </a:p>
      </xdr:txBody>
    </xdr:sp>
    <xdr:clientData/>
  </xdr:twoCellAnchor>
  <xdr:twoCellAnchor>
    <xdr:from>
      <xdr:col>27</xdr:col>
      <xdr:colOff>401731</xdr:colOff>
      <xdr:row>153</xdr:row>
      <xdr:rowOff>175384</xdr:rowOff>
    </xdr:from>
    <xdr:to>
      <xdr:col>33</xdr:col>
      <xdr:colOff>564080</xdr:colOff>
      <xdr:row>163</xdr:row>
      <xdr:rowOff>35537</xdr:rowOff>
    </xdr:to>
    <xdr:sp macro="" textlink="">
      <xdr:nvSpPr>
        <xdr:cNvPr id="21" name="10">
          <a:extLst>
            <a:ext uri="{FF2B5EF4-FFF2-40B4-BE49-F238E27FC236}">
              <a16:creationId xmlns:a16="http://schemas.microsoft.com/office/drawing/2014/main" id="{00000000-0008-0000-0700-000015000000}"/>
            </a:ext>
          </a:extLst>
        </xdr:cNvPr>
        <xdr:cNvSpPr/>
      </xdr:nvSpPr>
      <xdr:spPr>
        <a:xfrm>
          <a:off x="16449040" y="39231570"/>
          <a:ext cx="3728720" cy="2412365"/>
        </a:xfrm>
        <a:prstGeom prst="rect">
          <a:avLst/>
        </a:prstGeom>
        <a:blipFill>
          <a:blip xmlns:r="http://schemas.openxmlformats.org/officeDocument/2006/relationships" r:embed="rId1"/>
          <a:stretch>
            <a:fillRect/>
          </a:stretch>
        </a:blipFill>
        <a:ln w="12700">
          <a:solidFill>
            <a:srgbClr val="C0C0C0"/>
          </a:solid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endParaRPr lang="en-IN" sz="1200" b="1">
            <a:solidFill>
              <a:sysClr val="windowText" lastClr="000000"/>
            </a:solidFill>
            <a:latin typeface="Arial Rounded MT Bold" panose="020F070403050403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57150</xdr:colOff>
          <xdr:row>14</xdr:row>
          <xdr:rowOff>19050</xdr:rowOff>
        </xdr:from>
        <xdr:to>
          <xdr:col>22</xdr:col>
          <xdr:colOff>571500</xdr:colOff>
          <xdr:row>17</xdr:row>
          <xdr:rowOff>184150</xdr:rowOff>
        </xdr:to>
        <xdr:sp macro="" textlink="">
          <xdr:nvSpPr>
            <xdr:cNvPr id="150529" name="Button 1" hidden="1">
              <a:extLst>
                <a:ext uri="{63B3BB69-23CF-44E3-9099-C40C66FF867C}">
                  <a14:compatExt spid="_x0000_s150529"/>
                </a:ext>
                <a:ext uri="{FF2B5EF4-FFF2-40B4-BE49-F238E27FC236}">
                  <a16:creationId xmlns:a16="http://schemas.microsoft.com/office/drawing/2014/main" id="{00000000-0008-0000-0800-0000014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Print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6000.SBI/9031_EKM_RASMECCALA_23.05.2025_109NNU_109NNU_0_LAPL_Basheer%20A%20K/9031_SBI_109NNU_109NNU_0_Basheer%20A%20K.xlsm" TargetMode="External"/><Relationship Id="rId2" Type="http://schemas.openxmlformats.org/officeDocument/2006/relationships/externalLinkPath" Target="file:///G:\My%20Drive\2025_2026\6000.SBI\9031_EKM_RASMECCALA_23.05.2025_109NNU_109NNU_0_LAPL_Basheer%20A%20K\9031_SBI_109NNU_109NNU_0_Basheer%20A%20K.xlsm" TargetMode="External"/><Relationship Id="rId1" Type="http://schemas.openxmlformats.org/officeDocument/2006/relationships/externalLinkPath" Target="/My%20Drive/2025_2026/6000.SBI/9031_EKM_RASMECCALA_23.05.2025_109NNU_109NNU_0_LAPL_Basheer%20A%20K/9031_SBI_109NNU_109NNU_0_Basheer%20A%20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01.File"/>
      <sheetName val="01_FILE"/>
      <sheetName val="02.Converter"/>
      <sheetName val="03.REMBOT"/>
      <sheetName val="100.Motherdata"/>
      <sheetName val="03.ValRepo"/>
      <sheetName val="6.SBI-A&lt;5Cr"/>
      <sheetName val="6.SBI-A1&gt;5Cr"/>
      <sheetName val="02 Documents"/>
      <sheetName val="03 Property"/>
      <sheetName val="04 Boundaries"/>
      <sheetName val="05 Inspections"/>
      <sheetName val="06 Building"/>
      <sheetName val="07 PhotosandLoc"/>
      <sheetName val="100 User"/>
      <sheetName val="102 Datalist"/>
      <sheetName val="7.Bill"/>
      <sheetName val="05.RemarksBOT"/>
      <sheetName val="101.Vlook Up"/>
      <sheetName val="AppDropdown"/>
      <sheetName val="4.LandAndBuilding_2"/>
      <sheetName val="2.MFC"/>
      <sheetName val="05.DCB (2)"/>
      <sheetName val="Definition"/>
      <sheetName val="10.SiteForm (2)"/>
      <sheetName val="10.OffPreForm"/>
      <sheetName val="0.Dropdown"/>
      <sheetName val="02.Documents"/>
      <sheetName val="03.Property"/>
      <sheetName val="04.Boundaries"/>
      <sheetName val="05.Inspections"/>
      <sheetName val="06.Building"/>
      <sheetName val="07.Photoandloc"/>
      <sheetName val="9031_SBI_109NNU_109NNU_0_Bashee"/>
    </sheetNames>
    <definedNames>
      <definedName name="insertPictureAPP08"/>
      <definedName name="Sheet26.insertPicture11"/>
      <definedName name="Sheet26.insertPicture12"/>
      <definedName name="Sheet26.insertPicture13"/>
      <definedName name="Sheet26.insertPicture14"/>
      <definedName name="Sheet26.insertPicture15"/>
      <definedName name="Sheet26.insertPicture16"/>
      <definedName name="Sheet26.insertPicture17"/>
      <definedName name="Sheet26.insertPicture18"/>
      <definedName name="Sheet26.insertPicture19"/>
      <definedName name="Sheet26.insertPicture20"/>
      <definedName name="Sheet26.insertPicture21"/>
      <definedName name="Sheet26.insertPicture22"/>
      <definedName name="Sheet26.insertPicture23"/>
      <definedName name="Sheet26.insertPicture24"/>
    </definedNames>
    <sheetDataSet>
      <sheetData sheetId="0"/>
      <sheetData sheetId="1"/>
      <sheetData sheetId="2"/>
      <sheetData sheetId="3"/>
      <sheetData sheetId="4"/>
      <sheetData sheetId="5">
        <row r="7">
          <cell r="G7">
            <v>4225</v>
          </cell>
        </row>
        <row r="9">
          <cell r="G9" t="str">
            <v>109NNU</v>
          </cell>
        </row>
        <row r="11">
          <cell r="G11" t="str">
            <v>109NNU</v>
          </cell>
        </row>
        <row r="13">
          <cell r="G13" t="str">
            <v>Ernakulam</v>
          </cell>
        </row>
        <row r="17">
          <cell r="G17"/>
        </row>
        <row r="19">
          <cell r="G19" t="str">
            <v>SBI</v>
          </cell>
        </row>
        <row r="21">
          <cell r="G21" t="str">
            <v>Loan Against Property</v>
          </cell>
        </row>
        <row r="23">
          <cell r="G23" t="str">
            <v>Basheer A K</v>
          </cell>
        </row>
        <row r="25">
          <cell r="G25"/>
          <cell r="J25"/>
        </row>
        <row r="27">
          <cell r="G27">
            <v>45810</v>
          </cell>
        </row>
        <row r="40">
          <cell r="D40" t="str">
            <v/>
          </cell>
          <cell r="O40"/>
        </row>
        <row r="42">
          <cell r="D42" t="str">
            <v/>
          </cell>
          <cell r="O42"/>
        </row>
        <row r="44">
          <cell r="D44" t="str">
            <v/>
          </cell>
          <cell r="O44"/>
        </row>
        <row r="46">
          <cell r="D46" t="str">
            <v/>
          </cell>
          <cell r="O46"/>
        </row>
        <row r="48">
          <cell r="D48" t="str">
            <v/>
          </cell>
          <cell r="O48"/>
        </row>
        <row r="50">
          <cell r="D50"/>
          <cell r="O50"/>
        </row>
        <row r="58">
          <cell r="G58" t="str">
            <v>BASHEER A K and SAUDA BEEVI</v>
          </cell>
        </row>
        <row r="60">
          <cell r="G60" t="str">
            <v>Duel Ownership</v>
          </cell>
        </row>
        <row r="66">
          <cell r="G66" t="str">
            <v>Kochi</v>
          </cell>
        </row>
        <row r="68">
          <cell r="G68" t="str">
            <v>Kochi</v>
          </cell>
        </row>
        <row r="70">
          <cell r="G70" t="str">
            <v>Edakochi</v>
          </cell>
        </row>
        <row r="72">
          <cell r="G72" t="str">
            <v>Corporation</v>
          </cell>
        </row>
        <row r="74">
          <cell r="G74" t="str">
            <v>Cochin Corporation</v>
          </cell>
        </row>
        <row r="77">
          <cell r="G77" t="str">
            <v/>
          </cell>
        </row>
        <row r="79">
          <cell r="G79" t="str">
            <v/>
          </cell>
        </row>
        <row r="81">
          <cell r="G81" t="str">
            <v/>
          </cell>
        </row>
        <row r="83">
          <cell r="G83" t="str">
            <v/>
          </cell>
        </row>
        <row r="85">
          <cell r="G85" t="str">
            <v>476</v>
          </cell>
        </row>
        <row r="87">
          <cell r="G87" t="str">
            <v>1-4</v>
          </cell>
        </row>
        <row r="89">
          <cell r="G89" t="str">
            <v/>
          </cell>
        </row>
        <row r="91">
          <cell r="G91" t="str">
            <v/>
          </cell>
        </row>
        <row r="93">
          <cell r="G93" t="str">
            <v/>
          </cell>
        </row>
        <row r="95">
          <cell r="G95">
            <v>3.14</v>
          </cell>
        </row>
        <row r="97">
          <cell r="G97" t="str">
            <v>Dry Land</v>
          </cell>
        </row>
        <row r="99">
          <cell r="G99" t="str">
            <v>NA</v>
          </cell>
        </row>
        <row r="101">
          <cell r="G101" t="str">
            <v>NA</v>
          </cell>
        </row>
        <row r="107">
          <cell r="G107" t="str">
            <v>Property of Basil George</v>
          </cell>
        </row>
        <row r="109">
          <cell r="G109" t="str">
            <v>Property of Basil George</v>
          </cell>
        </row>
        <row r="111">
          <cell r="G111" t="str">
            <v>Road</v>
          </cell>
        </row>
        <row r="113">
          <cell r="G113" t="str">
            <v>Corporation Road</v>
          </cell>
        </row>
        <row r="115">
          <cell r="G115" t="str">
            <v>Road</v>
          </cell>
        </row>
        <row r="117">
          <cell r="G117" t="str">
            <v>Corporation Road</v>
          </cell>
        </row>
        <row r="119">
          <cell r="G119" t="str">
            <v>Property of Basil George</v>
          </cell>
        </row>
        <row r="121">
          <cell r="G121" t="str">
            <v>Property of Basil George</v>
          </cell>
        </row>
        <row r="127">
          <cell r="G127" t="str">
            <v>Yes</v>
          </cell>
        </row>
        <row r="129">
          <cell r="G129" t="str">
            <v>Plot has Corporatio road access.</v>
          </cell>
        </row>
        <row r="135">
          <cell r="G135">
            <v>3</v>
          </cell>
        </row>
        <row r="145">
          <cell r="G145" t="str">
            <v>Eby's tution centre</v>
          </cell>
        </row>
        <row r="147">
          <cell r="G147" t="str">
            <v>9.916215, 76.282815</v>
          </cell>
        </row>
        <row r="149">
          <cell r="G149" t="str">
            <v>Palluruthy</v>
          </cell>
        </row>
        <row r="151">
          <cell r="G151">
            <v>682006</v>
          </cell>
        </row>
        <row r="153">
          <cell r="G153" t="str">
            <v>Outskirts of Town</v>
          </cell>
        </row>
        <row r="155">
          <cell r="G155" t="str">
            <v>Residential</v>
          </cell>
        </row>
        <row r="157">
          <cell r="G157" t="str">
            <v>Plain</v>
          </cell>
        </row>
        <row r="159">
          <cell r="G159" t="str">
            <v>Narrow Frontage</v>
          </cell>
        </row>
        <row r="161">
          <cell r="G161" t="str">
            <v>Same Level</v>
          </cell>
        </row>
        <row r="163">
          <cell r="G163" t="str">
            <v>Approx. Rectangle</v>
          </cell>
        </row>
        <row r="165">
          <cell r="G165" t="str">
            <v>Good Vista</v>
          </cell>
        </row>
        <row r="167">
          <cell r="G167" t="str">
            <v>Public water supply</v>
          </cell>
        </row>
        <row r="169">
          <cell r="G169" t="str">
            <v>Single-Phase Permanent electricity Connection</v>
          </cell>
        </row>
        <row r="171">
          <cell r="G171" t="str">
            <v>Septic Tank</v>
          </cell>
        </row>
        <row r="173">
          <cell r="G173">
            <v>6</v>
          </cell>
        </row>
        <row r="175">
          <cell r="G175">
            <v>3.2</v>
          </cell>
        </row>
        <row r="177">
          <cell r="G177">
            <v>1.5</v>
          </cell>
        </row>
        <row r="179">
          <cell r="G179">
            <v>6.5</v>
          </cell>
        </row>
        <row r="181">
          <cell r="G181">
            <v>0.8</v>
          </cell>
        </row>
        <row r="183">
          <cell r="G183">
            <v>1</v>
          </cell>
        </row>
        <row r="185">
          <cell r="G185" t="str">
            <v>Good</v>
          </cell>
        </row>
        <row r="187">
          <cell r="G187" t="str">
            <v>Good</v>
          </cell>
        </row>
        <row r="189">
          <cell r="G189" t="str">
            <v>Good</v>
          </cell>
        </row>
        <row r="193">
          <cell r="G193"/>
        </row>
        <row r="195">
          <cell r="G195"/>
        </row>
        <row r="197">
          <cell r="G197"/>
        </row>
        <row r="199">
          <cell r="G199"/>
        </row>
        <row r="201">
          <cell r="G201"/>
        </row>
        <row r="203">
          <cell r="G203"/>
        </row>
        <row r="205">
          <cell r="G205"/>
        </row>
        <row r="207">
          <cell r="G207"/>
        </row>
        <row r="209">
          <cell r="G209"/>
        </row>
        <row r="211">
          <cell r="G211"/>
        </row>
        <row r="213">
          <cell r="G213"/>
        </row>
        <row r="215">
          <cell r="G215"/>
        </row>
        <row r="217">
          <cell r="G217"/>
        </row>
        <row r="219">
          <cell r="G219"/>
          <cell r="J219"/>
        </row>
        <row r="221">
          <cell r="G221" t="str">
            <v>No</v>
          </cell>
        </row>
        <row r="223">
          <cell r="G223"/>
        </row>
        <row r="227">
          <cell r="G227" t="str">
            <v>Redy-Normal Building</v>
          </cell>
        </row>
        <row r="229">
          <cell r="G229" t="str">
            <v>Residential-A1</v>
          </cell>
        </row>
        <row r="231">
          <cell r="G231" t="str">
            <v>Owner Occupied</v>
          </cell>
        </row>
        <row r="233">
          <cell r="G233"/>
        </row>
        <row r="235">
          <cell r="G235">
            <v>1</v>
          </cell>
        </row>
        <row r="237">
          <cell r="G237">
            <v>2015</v>
          </cell>
        </row>
        <row r="239">
          <cell r="G239" t="str">
            <v>14/2018</v>
          </cell>
        </row>
        <row r="241">
          <cell r="G241"/>
        </row>
        <row r="243">
          <cell r="G243"/>
        </row>
        <row r="245">
          <cell r="G245"/>
        </row>
        <row r="247">
          <cell r="G247"/>
        </row>
        <row r="249">
          <cell r="G249" t="str">
            <v>NA</v>
          </cell>
        </row>
        <row r="251">
          <cell r="G251" t="str">
            <v>GF+1</v>
          </cell>
        </row>
        <row r="253">
          <cell r="G253">
            <v>4</v>
          </cell>
        </row>
        <row r="255">
          <cell r="G255">
            <v>1</v>
          </cell>
        </row>
        <row r="257">
          <cell r="G257">
            <v>3</v>
          </cell>
        </row>
        <row r="259">
          <cell r="G259" t="str">
            <v>RR Masonery</v>
          </cell>
        </row>
        <row r="261">
          <cell r="G261" t="str">
            <v>Load Bearing Structure</v>
          </cell>
        </row>
        <row r="263">
          <cell r="G263" t="str">
            <v>RCC Roof</v>
          </cell>
        </row>
        <row r="265">
          <cell r="G265" t="str">
            <v>Vitrified tiles</v>
          </cell>
        </row>
        <row r="267">
          <cell r="G267" t="str">
            <v>Front Door with Country wood,</v>
          </cell>
          <cell r="J267" t="str">
            <v>Other Frames and Shutters with Country Woods, Fiber Doors</v>
          </cell>
        </row>
        <row r="269">
          <cell r="G269" t="str">
            <v>Standard</v>
          </cell>
        </row>
        <row r="271">
          <cell r="G271" t="str">
            <v>Standard</v>
          </cell>
        </row>
        <row r="275">
          <cell r="G275" t="str">
            <v>Concrete Slab</v>
          </cell>
          <cell r="J275" t="str">
            <v>Granite Finish</v>
          </cell>
          <cell r="S275" t="str">
            <v>Concrete Slab , Granite Finish</v>
          </cell>
        </row>
        <row r="277">
          <cell r="G277" t="str">
            <v>Good</v>
          </cell>
        </row>
        <row r="279">
          <cell r="G279">
            <v>4.5</v>
          </cell>
        </row>
        <row r="281">
          <cell r="G281">
            <v>1.5</v>
          </cell>
        </row>
        <row r="283">
          <cell r="G283">
            <v>2.2000000000000002</v>
          </cell>
        </row>
        <row r="285">
          <cell r="G285">
            <v>1.5</v>
          </cell>
        </row>
        <row r="287">
          <cell r="G287" t="str">
            <v>No</v>
          </cell>
        </row>
        <row r="289">
          <cell r="G289" t="str">
            <v>Good</v>
          </cell>
        </row>
        <row r="291">
          <cell r="G291" t="str">
            <v>Good</v>
          </cell>
        </row>
        <row r="295">
          <cell r="G295">
            <v>167.28</v>
          </cell>
        </row>
        <row r="297">
          <cell r="G297">
            <v>269.51</v>
          </cell>
        </row>
        <row r="303">
          <cell r="G303">
            <v>5.5</v>
          </cell>
        </row>
      </sheetData>
      <sheetData sheetId="6"/>
      <sheetData sheetId="7"/>
      <sheetData sheetId="8"/>
      <sheetData sheetId="9"/>
      <sheetData sheetId="10"/>
      <sheetData sheetId="11"/>
      <sheetData sheetId="12"/>
      <sheetData sheetId="13"/>
      <sheetData sheetId="14"/>
      <sheetData sheetId="15"/>
      <sheetData sheetId="16"/>
      <sheetData sheetId="17"/>
      <sheetData sheetId="18">
        <row r="112">
          <cell r="A112" t="str">
            <v>Ernakulam</v>
          </cell>
          <cell r="B112" t="str">
            <v>EKM</v>
          </cell>
        </row>
        <row r="113">
          <cell r="A113" t="str">
            <v>Alappuzha</v>
          </cell>
          <cell r="B113" t="str">
            <v>ALP</v>
          </cell>
        </row>
        <row r="114">
          <cell r="A114" t="str">
            <v>Kottayam</v>
          </cell>
          <cell r="B114" t="str">
            <v>KOT</v>
          </cell>
        </row>
        <row r="115">
          <cell r="A115" t="str">
            <v>Thrissur</v>
          </cell>
          <cell r="B115" t="str">
            <v>TSR</v>
          </cell>
        </row>
        <row r="116">
          <cell r="A116" t="str">
            <v>Kannur</v>
          </cell>
          <cell r="B116" t="str">
            <v>KNR</v>
          </cell>
        </row>
        <row r="117">
          <cell r="A117" t="str">
            <v>Kollam</v>
          </cell>
          <cell r="B117" t="str">
            <v>KOL</v>
          </cell>
        </row>
        <row r="118">
          <cell r="A118" t="str">
            <v>Trivandrum</v>
          </cell>
          <cell r="B118" t="str">
            <v>TVM</v>
          </cell>
        </row>
        <row r="119">
          <cell r="A119" t="str">
            <v>Pathanamthitta</v>
          </cell>
          <cell r="B119" t="str">
            <v>PTM</v>
          </cell>
        </row>
        <row r="120">
          <cell r="A120" t="str">
            <v>Idukki</v>
          </cell>
          <cell r="B120" t="str">
            <v>IDK</v>
          </cell>
        </row>
        <row r="121">
          <cell r="A121" t="str">
            <v>Palakkad</v>
          </cell>
          <cell r="B121" t="str">
            <v>PKD</v>
          </cell>
        </row>
        <row r="122">
          <cell r="A122" t="str">
            <v>Malappuram</v>
          </cell>
          <cell r="B122" t="str">
            <v>MLP</v>
          </cell>
        </row>
        <row r="123">
          <cell r="A123" t="str">
            <v>Kozhikode</v>
          </cell>
          <cell r="B123" t="str">
            <v>KZK</v>
          </cell>
        </row>
        <row r="124">
          <cell r="A124" t="str">
            <v>Waynad</v>
          </cell>
          <cell r="B124" t="str">
            <v>WYN</v>
          </cell>
        </row>
        <row r="125">
          <cell r="A125" t="str">
            <v>Kasarkod</v>
          </cell>
          <cell r="B125" t="str">
            <v>KSG</v>
          </cell>
        </row>
      </sheetData>
      <sheetData sheetId="19">
        <row r="2">
          <cell r="D2" t="str">
            <v>HFC</v>
          </cell>
          <cell r="E2" t="str">
            <v>HDFC</v>
          </cell>
          <cell r="F2" t="str">
            <v>HL-Purchase</v>
          </cell>
          <cell r="G2" t="str">
            <v>LAND</v>
          </cell>
        </row>
        <row r="3">
          <cell r="D3" t="str">
            <v>MFC</v>
          </cell>
          <cell r="E3" t="str">
            <v>Muthoot Fincorp</v>
          </cell>
          <cell r="F3" t="str">
            <v>HL-Construction</v>
          </cell>
          <cell r="G3" t="str">
            <v>CONS</v>
          </cell>
        </row>
        <row r="4">
          <cell r="D4" t="str">
            <v>BAJ</v>
          </cell>
          <cell r="E4" t="str">
            <v>Bajaj Finance Ltd</v>
          </cell>
          <cell r="F4" t="str">
            <v>HL-Renovation</v>
          </cell>
          <cell r="G4" t="str">
            <v>RENO</v>
          </cell>
        </row>
        <row r="5">
          <cell r="D5" t="str">
            <v>PNB</v>
          </cell>
          <cell r="E5" t="str">
            <v>PNB Housing Finance Ltd</v>
          </cell>
          <cell r="F5" t="str">
            <v>Hl-Improvement</v>
          </cell>
          <cell r="G5" t="str">
            <v>IMPR</v>
          </cell>
        </row>
        <row r="6">
          <cell r="D6" t="str">
            <v>DCB</v>
          </cell>
          <cell r="E6" t="str">
            <v>DCB</v>
          </cell>
          <cell r="F6" t="str">
            <v>HL-Extension</v>
          </cell>
          <cell r="G6" t="str">
            <v>EXTE</v>
          </cell>
        </row>
        <row r="7">
          <cell r="D7" t="str">
            <v>SBI</v>
          </cell>
          <cell r="E7" t="str">
            <v>Axis Bank</v>
          </cell>
          <cell r="F7" t="str">
            <v>HL-Self Construction</v>
          </cell>
          <cell r="G7" t="str">
            <v>HLSC</v>
          </cell>
        </row>
        <row r="8">
          <cell r="F8" t="str">
            <v>HL-Plot + Construction</v>
          </cell>
          <cell r="G8" t="str">
            <v>HLPC</v>
          </cell>
        </row>
        <row r="9">
          <cell r="F9" t="str">
            <v>HL-Refinance</v>
          </cell>
          <cell r="G9" t="str">
            <v>HLRF</v>
          </cell>
        </row>
        <row r="10">
          <cell r="F10" t="str">
            <v>Loan Against Property</v>
          </cell>
          <cell r="G10" t="str">
            <v>LAPL</v>
          </cell>
        </row>
        <row r="11">
          <cell r="F11" t="str">
            <v>Take Over</v>
          </cell>
          <cell r="G11" t="str">
            <v>TAKO</v>
          </cell>
        </row>
        <row r="12">
          <cell r="F12" t="str">
            <v>Partial_Dirusbursement</v>
          </cell>
          <cell r="G12" t="str">
            <v>PDPD</v>
          </cell>
        </row>
        <row r="13">
          <cell r="F13" t="str">
            <v>Top Up</v>
          </cell>
          <cell r="G13" t="str">
            <v>TOUP</v>
          </cell>
        </row>
        <row r="14">
          <cell r="F14" t="str">
            <v>Business Loan[LAP]</v>
          </cell>
          <cell r="G14" t="str">
            <v>BLLP</v>
          </cell>
        </row>
        <row r="15">
          <cell r="F15" t="str">
            <v>Business Loan[Commercial]</v>
          </cell>
          <cell r="G15" t="str">
            <v>BLCL</v>
          </cell>
        </row>
        <row r="16">
          <cell r="F16" t="str">
            <v>SBL/MicroLap</v>
          </cell>
          <cell r="G16" t="str">
            <v>SBLM</v>
          </cell>
        </row>
      </sheetData>
      <sheetData sheetId="20">
        <row r="17">
          <cell r="L17"/>
        </row>
        <row r="19">
          <cell r="E19" t="str">
            <v>Land and Building</v>
          </cell>
        </row>
        <row r="20">
          <cell r="J20"/>
        </row>
        <row r="106">
          <cell r="J106"/>
        </row>
        <row r="109">
          <cell r="J109"/>
        </row>
        <row r="112">
          <cell r="J112"/>
        </row>
        <row r="239">
          <cell r="D239"/>
        </row>
        <row r="241">
          <cell r="J241"/>
        </row>
      </sheetData>
      <sheetData sheetId="21"/>
      <sheetData sheetId="22"/>
      <sheetData sheetId="23"/>
      <sheetData sheetId="24"/>
      <sheetData sheetId="25"/>
      <sheetData sheetId="26"/>
      <sheetData sheetId="27"/>
      <sheetData sheetId="28"/>
      <sheetData sheetId="29"/>
      <sheetData sheetId="30"/>
      <sheetData sheetId="31"/>
      <sheetData sheetId="32"/>
      <sheetData sheetId="3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lipFill>
          <a:stretch>
            <a:fillRect/>
          </a:stretch>
        </a:blipFill>
        <a:ln w="57150">
          <a:solidFill>
            <a:schemeClr val="tx2">
              <a:lumMod val="60000"/>
              <a:lumOff val="40000"/>
            </a:schemeClr>
          </a:solidFill>
        </a:ln>
      </a:spPr>
      <a:bodyPr vertOverflow="clip" horzOverflow="clip" rtlCol="0" anchor="t"/>
      <a:lstStyle>
        <a:defPPr algn="l">
          <a:defRPr sz="1200" b="1"/>
        </a:defPPr>
      </a:lstStyle>
      <a:style>
        <a:lnRef idx="0">
          <a:schemeClr val="accent3"/>
        </a:lnRef>
        <a:fillRef idx="3">
          <a:schemeClr val="accent3"/>
        </a:fillRef>
        <a:effectRef idx="3">
          <a:schemeClr val="accent3"/>
        </a:effectRef>
        <a:fontRef idx="minor">
          <a:schemeClr val="lt1"/>
        </a:fontRef>
      </a:style>
    </a:sp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8" Type="http://schemas.openxmlformats.org/officeDocument/2006/relationships/hyperlink" Target="https://vai.bmtpc.org/landslide.html" TargetMode="External"/><Relationship Id="rId13" Type="http://schemas.openxmlformats.org/officeDocument/2006/relationships/hyperlink" Target="https://lsgkerala.gov.in/htm/kmbr/kmbr_chapter22.html%20%20and%20refer%20master%20plan%20of%20respective%20city" TargetMode="External"/><Relationship Id="rId18" Type="http://schemas.openxmlformats.org/officeDocument/2006/relationships/hyperlink" Target="https://forests.gujarat.gov.in/forest-gis-map.htm,%20https:/evanlekh.eforest.delhi.gov.in/reserved.html,%20https:/forestonline.bihar.gov.in/forestadminboundarywebmap/index.html,%20http:/stategisportal.nic.in/stategisportal/Home/State/28" TargetMode="External"/><Relationship Id="rId26" Type="http://schemas.openxmlformats.org/officeDocument/2006/relationships/hyperlink" Target="https://lsgkerala.gov.in/htm/kmbr/kmbr_chapter22.html%20%20and%20refer%20master%20plan%20of%20respective%20city" TargetMode="External"/><Relationship Id="rId3" Type="http://schemas.openxmlformats.org/officeDocument/2006/relationships/hyperlink" Target="https://dgde.gov.in/en/autonomous-bodies-institutions-under-directorate-general-defence-estates/" TargetMode="External"/><Relationship Id="rId21" Type="http://schemas.openxmlformats.org/officeDocument/2006/relationships/hyperlink" Target="https://vai.bmtpc.org/landslide.html" TargetMode="External"/><Relationship Id="rId7" Type="http://schemas.openxmlformats.org/officeDocument/2006/relationships/hyperlink" Target="https://vai.bmtpc.org/flood.html" TargetMode="External"/><Relationship Id="rId12" Type="http://schemas.openxmlformats.org/officeDocument/2006/relationships/hyperlink" Target="https://play.google.com/store/apps/details?id=com.ksrsac.sslr&amp;pcampaignid=web_share" TargetMode="External"/><Relationship Id="rId17" Type="http://schemas.openxmlformats.org/officeDocument/2006/relationships/hyperlink" Target="https://czmp.ncscm.res.in/" TargetMode="External"/><Relationship Id="rId25" Type="http://schemas.openxmlformats.org/officeDocument/2006/relationships/hyperlink" Target="https://play.google.com/store/apps/details?id=com.ksrsac.sslr&amp;pcampaignid=web_share" TargetMode="External"/><Relationship Id="rId2" Type="http://schemas.openxmlformats.org/officeDocument/2006/relationships/hyperlink" Target="https://ddpdoo.gov.in/pages/defence-public-sector-undertakings-dpsus-1" TargetMode="External"/><Relationship Id="rId16" Type="http://schemas.openxmlformats.org/officeDocument/2006/relationships/hyperlink" Target="https://dgde.gov.in/en/autonomous-bodies-institutions-under-directorate-general-defence-estates/" TargetMode="External"/><Relationship Id="rId20" Type="http://schemas.openxmlformats.org/officeDocument/2006/relationships/hyperlink" Target="https://vai.bmtpc.org/flood.html" TargetMode="External"/><Relationship Id="rId1" Type="http://schemas.openxmlformats.org/officeDocument/2006/relationships/hyperlink" Target="https://nocas2.aai.aero/nocas/CCZMPage.html" TargetMode="External"/><Relationship Id="rId6" Type="http://schemas.openxmlformats.org/officeDocument/2006/relationships/hyperlink" Target="https://wiienvis.nic.in/Database/npa_8231.aspx" TargetMode="External"/><Relationship Id="rId11" Type="http://schemas.openxmlformats.org/officeDocument/2006/relationships/hyperlink" Target="https://bhuvan-app1.nrsc.gov.in/culture_monuments/" TargetMode="External"/><Relationship Id="rId24" Type="http://schemas.openxmlformats.org/officeDocument/2006/relationships/hyperlink" Target="https://bhuvan-app1.nrsc.gov.in/culture_monuments/" TargetMode="External"/><Relationship Id="rId5" Type="http://schemas.openxmlformats.org/officeDocument/2006/relationships/hyperlink" Target="https://forests.gujarat.gov.in/forest-gis-map.htm,%20https:/evanlekh.eforest.delhi.gov.in/reserved.html,%20https:/forestonline.bihar.gov.in/forestadminboundarywebmap/index.html,%20http:/stategisportal.nic.in/stategisportal/Home/State/28" TargetMode="External"/><Relationship Id="rId15" Type="http://schemas.openxmlformats.org/officeDocument/2006/relationships/hyperlink" Target="https://ddpdoo.gov.in/pages/defence-public-sector-undertakings-dpsus-1" TargetMode="External"/><Relationship Id="rId23" Type="http://schemas.openxmlformats.org/officeDocument/2006/relationships/hyperlink" Target="https://cdnbbsr.s3waas.gov.in/s316026d60ff9b54410b3435b403afd226/uploads/2023/03/2023032444.pdf" TargetMode="External"/><Relationship Id="rId10" Type="http://schemas.openxmlformats.org/officeDocument/2006/relationships/hyperlink" Target="https://cdnbbsr.s3waas.gov.in/s316026d60ff9b54410b3435b403afd226/uploads/2023/03/2023032444.pdf" TargetMode="External"/><Relationship Id="rId19" Type="http://schemas.openxmlformats.org/officeDocument/2006/relationships/hyperlink" Target="https://wiienvis.nic.in/Database/npa_8231.aspx" TargetMode="External"/><Relationship Id="rId4" Type="http://schemas.openxmlformats.org/officeDocument/2006/relationships/hyperlink" Target="https://czmp.ncscm.res.in/" TargetMode="External"/><Relationship Id="rId9" Type="http://schemas.openxmlformats.org/officeDocument/2006/relationships/hyperlink" Target="https://vai.bmtpc.org/eq.html" TargetMode="External"/><Relationship Id="rId14" Type="http://schemas.openxmlformats.org/officeDocument/2006/relationships/hyperlink" Target="https://nocas2.aai.aero/nocas/CCZMPage.html" TargetMode="External"/><Relationship Id="rId22" Type="http://schemas.openxmlformats.org/officeDocument/2006/relationships/hyperlink" Target="https://vai.bmtpc.org/eq.html" TargetMode="External"/><Relationship Id="rId27"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C1:R10"/>
  <sheetViews>
    <sheetView workbookViewId="0">
      <selection activeCell="C4" sqref="C4"/>
    </sheetView>
  </sheetViews>
  <sheetFormatPr defaultColWidth="9.26953125" defaultRowHeight="15.5"/>
  <cols>
    <col min="1" max="2" width="9.26953125" style="388"/>
    <col min="3" max="6" width="18.7265625" style="388" customWidth="1"/>
    <col min="7" max="7" width="12.453125" style="388" hidden="1" customWidth="1"/>
    <col min="8" max="8" width="4.54296875" style="388" customWidth="1"/>
    <col min="9" max="9" width="27.26953125" style="388" hidden="1" customWidth="1"/>
    <col min="10" max="11" width="9.26953125" style="388" hidden="1" customWidth="1"/>
    <col min="12" max="18" width="10.7265625" style="389" customWidth="1"/>
    <col min="19" max="16384" width="9.26953125" style="388"/>
  </cols>
  <sheetData>
    <row r="1" spans="3:18" ht="31.5">
      <c r="C1" s="428" t="s">
        <v>0</v>
      </c>
      <c r="D1" s="428"/>
      <c r="E1" s="428"/>
      <c r="F1" s="428"/>
      <c r="G1" s="428"/>
      <c r="H1" s="428"/>
      <c r="I1" s="428"/>
      <c r="J1" s="428"/>
      <c r="K1" s="428"/>
      <c r="L1" s="428"/>
      <c r="M1" s="428"/>
      <c r="N1" s="428"/>
      <c r="O1" s="428"/>
      <c r="P1" s="428"/>
      <c r="Q1" s="428"/>
      <c r="R1" s="428"/>
    </row>
    <row r="2" spans="3:18">
      <c r="L2" s="388"/>
      <c r="M2" s="388"/>
      <c r="N2" s="388"/>
      <c r="O2" s="388"/>
      <c r="P2" s="388"/>
      <c r="Q2" s="388"/>
      <c r="R2" s="388"/>
    </row>
    <row r="3" spans="3:18" ht="31">
      <c r="C3" s="390" t="s">
        <v>1</v>
      </c>
      <c r="D3" s="391" t="s">
        <v>2</v>
      </c>
      <c r="E3" s="391" t="s">
        <v>3</v>
      </c>
      <c r="F3" s="392"/>
      <c r="G3" s="392"/>
      <c r="H3" s="393"/>
      <c r="I3" s="393"/>
      <c r="J3" s="393"/>
      <c r="K3" s="393"/>
      <c r="L3" s="407" t="s">
        <v>4</v>
      </c>
      <c r="M3" s="408" t="s">
        <v>5</v>
      </c>
      <c r="N3" s="408" t="s">
        <v>6</v>
      </c>
      <c r="O3" s="409"/>
      <c r="P3" s="410" t="s">
        <v>6</v>
      </c>
      <c r="Q3" s="408" t="s">
        <v>5</v>
      </c>
      <c r="R3" s="418" t="s">
        <v>4</v>
      </c>
    </row>
    <row r="4" spans="3:18">
      <c r="C4" s="394">
        <v>5.5</v>
      </c>
      <c r="D4" s="395">
        <f>ROUND(C4*100000/40.47,0)</f>
        <v>13590</v>
      </c>
      <c r="E4" s="395">
        <f>ROUND(D4/10.76,0)</f>
        <v>1263</v>
      </c>
      <c r="F4" s="392"/>
      <c r="G4" s="392"/>
      <c r="H4" s="393"/>
      <c r="I4" s="393"/>
      <c r="J4" s="393"/>
      <c r="K4" s="393"/>
      <c r="L4" s="411">
        <v>10</v>
      </c>
      <c r="M4" s="412"/>
      <c r="N4" s="413">
        <f>ROUND(L4/10.76,3)</f>
        <v>0.92900000000000005</v>
      </c>
      <c r="O4" s="414"/>
      <c r="P4" s="411">
        <v>10</v>
      </c>
      <c r="Q4" s="412"/>
      <c r="R4" s="419">
        <f>ROUND(P4*10.76,2)</f>
        <v>107.6</v>
      </c>
    </row>
    <row r="5" spans="3:18">
      <c r="C5" s="392"/>
      <c r="D5" s="392"/>
      <c r="E5" s="392"/>
      <c r="F5" s="392"/>
      <c r="G5" s="392"/>
      <c r="H5" s="393"/>
      <c r="I5" s="393"/>
      <c r="J5" s="393"/>
      <c r="K5" s="393"/>
      <c r="L5" s="393"/>
      <c r="M5" s="393"/>
      <c r="N5" s="415"/>
      <c r="O5" s="393"/>
      <c r="P5" s="393"/>
      <c r="Q5" s="393"/>
      <c r="R5" s="415"/>
    </row>
    <row r="6" spans="3:18">
      <c r="C6" s="390"/>
      <c r="D6" s="396" t="s">
        <v>7</v>
      </c>
      <c r="E6" s="396" t="s">
        <v>8</v>
      </c>
      <c r="F6" s="391" t="s">
        <v>9</v>
      </c>
      <c r="G6" s="392"/>
      <c r="H6" s="393"/>
      <c r="I6" s="393"/>
      <c r="J6" s="393"/>
      <c r="K6" s="393"/>
      <c r="L6" s="407" t="s">
        <v>10</v>
      </c>
      <c r="M6" s="408" t="s">
        <v>5</v>
      </c>
      <c r="N6" s="416" t="s">
        <v>11</v>
      </c>
      <c r="O6" s="409"/>
      <c r="P6" s="410" t="s">
        <v>11</v>
      </c>
      <c r="Q6" s="408" t="s">
        <v>5</v>
      </c>
      <c r="R6" s="420" t="s">
        <v>10</v>
      </c>
    </row>
    <row r="7" spans="3:18" ht="31">
      <c r="C7" s="397" t="s">
        <v>12</v>
      </c>
      <c r="D7" s="398">
        <v>2500</v>
      </c>
      <c r="E7" s="399">
        <f>(1-G7)*D7</f>
        <v>2000</v>
      </c>
      <c r="F7" s="400">
        <f>ROUND(E7*10.76,0)</f>
        <v>21520</v>
      </c>
      <c r="G7" s="401">
        <f>ROUND((0.9*G8/F9),2)</f>
        <v>0.2</v>
      </c>
      <c r="H7" s="393"/>
      <c r="I7" s="393" t="s">
        <v>13</v>
      </c>
      <c r="J7" s="393">
        <v>45</v>
      </c>
      <c r="K7" s="393"/>
      <c r="L7" s="411">
        <v>5.25</v>
      </c>
      <c r="M7" s="412"/>
      <c r="N7" s="413">
        <f>ROUND(L7*100/40.47,3)</f>
        <v>12.973000000000001</v>
      </c>
      <c r="O7" s="414"/>
      <c r="P7" s="411">
        <v>5.5</v>
      </c>
      <c r="Q7" s="412"/>
      <c r="R7" s="419">
        <f>ROUND(P7*40.47/100,2)</f>
        <v>2.23</v>
      </c>
    </row>
    <row r="8" spans="3:18" ht="31">
      <c r="C8" s="402" t="s">
        <v>14</v>
      </c>
      <c r="D8" s="398">
        <v>2014</v>
      </c>
      <c r="E8" s="403" t="s">
        <v>15</v>
      </c>
      <c r="F8" s="404">
        <f>2024-D8</f>
        <v>10</v>
      </c>
      <c r="G8" s="401">
        <f>IF(F8&gt;F9,F9,F8)</f>
        <v>10</v>
      </c>
      <c r="H8" s="393"/>
      <c r="I8" s="393" t="s">
        <v>16</v>
      </c>
      <c r="J8" s="393">
        <v>40</v>
      </c>
      <c r="K8" s="393"/>
      <c r="N8" s="417"/>
      <c r="R8" s="417"/>
    </row>
    <row r="9" spans="3:18" ht="31">
      <c r="C9" s="405" t="s">
        <v>17</v>
      </c>
      <c r="D9" s="406" t="s">
        <v>13</v>
      </c>
      <c r="E9" s="404" t="s">
        <v>18</v>
      </c>
      <c r="F9" s="404">
        <f>VLOOKUP(D9,I7:J9,2,FALSE)</f>
        <v>45</v>
      </c>
      <c r="G9" s="392"/>
      <c r="H9" s="393"/>
      <c r="I9" s="393" t="s">
        <v>19</v>
      </c>
      <c r="J9" s="393">
        <v>35</v>
      </c>
      <c r="K9" s="393"/>
      <c r="L9" s="407" t="s">
        <v>10</v>
      </c>
      <c r="M9" s="408" t="s">
        <v>5</v>
      </c>
      <c r="N9" s="416" t="s">
        <v>4</v>
      </c>
      <c r="O9" s="409"/>
      <c r="P9" s="410" t="s">
        <v>4</v>
      </c>
      <c r="Q9" s="408" t="s">
        <v>5</v>
      </c>
      <c r="R9" s="420" t="s">
        <v>10</v>
      </c>
    </row>
    <row r="10" spans="3:18">
      <c r="C10" s="392"/>
      <c r="D10" s="392"/>
      <c r="E10" s="392"/>
      <c r="F10" s="392"/>
      <c r="G10" s="392"/>
      <c r="H10" s="393"/>
      <c r="I10" s="393"/>
      <c r="J10" s="393"/>
      <c r="K10" s="393"/>
      <c r="L10" s="411">
        <v>2.02</v>
      </c>
      <c r="M10" s="412"/>
      <c r="N10" s="413">
        <f>ROUND(L10*100*10.76,0)</f>
        <v>2174</v>
      </c>
      <c r="O10" s="414"/>
      <c r="P10" s="411">
        <v>2174</v>
      </c>
      <c r="Q10" s="412"/>
      <c r="R10" s="419">
        <f>ROUND(P10/100/10.76,2)</f>
        <v>2.02</v>
      </c>
    </row>
  </sheetData>
  <sheetProtection algorithmName="SHA-512" hashValue="zOBB0JWxzXaLrrg+j9zhvW5zoMTW7/ZeE7H9i0Y2FblSja3IF6v02ft1xLpn84j5U8jDOTNVkgPiMKrDf+K2AA==" saltValue="kE9L6iPgyNmb1Oc1hz1ggQ==" spinCount="100000" sheet="1" objects="1" scenarios="1" selectLockedCells="1"/>
  <mergeCells count="1">
    <mergeCell ref="C1:R1"/>
  </mergeCells>
  <dataValidations count="1">
    <dataValidation type="list" allowBlank="1" showInputMessage="1" showErrorMessage="1" sqref="D9" xr:uid="{00000000-0002-0000-0000-000000000000}">
      <formula1>$I$7:$I$9</formula1>
    </dataValidation>
  </dataValidation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6"/>
  <dimension ref="B1:Y757"/>
  <sheetViews>
    <sheetView tabSelected="1" workbookViewId="0">
      <selection activeCell="F7" sqref="F7:J7"/>
    </sheetView>
  </sheetViews>
  <sheetFormatPr defaultColWidth="8.26953125" defaultRowHeight="20.149999999999999" customHeight="1"/>
  <cols>
    <col min="1" max="1" width="8.26953125" style="338"/>
    <col min="2" max="2" width="8.26953125" style="339"/>
    <col min="3" max="4" width="8.26953125" style="340"/>
    <col min="5" max="8" width="8.26953125" style="341"/>
    <col min="9" max="9" width="8.26953125" style="342"/>
    <col min="10" max="11" width="8.26953125" style="341"/>
    <col min="12" max="12" width="11.54296875" style="341" customWidth="1"/>
    <col min="13" max="13" width="8.26953125" style="343"/>
    <col min="14" max="18" width="8.26953125" style="338"/>
    <col min="19" max="19" width="12.26953125" style="338" customWidth="1"/>
    <col min="20" max="24" width="8.26953125" style="338"/>
    <col min="25" max="25" width="8.26953125" style="339"/>
    <col min="26" max="16384" width="8.26953125" style="338"/>
  </cols>
  <sheetData>
    <row r="1" spans="2:25" s="337" customFormat="1" ht="20.149999999999999" customHeight="1">
      <c r="B1" s="454" t="s">
        <v>20</v>
      </c>
      <c r="C1" s="454"/>
      <c r="D1" s="454"/>
      <c r="E1" s="454"/>
      <c r="F1" s="454"/>
      <c r="G1" s="454"/>
      <c r="H1" s="454"/>
      <c r="I1" s="362"/>
      <c r="J1" s="363"/>
      <c r="K1" s="363"/>
      <c r="L1" s="363"/>
      <c r="M1" s="363"/>
    </row>
    <row r="2" spans="2:25" ht="20.149999999999999" customHeight="1">
      <c r="B2" s="344"/>
      <c r="C2" s="345"/>
      <c r="D2" s="345"/>
      <c r="E2" s="346"/>
      <c r="F2" s="346"/>
      <c r="G2" s="346"/>
      <c r="H2" s="346"/>
      <c r="I2" s="364"/>
      <c r="J2" s="346"/>
      <c r="K2" s="346"/>
      <c r="L2" s="346"/>
      <c r="M2" s="365"/>
      <c r="N2" s="365"/>
      <c r="O2" s="365"/>
      <c r="P2" s="365"/>
      <c r="Q2" s="365"/>
      <c r="R2" s="365"/>
      <c r="S2" s="365"/>
      <c r="T2" s="365"/>
      <c r="U2" s="365"/>
      <c r="V2" s="365"/>
      <c r="W2" s="365"/>
      <c r="X2" s="365"/>
      <c r="Y2" s="384"/>
    </row>
    <row r="3" spans="2:25" ht="20.149999999999999" customHeight="1">
      <c r="B3" s="347"/>
      <c r="C3" s="348" t="s">
        <v>21</v>
      </c>
      <c r="D3" s="348"/>
      <c r="E3" s="455" t="s">
        <v>22</v>
      </c>
      <c r="F3" s="455"/>
      <c r="G3" s="455"/>
      <c r="H3" s="455"/>
      <c r="I3" s="455"/>
      <c r="J3" s="455"/>
      <c r="K3" s="455"/>
      <c r="L3" s="455"/>
      <c r="M3" s="456" t="s">
        <v>23</v>
      </c>
      <c r="N3" s="456"/>
      <c r="O3" s="456"/>
      <c r="P3" s="456"/>
      <c r="Q3" s="456"/>
      <c r="R3" s="456"/>
      <c r="S3" s="456"/>
      <c r="T3" s="456"/>
      <c r="U3" s="456"/>
      <c r="V3" s="456"/>
      <c r="W3" s="456"/>
      <c r="X3" s="456"/>
      <c r="Y3" s="385"/>
    </row>
    <row r="4" spans="2:25" ht="20.149999999999999" customHeight="1">
      <c r="B4" s="347"/>
      <c r="C4" s="349"/>
      <c r="D4" s="349"/>
      <c r="E4" s="349"/>
      <c r="F4" s="350"/>
      <c r="G4" s="350"/>
      <c r="H4" s="351"/>
      <c r="I4" s="366"/>
      <c r="J4" s="366"/>
      <c r="K4" s="350"/>
      <c r="L4" s="350"/>
      <c r="M4" s="444" t="s">
        <v>24</v>
      </c>
      <c r="N4" s="444"/>
      <c r="O4" s="444"/>
      <c r="P4" s="444"/>
      <c r="Q4" s="444"/>
      <c r="R4" s="444"/>
      <c r="S4" s="444"/>
      <c r="T4" s="444"/>
      <c r="U4" s="444"/>
      <c r="V4" s="444"/>
      <c r="W4" s="444"/>
      <c r="X4" s="444"/>
      <c r="Y4" s="385"/>
    </row>
    <row r="5" spans="2:25" ht="20.149999999999999" customHeight="1">
      <c r="B5" s="347" t="s">
        <v>25</v>
      </c>
      <c r="C5" s="431" t="s">
        <v>26</v>
      </c>
      <c r="D5" s="431"/>
      <c r="E5" s="431"/>
      <c r="F5" s="457">
        <v>704955429</v>
      </c>
      <c r="G5" s="442"/>
      <c r="H5" s="442"/>
      <c r="I5" s="442"/>
      <c r="J5" s="443"/>
      <c r="K5" s="353"/>
      <c r="L5" s="353"/>
      <c r="M5" s="458" t="str">
        <f>CONCATENATE(F5,"_",L9,"_",F7)</f>
        <v>704955429_RESL_VINOD KUMAR</v>
      </c>
      <c r="N5" s="459"/>
      <c r="O5" s="459"/>
      <c r="P5" s="459"/>
      <c r="Q5" s="459"/>
      <c r="R5" s="459"/>
      <c r="S5" s="459"/>
      <c r="T5" s="459"/>
      <c r="U5" s="459"/>
      <c r="V5" s="459"/>
      <c r="W5" s="459"/>
      <c r="X5" s="460"/>
      <c r="Y5" s="385"/>
    </row>
    <row r="6" spans="2:25" ht="20.149999999999999" customHeight="1">
      <c r="B6" s="347"/>
      <c r="C6" s="349"/>
      <c r="D6" s="349"/>
      <c r="E6" s="349"/>
      <c r="F6" s="350"/>
      <c r="G6" s="350"/>
      <c r="H6" s="352"/>
      <c r="I6" s="367"/>
      <c r="J6" s="368"/>
      <c r="K6" s="353"/>
      <c r="L6" s="353"/>
      <c r="M6" s="461"/>
      <c r="N6" s="462"/>
      <c r="O6" s="462"/>
      <c r="P6" s="462"/>
      <c r="Q6" s="462"/>
      <c r="R6" s="462"/>
      <c r="S6" s="462"/>
      <c r="T6" s="462"/>
      <c r="U6" s="462"/>
      <c r="V6" s="462"/>
      <c r="W6" s="462"/>
      <c r="X6" s="463"/>
      <c r="Y6" s="385"/>
    </row>
    <row r="7" spans="2:25" ht="19.5" customHeight="1">
      <c r="B7" s="347" t="s">
        <v>25</v>
      </c>
      <c r="C7" s="431" t="s">
        <v>27</v>
      </c>
      <c r="D7" s="431"/>
      <c r="E7" s="431"/>
      <c r="F7" s="457" t="s">
        <v>1575</v>
      </c>
      <c r="G7" s="442"/>
      <c r="H7" s="442"/>
      <c r="I7" s="442"/>
      <c r="J7" s="443"/>
      <c r="K7" s="369"/>
      <c r="L7" s="369"/>
      <c r="M7" s="444" t="s">
        <v>28</v>
      </c>
      <c r="N7" s="444"/>
      <c r="O7" s="444"/>
      <c r="P7" s="444"/>
      <c r="Q7" s="444"/>
      <c r="R7" s="444"/>
      <c r="S7" s="444"/>
      <c r="T7" s="444"/>
      <c r="U7" s="444"/>
      <c r="V7" s="444"/>
      <c r="W7" s="444"/>
      <c r="X7" s="444"/>
      <c r="Y7" s="385"/>
    </row>
    <row r="8" spans="2:25" ht="20.149999999999999" customHeight="1">
      <c r="B8" s="347"/>
      <c r="C8" s="349"/>
      <c r="D8" s="349"/>
      <c r="E8" s="349"/>
      <c r="F8" s="350"/>
      <c r="G8" s="350"/>
      <c r="H8" s="353"/>
      <c r="I8" s="340"/>
      <c r="J8" s="353"/>
      <c r="K8" s="353"/>
      <c r="L8" s="353"/>
      <c r="M8" s="445" t="str">
        <f ca="1">CONCATENATE("#",F7,"#_",L11,"_",TEXT(L15,"dd.mm.yyyy"),"_",F17,"_",F15,"_",F5,"_",L9)</f>
        <v>#VINOD KUMAR#_TVM_04.04.2026_118XXX_117VMJ_704955429_RESL</v>
      </c>
      <c r="N8" s="446"/>
      <c r="O8" s="446"/>
      <c r="P8" s="446"/>
      <c r="Q8" s="446"/>
      <c r="R8" s="446"/>
      <c r="S8" s="446"/>
      <c r="T8" s="446"/>
      <c r="U8" s="446"/>
      <c r="V8" s="446"/>
      <c r="W8" s="446"/>
      <c r="X8" s="447"/>
      <c r="Y8" s="385"/>
    </row>
    <row r="9" spans="2:25" ht="20.149999999999999" customHeight="1">
      <c r="B9" s="347" t="s">
        <v>25</v>
      </c>
      <c r="C9" s="431" t="s">
        <v>29</v>
      </c>
      <c r="D9" s="431"/>
      <c r="E9" s="431"/>
      <c r="F9" s="436" t="s">
        <v>548</v>
      </c>
      <c r="G9" s="433"/>
      <c r="H9" s="433"/>
      <c r="I9" s="433"/>
      <c r="J9" s="434"/>
      <c r="K9" s="369"/>
      <c r="L9" s="369" t="str">
        <f>VLOOKUP(F9,AppDropdown!F2:G12,2,FALSE)</f>
        <v>RESL</v>
      </c>
      <c r="M9" s="448"/>
      <c r="N9" s="449"/>
      <c r="O9" s="449"/>
      <c r="P9" s="449"/>
      <c r="Q9" s="449"/>
      <c r="R9" s="449"/>
      <c r="S9" s="449"/>
      <c r="T9" s="449"/>
      <c r="U9" s="449"/>
      <c r="V9" s="449"/>
      <c r="W9" s="449"/>
      <c r="X9" s="450"/>
      <c r="Y9" s="385"/>
    </row>
    <row r="10" spans="2:25" ht="20.149999999999999" customHeight="1">
      <c r="B10" s="347"/>
      <c r="C10" s="349"/>
      <c r="D10" s="349"/>
      <c r="E10" s="349"/>
      <c r="F10" s="350"/>
      <c r="G10" s="350"/>
      <c r="H10" s="351"/>
      <c r="I10" s="366"/>
      <c r="J10" s="366"/>
      <c r="K10" s="350"/>
      <c r="L10" s="350"/>
      <c r="M10" s="451"/>
      <c r="N10" s="452"/>
      <c r="O10" s="452"/>
      <c r="P10" s="452"/>
      <c r="Q10" s="452"/>
      <c r="R10" s="452"/>
      <c r="S10" s="452"/>
      <c r="T10" s="452"/>
      <c r="U10" s="452"/>
      <c r="V10" s="452"/>
      <c r="W10" s="452"/>
      <c r="X10" s="453"/>
      <c r="Y10" s="385"/>
    </row>
    <row r="11" spans="2:25" ht="20.149999999999999" customHeight="1">
      <c r="B11" s="347" t="s">
        <v>25</v>
      </c>
      <c r="C11" s="431" t="s">
        <v>31</v>
      </c>
      <c r="D11" s="431"/>
      <c r="E11" s="431"/>
      <c r="F11" s="436" t="s">
        <v>674</v>
      </c>
      <c r="G11" s="433"/>
      <c r="H11" s="433"/>
      <c r="I11" s="433"/>
      <c r="J11" s="434"/>
      <c r="K11" s="369"/>
      <c r="L11" s="369" t="str">
        <f>IF(VLOOKUP(F11,'101.Vlook Up'!A112:B125,2,FALSE)="ALP",L13,VLOOKUP(F11,'101.Vlook Up'!A112:B125,2,FALSE))</f>
        <v>TVM</v>
      </c>
      <c r="N11" s="343"/>
      <c r="O11" s="343"/>
      <c r="P11" s="343"/>
      <c r="Q11" s="343"/>
      <c r="R11" s="343"/>
      <c r="S11" s="343"/>
      <c r="T11" s="343"/>
      <c r="U11" s="343"/>
      <c r="V11" s="343"/>
      <c r="W11" s="343"/>
      <c r="X11" s="343"/>
      <c r="Y11" s="385"/>
    </row>
    <row r="12" spans="2:25" ht="20.149999999999999" customHeight="1">
      <c r="B12" s="347"/>
      <c r="C12" s="349"/>
      <c r="D12" s="349"/>
      <c r="E12" s="349"/>
      <c r="F12" s="350"/>
      <c r="G12" s="350"/>
      <c r="H12" s="352"/>
      <c r="I12" s="367"/>
      <c r="J12" s="368"/>
      <c r="K12" s="353"/>
      <c r="L12" s="353"/>
      <c r="N12" s="343"/>
      <c r="O12" s="343"/>
      <c r="P12" s="343"/>
      <c r="Q12" s="341"/>
      <c r="R12" s="374" t="s">
        <v>33</v>
      </c>
      <c r="S12" s="375">
        <f ca="1">TODAY()</f>
        <v>46116</v>
      </c>
      <c r="T12" s="376"/>
      <c r="U12" s="376"/>
      <c r="V12" s="376"/>
      <c r="W12" s="376"/>
      <c r="X12" s="377"/>
      <c r="Y12" s="386"/>
    </row>
    <row r="13" spans="2:25" ht="19.5" customHeight="1">
      <c r="B13" s="347" t="s">
        <v>25</v>
      </c>
      <c r="C13" s="431" t="s">
        <v>34</v>
      </c>
      <c r="D13" s="431"/>
      <c r="E13" s="431"/>
      <c r="F13" s="436" t="s">
        <v>35</v>
      </c>
      <c r="G13" s="433"/>
      <c r="H13" s="433"/>
      <c r="I13" s="433"/>
      <c r="J13" s="434"/>
      <c r="K13" s="369"/>
      <c r="L13" s="369" t="str">
        <f>VLOOKUP(F13,AppDropdown!AQ2:AR26,2,FALSE)</f>
        <v>ALP</v>
      </c>
      <c r="N13" s="343"/>
      <c r="O13" s="343"/>
      <c r="P13" s="343"/>
      <c r="Q13" s="341"/>
      <c r="R13" s="378"/>
      <c r="S13" s="440" t="s">
        <v>36</v>
      </c>
      <c r="T13" s="440"/>
      <c r="U13" s="441"/>
      <c r="V13" s="429">
        <v>100101</v>
      </c>
      <c r="W13" s="430"/>
      <c r="X13" s="379"/>
      <c r="Y13" s="386"/>
    </row>
    <row r="14" spans="2:25" ht="20.149999999999999" customHeight="1">
      <c r="B14" s="347"/>
      <c r="C14" s="349"/>
      <c r="D14" s="349"/>
      <c r="E14" s="349"/>
      <c r="F14" s="350"/>
      <c r="G14" s="350"/>
      <c r="H14" s="353"/>
      <c r="I14" s="340"/>
      <c r="J14" s="353"/>
      <c r="K14" s="353"/>
      <c r="L14" s="353"/>
      <c r="N14" s="343"/>
      <c r="O14" s="343"/>
      <c r="P14" s="343"/>
      <c r="Q14" s="341"/>
      <c r="R14" s="380"/>
      <c r="S14" s="381"/>
      <c r="T14" s="381"/>
      <c r="U14" s="381"/>
      <c r="V14" s="381"/>
      <c r="W14" s="381"/>
      <c r="X14" s="382"/>
      <c r="Y14" s="386"/>
    </row>
    <row r="15" spans="2:25" ht="20.149999999999999" customHeight="1">
      <c r="B15" s="347" t="s">
        <v>25</v>
      </c>
      <c r="C15" s="431" t="s">
        <v>37</v>
      </c>
      <c r="D15" s="431"/>
      <c r="E15" s="431"/>
      <c r="F15" s="432" t="s">
        <v>1346</v>
      </c>
      <c r="G15" s="433"/>
      <c r="H15" s="433"/>
      <c r="I15" s="433"/>
      <c r="J15" s="434"/>
      <c r="K15" s="369"/>
      <c r="L15" s="370">
        <f ca="1">TODAY()</f>
        <v>46116</v>
      </c>
      <c r="N15" s="343"/>
      <c r="O15" s="343"/>
      <c r="P15" s="343"/>
      <c r="Q15" s="341"/>
      <c r="R15" s="341"/>
      <c r="S15" s="341"/>
      <c r="T15" s="341"/>
      <c r="U15" s="341"/>
      <c r="V15" s="341"/>
      <c r="W15" s="341"/>
      <c r="X15" s="341"/>
      <c r="Y15" s="386"/>
    </row>
    <row r="16" spans="2:25" ht="20.149999999999999" customHeight="1">
      <c r="B16" s="347"/>
      <c r="C16" s="354"/>
      <c r="D16" s="354"/>
      <c r="E16" s="354"/>
      <c r="F16" s="354"/>
      <c r="G16" s="354"/>
      <c r="H16" s="353"/>
      <c r="I16" s="353"/>
      <c r="J16" s="353"/>
      <c r="K16" s="353"/>
      <c r="L16" s="353"/>
      <c r="N16" s="343"/>
      <c r="O16" s="343"/>
      <c r="P16" s="343"/>
      <c r="Q16" s="341"/>
      <c r="R16" s="374" t="s">
        <v>33</v>
      </c>
      <c r="S16" s="435" t="s">
        <v>39</v>
      </c>
      <c r="T16" s="435"/>
      <c r="U16" s="435"/>
      <c r="V16" s="435"/>
      <c r="W16" s="435"/>
      <c r="X16" s="377"/>
      <c r="Y16" s="386"/>
    </row>
    <row r="17" spans="2:25" ht="20.149999999999999" customHeight="1">
      <c r="B17" s="347" t="s">
        <v>25</v>
      </c>
      <c r="C17" s="431" t="s">
        <v>40</v>
      </c>
      <c r="D17" s="431"/>
      <c r="E17" s="431"/>
      <c r="F17" s="436" t="s">
        <v>41</v>
      </c>
      <c r="G17" s="433"/>
      <c r="H17" s="433"/>
      <c r="I17" s="433"/>
      <c r="J17" s="434"/>
      <c r="K17" s="369"/>
      <c r="L17" s="369"/>
      <c r="N17" s="343"/>
      <c r="O17" s="343"/>
      <c r="P17" s="343"/>
      <c r="Q17" s="341"/>
      <c r="R17" s="378"/>
      <c r="S17" s="437">
        <f>MotherData!T3</f>
        <v>0</v>
      </c>
      <c r="T17" s="438"/>
      <c r="U17" s="438"/>
      <c r="V17" s="438"/>
      <c r="W17" s="439"/>
      <c r="X17" s="379"/>
      <c r="Y17" s="386"/>
    </row>
    <row r="18" spans="2:25" ht="20.149999999999999" customHeight="1">
      <c r="B18" s="355"/>
      <c r="C18" s="356"/>
      <c r="D18" s="356"/>
      <c r="E18" s="357"/>
      <c r="F18" s="357"/>
      <c r="G18" s="357"/>
      <c r="H18" s="358"/>
      <c r="I18" s="358"/>
      <c r="J18" s="358"/>
      <c r="K18" s="358"/>
      <c r="L18" s="358"/>
      <c r="M18" s="371"/>
      <c r="N18" s="371"/>
      <c r="O18" s="371"/>
      <c r="P18" s="371"/>
      <c r="Q18" s="383"/>
      <c r="R18" s="380"/>
      <c r="S18" s="381"/>
      <c r="T18" s="381"/>
      <c r="U18" s="381"/>
      <c r="V18" s="381"/>
      <c r="W18" s="381"/>
      <c r="X18" s="382"/>
      <c r="Y18" s="387"/>
    </row>
    <row r="19" spans="2:25" ht="20.149999999999999" customHeight="1">
      <c r="B19" s="359"/>
      <c r="C19" s="360"/>
      <c r="D19" s="360"/>
      <c r="E19" s="361"/>
      <c r="F19" s="361"/>
      <c r="G19" s="361"/>
      <c r="H19" s="361"/>
      <c r="I19" s="372"/>
      <c r="J19" s="361"/>
      <c r="K19" s="361"/>
      <c r="L19" s="361"/>
      <c r="M19" s="373"/>
      <c r="Y19" s="359"/>
    </row>
    <row r="20" spans="2:25" ht="20.149999999999999" customHeight="1">
      <c r="B20" s="359"/>
      <c r="C20" s="360"/>
      <c r="D20" s="360"/>
      <c r="E20" s="361"/>
      <c r="F20" s="361"/>
      <c r="G20" s="361"/>
      <c r="H20" s="361"/>
      <c r="I20" s="372"/>
      <c r="J20" s="361"/>
      <c r="K20" s="361"/>
      <c r="L20" s="361"/>
      <c r="M20" s="373"/>
      <c r="Y20" s="359"/>
    </row>
    <row r="21" spans="2:25" ht="20.149999999999999" customHeight="1">
      <c r="B21" s="359"/>
      <c r="C21" s="360"/>
      <c r="D21" s="360"/>
      <c r="E21" s="361"/>
      <c r="F21" s="361"/>
      <c r="G21" s="361"/>
      <c r="H21" s="361"/>
      <c r="I21" s="372"/>
      <c r="J21" s="361"/>
      <c r="K21" s="361"/>
      <c r="L21" s="361"/>
      <c r="M21" s="373"/>
      <c r="Y21" s="359"/>
    </row>
    <row r="22" spans="2:25" ht="20.149999999999999" customHeight="1">
      <c r="B22" s="359"/>
      <c r="C22" s="360"/>
      <c r="D22" s="360"/>
      <c r="E22" s="361"/>
      <c r="F22" s="361"/>
      <c r="G22" s="361"/>
      <c r="H22" s="361"/>
      <c r="I22" s="372"/>
      <c r="J22" s="361"/>
      <c r="K22" s="361"/>
      <c r="L22" s="361"/>
      <c r="M22" s="373"/>
      <c r="Y22" s="359"/>
    </row>
    <row r="23" spans="2:25" ht="20.149999999999999" customHeight="1">
      <c r="B23" s="359"/>
      <c r="C23" s="360"/>
      <c r="D23" s="360"/>
      <c r="E23" s="361"/>
      <c r="F23" s="361"/>
      <c r="G23" s="361"/>
      <c r="H23" s="361"/>
      <c r="I23" s="372"/>
      <c r="J23" s="361"/>
      <c r="K23" s="361"/>
      <c r="L23" s="361"/>
      <c r="M23" s="373"/>
      <c r="Y23" s="359"/>
    </row>
    <row r="24" spans="2:25" ht="20.149999999999999" customHeight="1">
      <c r="B24" s="359"/>
      <c r="C24" s="360"/>
      <c r="D24" s="360"/>
      <c r="E24" s="361"/>
      <c r="F24" s="361"/>
      <c r="G24" s="361"/>
      <c r="H24" s="361"/>
      <c r="I24" s="372"/>
      <c r="J24" s="361"/>
      <c r="K24" s="361"/>
      <c r="L24" s="361"/>
      <c r="M24" s="373"/>
      <c r="Y24" s="359"/>
    </row>
    <row r="25" spans="2:25" ht="20.149999999999999" customHeight="1">
      <c r="B25" s="359"/>
      <c r="C25" s="360"/>
      <c r="D25" s="360"/>
      <c r="E25" s="361"/>
      <c r="F25" s="361"/>
      <c r="G25" s="361"/>
      <c r="H25" s="361"/>
      <c r="I25" s="372"/>
      <c r="J25" s="361"/>
      <c r="K25" s="361"/>
      <c r="L25" s="361"/>
      <c r="M25" s="373"/>
      <c r="Y25" s="359"/>
    </row>
    <row r="26" spans="2:25" ht="20.149999999999999" customHeight="1">
      <c r="B26" s="359"/>
      <c r="C26" s="360"/>
      <c r="D26" s="360"/>
      <c r="E26" s="361"/>
      <c r="F26" s="361"/>
      <c r="G26" s="361"/>
      <c r="H26" s="361"/>
      <c r="I26" s="372"/>
      <c r="J26" s="361"/>
      <c r="K26" s="361"/>
      <c r="L26" s="361"/>
      <c r="M26" s="373"/>
      <c r="Y26" s="359"/>
    </row>
    <row r="27" spans="2:25" ht="20.149999999999999" customHeight="1">
      <c r="B27" s="359"/>
      <c r="C27" s="360"/>
      <c r="D27" s="360"/>
      <c r="E27" s="361"/>
      <c r="F27" s="361"/>
      <c r="G27" s="361"/>
      <c r="H27" s="361"/>
      <c r="I27" s="372"/>
      <c r="J27" s="361"/>
      <c r="K27" s="361"/>
      <c r="L27" s="361"/>
      <c r="M27" s="373"/>
      <c r="Y27" s="359"/>
    </row>
    <row r="28" spans="2:25" ht="20.149999999999999" customHeight="1">
      <c r="B28" s="359"/>
      <c r="C28" s="360"/>
      <c r="D28" s="360"/>
      <c r="E28" s="361"/>
      <c r="F28" s="361"/>
      <c r="G28" s="361"/>
      <c r="H28" s="361"/>
      <c r="I28" s="372"/>
      <c r="J28" s="361"/>
      <c r="K28" s="361"/>
      <c r="L28" s="361"/>
      <c r="M28" s="373"/>
      <c r="Y28" s="359"/>
    </row>
    <row r="29" spans="2:25" ht="20.149999999999999" customHeight="1">
      <c r="B29" s="359"/>
      <c r="C29" s="360"/>
      <c r="D29" s="360"/>
      <c r="E29" s="361"/>
      <c r="F29" s="361"/>
      <c r="G29" s="361"/>
      <c r="H29" s="361"/>
      <c r="I29" s="372"/>
      <c r="J29" s="361"/>
      <c r="K29" s="361"/>
      <c r="L29" s="361"/>
      <c r="M29" s="373"/>
      <c r="Y29" s="359"/>
    </row>
    <row r="30" spans="2:25" ht="20.149999999999999" customHeight="1">
      <c r="B30" s="359"/>
      <c r="C30" s="360"/>
      <c r="D30" s="360"/>
      <c r="E30" s="361"/>
      <c r="F30" s="361"/>
      <c r="G30" s="361"/>
      <c r="H30" s="361"/>
      <c r="I30" s="372"/>
      <c r="J30" s="361"/>
      <c r="K30" s="361"/>
      <c r="L30" s="361"/>
      <c r="M30" s="373"/>
      <c r="Y30" s="359"/>
    </row>
    <row r="31" spans="2:25" ht="20.149999999999999" customHeight="1">
      <c r="B31" s="359"/>
      <c r="C31" s="360"/>
      <c r="D31" s="360"/>
      <c r="E31" s="361"/>
      <c r="F31" s="361"/>
      <c r="G31" s="361"/>
      <c r="H31" s="361"/>
      <c r="I31" s="372"/>
      <c r="J31" s="361"/>
      <c r="K31" s="361"/>
      <c r="L31" s="361"/>
      <c r="M31" s="373"/>
      <c r="Y31" s="359"/>
    </row>
    <row r="32" spans="2:25" ht="20.149999999999999" customHeight="1">
      <c r="B32" s="359"/>
      <c r="C32" s="360"/>
      <c r="D32" s="360"/>
      <c r="E32" s="361"/>
      <c r="F32" s="361"/>
      <c r="G32" s="361"/>
      <c r="H32" s="361"/>
      <c r="I32" s="372"/>
      <c r="J32" s="361"/>
      <c r="K32" s="361"/>
      <c r="L32" s="361"/>
      <c r="M32" s="373"/>
      <c r="Y32" s="359"/>
    </row>
    <row r="33" spans="2:25" ht="20.149999999999999" customHeight="1">
      <c r="B33" s="359"/>
      <c r="C33" s="360"/>
      <c r="D33" s="360"/>
      <c r="E33" s="361"/>
      <c r="F33" s="361"/>
      <c r="G33" s="361"/>
      <c r="H33" s="361"/>
      <c r="I33" s="372"/>
      <c r="J33" s="361"/>
      <c r="K33" s="361"/>
      <c r="L33" s="361"/>
      <c r="M33" s="373"/>
      <c r="Y33" s="359"/>
    </row>
    <row r="34" spans="2:25" ht="20.149999999999999" customHeight="1">
      <c r="B34" s="359"/>
      <c r="C34" s="360"/>
      <c r="D34" s="360"/>
      <c r="E34" s="361"/>
      <c r="F34" s="361"/>
      <c r="G34" s="361"/>
      <c r="H34" s="361"/>
      <c r="I34" s="372"/>
      <c r="J34" s="361"/>
      <c r="K34" s="361"/>
      <c r="L34" s="361"/>
      <c r="M34" s="373"/>
      <c r="Y34" s="359"/>
    </row>
    <row r="35" spans="2:25" ht="20.149999999999999" customHeight="1">
      <c r="B35" s="359"/>
      <c r="C35" s="360"/>
      <c r="D35" s="360"/>
      <c r="E35" s="361"/>
      <c r="F35" s="361"/>
      <c r="G35" s="361"/>
      <c r="H35" s="361"/>
      <c r="I35" s="372"/>
      <c r="J35" s="361"/>
      <c r="K35" s="361"/>
      <c r="L35" s="361"/>
      <c r="M35" s="373"/>
      <c r="Y35" s="359"/>
    </row>
    <row r="36" spans="2:25" ht="20.149999999999999" customHeight="1">
      <c r="B36" s="359"/>
      <c r="C36" s="360"/>
      <c r="D36" s="360"/>
      <c r="E36" s="361"/>
      <c r="F36" s="361"/>
      <c r="G36" s="361"/>
      <c r="H36" s="361"/>
      <c r="I36" s="372"/>
      <c r="J36" s="361"/>
      <c r="K36" s="361"/>
      <c r="L36" s="361"/>
      <c r="M36" s="373"/>
      <c r="Y36" s="359"/>
    </row>
    <row r="37" spans="2:25" ht="20.149999999999999" customHeight="1">
      <c r="B37" s="359"/>
      <c r="C37" s="360"/>
      <c r="D37" s="360"/>
      <c r="E37" s="361"/>
      <c r="F37" s="361"/>
      <c r="G37" s="361"/>
      <c r="H37" s="361"/>
      <c r="I37" s="372"/>
      <c r="J37" s="361"/>
      <c r="K37" s="361"/>
      <c r="L37" s="361"/>
      <c r="M37" s="373"/>
      <c r="Y37" s="359"/>
    </row>
    <row r="38" spans="2:25" ht="20.149999999999999" customHeight="1">
      <c r="B38" s="359"/>
      <c r="C38" s="360"/>
      <c r="D38" s="360"/>
      <c r="E38" s="361"/>
      <c r="F38" s="361"/>
      <c r="G38" s="361"/>
      <c r="H38" s="361"/>
      <c r="I38" s="372"/>
      <c r="J38" s="361"/>
      <c r="K38" s="361"/>
      <c r="L38" s="361"/>
      <c r="M38" s="373"/>
      <c r="Y38" s="359"/>
    </row>
    <row r="39" spans="2:25" ht="20.149999999999999" customHeight="1">
      <c r="B39" s="359"/>
      <c r="C39" s="360"/>
      <c r="D39" s="360"/>
      <c r="E39" s="361"/>
      <c r="F39" s="361"/>
      <c r="G39" s="361"/>
      <c r="H39" s="361"/>
      <c r="I39" s="372"/>
      <c r="J39" s="361"/>
      <c r="K39" s="361"/>
      <c r="L39" s="361"/>
      <c r="M39" s="373"/>
      <c r="Y39" s="359"/>
    </row>
    <row r="40" spans="2:25" ht="20.149999999999999" customHeight="1">
      <c r="B40" s="359"/>
      <c r="C40" s="360"/>
      <c r="D40" s="360"/>
      <c r="E40" s="361"/>
      <c r="F40" s="361"/>
      <c r="G40" s="361"/>
      <c r="H40" s="361"/>
      <c r="I40" s="372"/>
      <c r="J40" s="361"/>
      <c r="K40" s="361"/>
      <c r="L40" s="361"/>
      <c r="M40" s="373"/>
      <c r="Y40" s="359"/>
    </row>
    <row r="41" spans="2:25" ht="20.149999999999999" customHeight="1">
      <c r="B41" s="359"/>
      <c r="C41" s="360"/>
      <c r="D41" s="360"/>
      <c r="E41" s="361"/>
      <c r="F41" s="361"/>
      <c r="G41" s="361"/>
      <c r="H41" s="361"/>
      <c r="I41" s="372"/>
      <c r="J41" s="361"/>
      <c r="K41" s="361"/>
      <c r="L41" s="361"/>
      <c r="M41" s="373"/>
      <c r="Y41" s="359"/>
    </row>
    <row r="42" spans="2:25" ht="20.149999999999999" customHeight="1">
      <c r="B42" s="359"/>
      <c r="C42" s="360"/>
      <c r="D42" s="360"/>
      <c r="E42" s="361"/>
      <c r="F42" s="361"/>
      <c r="G42" s="361"/>
      <c r="H42" s="361"/>
      <c r="I42" s="372"/>
      <c r="J42" s="361"/>
      <c r="K42" s="361"/>
      <c r="L42" s="361"/>
      <c r="M42" s="373"/>
      <c r="Y42" s="359"/>
    </row>
    <row r="43" spans="2:25" ht="20.149999999999999" customHeight="1">
      <c r="B43" s="359"/>
      <c r="C43" s="360"/>
      <c r="D43" s="360"/>
      <c r="E43" s="361"/>
      <c r="F43" s="361"/>
      <c r="G43" s="361"/>
      <c r="H43" s="361"/>
      <c r="I43" s="372"/>
      <c r="J43" s="361"/>
      <c r="K43" s="361"/>
      <c r="L43" s="361"/>
      <c r="M43" s="373"/>
      <c r="Y43" s="359"/>
    </row>
    <row r="44" spans="2:25" ht="20.149999999999999" customHeight="1">
      <c r="B44" s="359"/>
      <c r="C44" s="360"/>
      <c r="D44" s="360"/>
      <c r="E44" s="361"/>
      <c r="F44" s="361"/>
      <c r="G44" s="361"/>
      <c r="H44" s="361"/>
      <c r="I44" s="372"/>
      <c r="J44" s="361"/>
      <c r="K44" s="361"/>
      <c r="L44" s="361"/>
      <c r="M44" s="373"/>
      <c r="Y44" s="359"/>
    </row>
    <row r="45" spans="2:25" ht="20.149999999999999" customHeight="1">
      <c r="B45" s="359"/>
      <c r="C45" s="360"/>
      <c r="D45" s="360"/>
      <c r="E45" s="361"/>
      <c r="F45" s="361"/>
      <c r="G45" s="361"/>
      <c r="H45" s="361"/>
      <c r="I45" s="372"/>
      <c r="J45" s="361"/>
      <c r="K45" s="361"/>
      <c r="L45" s="361"/>
      <c r="M45" s="373"/>
      <c r="Y45" s="359"/>
    </row>
    <row r="46" spans="2:25" ht="20.149999999999999" customHeight="1">
      <c r="B46" s="359"/>
      <c r="C46" s="360"/>
      <c r="D46" s="360"/>
      <c r="E46" s="361"/>
      <c r="F46" s="361"/>
      <c r="G46" s="361"/>
      <c r="H46" s="361"/>
      <c r="I46" s="372"/>
      <c r="J46" s="361"/>
      <c r="K46" s="361"/>
      <c r="L46" s="361"/>
      <c r="M46" s="373"/>
      <c r="Y46" s="359"/>
    </row>
    <row r="47" spans="2:25" ht="20.149999999999999" customHeight="1">
      <c r="B47" s="359"/>
      <c r="C47" s="360"/>
      <c r="D47" s="360"/>
      <c r="E47" s="361"/>
      <c r="F47" s="361"/>
      <c r="G47" s="361"/>
      <c r="H47" s="361"/>
      <c r="I47" s="372"/>
      <c r="J47" s="361"/>
      <c r="K47" s="361"/>
      <c r="L47" s="361"/>
      <c r="M47" s="373"/>
      <c r="Y47" s="359"/>
    </row>
    <row r="48" spans="2:25" ht="20.149999999999999" customHeight="1">
      <c r="B48" s="359"/>
      <c r="C48" s="360"/>
      <c r="D48" s="360"/>
      <c r="E48" s="361"/>
      <c r="F48" s="361"/>
      <c r="G48" s="361"/>
      <c r="H48" s="361"/>
      <c r="I48" s="372"/>
      <c r="J48" s="361"/>
      <c r="K48" s="361"/>
      <c r="L48" s="361"/>
      <c r="M48" s="373"/>
      <c r="Y48" s="359"/>
    </row>
    <row r="49" spans="2:25" ht="20.149999999999999" customHeight="1">
      <c r="B49" s="359"/>
      <c r="C49" s="360"/>
      <c r="D49" s="360"/>
      <c r="E49" s="361"/>
      <c r="F49" s="361"/>
      <c r="G49" s="361"/>
      <c r="H49" s="361"/>
      <c r="I49" s="372"/>
      <c r="J49" s="361"/>
      <c r="K49" s="361"/>
      <c r="L49" s="361"/>
      <c r="M49" s="373"/>
      <c r="Y49" s="359"/>
    </row>
    <row r="50" spans="2:25" ht="20.149999999999999" customHeight="1">
      <c r="B50" s="359"/>
      <c r="C50" s="360"/>
      <c r="D50" s="360"/>
      <c r="E50" s="361"/>
      <c r="F50" s="361"/>
      <c r="G50" s="361"/>
      <c r="H50" s="361"/>
      <c r="I50" s="372"/>
      <c r="J50" s="361"/>
      <c r="K50" s="361"/>
      <c r="L50" s="361"/>
      <c r="M50" s="373"/>
      <c r="Y50" s="359"/>
    </row>
    <row r="51" spans="2:25" ht="20.149999999999999" customHeight="1">
      <c r="B51" s="359"/>
      <c r="C51" s="360"/>
      <c r="D51" s="360"/>
      <c r="E51" s="361"/>
      <c r="F51" s="361"/>
      <c r="G51" s="361"/>
      <c r="H51" s="361"/>
      <c r="I51" s="372"/>
      <c r="J51" s="361"/>
      <c r="K51" s="361"/>
      <c r="L51" s="361"/>
      <c r="M51" s="373"/>
      <c r="Y51" s="359"/>
    </row>
    <row r="52" spans="2:25" ht="20.149999999999999" customHeight="1">
      <c r="B52" s="359"/>
      <c r="C52" s="360"/>
      <c r="D52" s="360"/>
      <c r="E52" s="361"/>
      <c r="F52" s="361"/>
      <c r="G52" s="361"/>
      <c r="H52" s="361"/>
      <c r="I52" s="372"/>
      <c r="J52" s="361"/>
      <c r="K52" s="361"/>
      <c r="L52" s="361"/>
      <c r="M52" s="373"/>
      <c r="Y52" s="359"/>
    </row>
    <row r="53" spans="2:25" ht="20.149999999999999" customHeight="1">
      <c r="B53" s="359"/>
      <c r="C53" s="360"/>
      <c r="D53" s="360"/>
      <c r="E53" s="361"/>
      <c r="F53" s="361"/>
      <c r="G53" s="361"/>
      <c r="H53" s="361"/>
      <c r="I53" s="372"/>
      <c r="J53" s="361"/>
      <c r="K53" s="361"/>
      <c r="L53" s="361"/>
      <c r="M53" s="373"/>
      <c r="Y53" s="359"/>
    </row>
    <row r="54" spans="2:25" ht="20.149999999999999" customHeight="1">
      <c r="B54" s="359"/>
      <c r="C54" s="360"/>
      <c r="D54" s="360"/>
      <c r="E54" s="361"/>
      <c r="F54" s="361"/>
      <c r="G54" s="361"/>
      <c r="H54" s="361"/>
      <c r="I54" s="372"/>
      <c r="J54" s="361"/>
      <c r="K54" s="361"/>
      <c r="L54" s="361"/>
      <c r="M54" s="373"/>
      <c r="Y54" s="359"/>
    </row>
    <row r="55" spans="2:25" ht="20.149999999999999" customHeight="1">
      <c r="B55" s="359"/>
      <c r="C55" s="360"/>
      <c r="D55" s="360"/>
      <c r="E55" s="361"/>
      <c r="F55" s="361"/>
      <c r="G55" s="361"/>
      <c r="H55" s="361"/>
      <c r="I55" s="372"/>
      <c r="J55" s="361"/>
      <c r="K55" s="361"/>
      <c r="L55" s="361"/>
      <c r="M55" s="373"/>
      <c r="Y55" s="359"/>
    </row>
    <row r="56" spans="2:25" ht="20.149999999999999" customHeight="1">
      <c r="B56" s="359"/>
      <c r="C56" s="360"/>
      <c r="D56" s="360"/>
      <c r="E56" s="361"/>
      <c r="F56" s="361"/>
      <c r="G56" s="361"/>
      <c r="H56" s="361"/>
      <c r="I56" s="372"/>
      <c r="J56" s="361"/>
      <c r="K56" s="361"/>
      <c r="L56" s="361"/>
      <c r="M56" s="373"/>
      <c r="Y56" s="359"/>
    </row>
    <row r="57" spans="2:25" ht="20.149999999999999" customHeight="1">
      <c r="B57" s="359"/>
      <c r="C57" s="360"/>
      <c r="D57" s="360"/>
      <c r="E57" s="361"/>
      <c r="F57" s="361"/>
      <c r="G57" s="361"/>
      <c r="H57" s="361"/>
      <c r="I57" s="372"/>
      <c r="J57" s="361"/>
      <c r="K57" s="361"/>
      <c r="L57" s="361"/>
      <c r="M57" s="373"/>
      <c r="Y57" s="359"/>
    </row>
    <row r="58" spans="2:25" ht="20.149999999999999" customHeight="1">
      <c r="B58" s="359"/>
      <c r="C58" s="360"/>
      <c r="D58" s="360"/>
      <c r="E58" s="361"/>
      <c r="F58" s="361"/>
      <c r="G58" s="361"/>
      <c r="H58" s="361"/>
      <c r="I58" s="372"/>
      <c r="J58" s="361"/>
      <c r="K58" s="361"/>
      <c r="L58" s="361"/>
      <c r="M58" s="373"/>
      <c r="Y58" s="359"/>
    </row>
    <row r="59" spans="2:25" ht="20.149999999999999" customHeight="1">
      <c r="B59" s="359"/>
      <c r="C59" s="360"/>
      <c r="D59" s="360"/>
      <c r="E59" s="361"/>
      <c r="F59" s="361"/>
      <c r="G59" s="361"/>
      <c r="H59" s="361"/>
      <c r="I59" s="372"/>
      <c r="J59" s="361"/>
      <c r="K59" s="361"/>
      <c r="L59" s="361"/>
      <c r="M59" s="373"/>
      <c r="Y59" s="359"/>
    </row>
    <row r="60" spans="2:25" ht="20.149999999999999" customHeight="1">
      <c r="B60" s="359"/>
      <c r="C60" s="360"/>
      <c r="D60" s="360"/>
      <c r="E60" s="361"/>
      <c r="F60" s="361"/>
      <c r="G60" s="361"/>
      <c r="H60" s="361"/>
      <c r="I60" s="372"/>
      <c r="J60" s="361"/>
      <c r="K60" s="361"/>
      <c r="L60" s="361"/>
      <c r="M60" s="373"/>
      <c r="Y60" s="359"/>
    </row>
    <row r="61" spans="2:25" ht="20.149999999999999" customHeight="1">
      <c r="B61" s="359"/>
      <c r="C61" s="360"/>
      <c r="D61" s="360"/>
      <c r="E61" s="361"/>
      <c r="F61" s="361"/>
      <c r="G61" s="361"/>
      <c r="H61" s="361"/>
      <c r="I61" s="372"/>
      <c r="J61" s="361"/>
      <c r="K61" s="361"/>
      <c r="L61" s="361"/>
      <c r="M61" s="373"/>
      <c r="Y61" s="359"/>
    </row>
    <row r="62" spans="2:25" ht="20.149999999999999" customHeight="1">
      <c r="B62" s="359"/>
      <c r="C62" s="360"/>
      <c r="D62" s="360"/>
      <c r="E62" s="361"/>
      <c r="F62" s="361"/>
      <c r="G62" s="361"/>
      <c r="H62" s="361"/>
      <c r="I62" s="372"/>
      <c r="J62" s="361"/>
      <c r="K62" s="361"/>
      <c r="L62" s="361"/>
      <c r="M62" s="373"/>
      <c r="Y62" s="359"/>
    </row>
    <row r="63" spans="2:25" ht="20.149999999999999" customHeight="1">
      <c r="B63" s="359"/>
      <c r="C63" s="360"/>
      <c r="D63" s="360"/>
      <c r="E63" s="361"/>
      <c r="F63" s="361"/>
      <c r="G63" s="361"/>
      <c r="H63" s="361"/>
      <c r="I63" s="372"/>
      <c r="J63" s="361"/>
      <c r="K63" s="361"/>
      <c r="L63" s="361"/>
      <c r="M63" s="373"/>
      <c r="Y63" s="359"/>
    </row>
    <row r="64" spans="2:25" ht="20.149999999999999" customHeight="1">
      <c r="B64" s="359"/>
      <c r="C64" s="360"/>
      <c r="D64" s="360"/>
      <c r="E64" s="361"/>
      <c r="F64" s="361"/>
      <c r="G64" s="361"/>
      <c r="H64" s="361"/>
      <c r="I64" s="372"/>
      <c r="J64" s="361"/>
      <c r="K64" s="361"/>
      <c r="L64" s="361"/>
      <c r="M64" s="373"/>
      <c r="Y64" s="359"/>
    </row>
    <row r="65" spans="2:25" ht="20.149999999999999" customHeight="1">
      <c r="B65" s="359"/>
      <c r="C65" s="360"/>
      <c r="D65" s="360"/>
      <c r="E65" s="361"/>
      <c r="F65" s="361"/>
      <c r="G65" s="361"/>
      <c r="H65" s="361"/>
      <c r="I65" s="372"/>
      <c r="J65" s="361"/>
      <c r="K65" s="361"/>
      <c r="L65" s="361"/>
      <c r="M65" s="373"/>
      <c r="Y65" s="359"/>
    </row>
    <row r="66" spans="2:25" ht="20.149999999999999" customHeight="1">
      <c r="B66" s="359"/>
      <c r="C66" s="360"/>
      <c r="D66" s="360"/>
      <c r="E66" s="361"/>
      <c r="F66" s="361"/>
      <c r="G66" s="361"/>
      <c r="H66" s="361"/>
      <c r="I66" s="372"/>
      <c r="J66" s="361"/>
      <c r="K66" s="361"/>
      <c r="L66" s="361"/>
      <c r="M66" s="373"/>
      <c r="Y66" s="359"/>
    </row>
    <row r="67" spans="2:25" ht="20.149999999999999" customHeight="1">
      <c r="B67" s="359"/>
      <c r="C67" s="360"/>
      <c r="D67" s="360"/>
      <c r="E67" s="361"/>
      <c r="F67" s="361"/>
      <c r="G67" s="361"/>
      <c r="H67" s="361"/>
      <c r="I67" s="372"/>
      <c r="J67" s="361"/>
      <c r="K67" s="361"/>
      <c r="L67" s="361"/>
      <c r="M67" s="373"/>
      <c r="Y67" s="359"/>
    </row>
    <row r="68" spans="2:25" ht="20.149999999999999" customHeight="1">
      <c r="B68" s="359"/>
      <c r="C68" s="360"/>
      <c r="D68" s="360"/>
      <c r="E68" s="361"/>
      <c r="F68" s="361"/>
      <c r="G68" s="361"/>
      <c r="H68" s="361"/>
      <c r="I68" s="372"/>
      <c r="J68" s="361"/>
      <c r="K68" s="361"/>
      <c r="L68" s="361"/>
      <c r="M68" s="373"/>
      <c r="Y68" s="359"/>
    </row>
    <row r="69" spans="2:25" ht="20.149999999999999" customHeight="1">
      <c r="B69" s="359"/>
      <c r="C69" s="360"/>
      <c r="D69" s="360"/>
      <c r="E69" s="361"/>
      <c r="F69" s="361"/>
      <c r="G69" s="361"/>
      <c r="H69" s="361"/>
      <c r="I69" s="372"/>
      <c r="J69" s="361"/>
      <c r="K69" s="361"/>
      <c r="L69" s="361"/>
      <c r="M69" s="373"/>
      <c r="Y69" s="359"/>
    </row>
    <row r="70" spans="2:25" ht="20.149999999999999" customHeight="1">
      <c r="B70" s="359"/>
      <c r="C70" s="360"/>
      <c r="D70" s="360"/>
      <c r="E70" s="361"/>
      <c r="F70" s="361"/>
      <c r="G70" s="361"/>
      <c r="H70" s="361"/>
      <c r="I70" s="372"/>
      <c r="J70" s="361"/>
      <c r="K70" s="361"/>
      <c r="L70" s="361"/>
      <c r="M70" s="373"/>
      <c r="Y70" s="359"/>
    </row>
    <row r="71" spans="2:25" ht="20.149999999999999" customHeight="1">
      <c r="B71" s="359"/>
      <c r="C71" s="360"/>
      <c r="D71" s="360"/>
      <c r="E71" s="361"/>
      <c r="F71" s="361"/>
      <c r="G71" s="361"/>
      <c r="H71" s="361"/>
      <c r="I71" s="372"/>
      <c r="J71" s="361"/>
      <c r="K71" s="361"/>
      <c r="L71" s="361"/>
      <c r="M71" s="373"/>
      <c r="Y71" s="359"/>
    </row>
    <row r="72" spans="2:25" ht="20.149999999999999" customHeight="1">
      <c r="B72" s="359"/>
      <c r="C72" s="360"/>
      <c r="D72" s="360"/>
      <c r="E72" s="361"/>
      <c r="F72" s="361"/>
      <c r="G72" s="361"/>
      <c r="H72" s="361"/>
      <c r="I72" s="372"/>
      <c r="J72" s="361"/>
      <c r="K72" s="361"/>
      <c r="L72" s="361"/>
      <c r="M72" s="373"/>
      <c r="Y72" s="359"/>
    </row>
    <row r="73" spans="2:25" ht="20.149999999999999" customHeight="1">
      <c r="B73" s="359"/>
      <c r="C73" s="360"/>
      <c r="D73" s="360"/>
      <c r="E73" s="361"/>
      <c r="F73" s="361"/>
      <c r="G73" s="361"/>
      <c r="H73" s="361"/>
      <c r="I73" s="372"/>
      <c r="J73" s="361"/>
      <c r="K73" s="361"/>
      <c r="L73" s="361"/>
      <c r="M73" s="373"/>
      <c r="Y73" s="359"/>
    </row>
    <row r="74" spans="2:25" ht="20.149999999999999" customHeight="1">
      <c r="B74" s="359"/>
      <c r="C74" s="360"/>
      <c r="D74" s="360"/>
      <c r="E74" s="361"/>
      <c r="F74" s="361"/>
      <c r="G74" s="361"/>
      <c r="H74" s="361"/>
      <c r="I74" s="372"/>
      <c r="J74" s="361"/>
      <c r="K74" s="361"/>
      <c r="L74" s="361"/>
      <c r="M74" s="373"/>
      <c r="Y74" s="359"/>
    </row>
    <row r="75" spans="2:25" ht="20.149999999999999" customHeight="1">
      <c r="B75" s="359"/>
      <c r="C75" s="360"/>
      <c r="D75" s="360"/>
      <c r="E75" s="361"/>
      <c r="F75" s="361"/>
      <c r="G75" s="361"/>
      <c r="H75" s="361"/>
      <c r="I75" s="372"/>
      <c r="J75" s="361"/>
      <c r="K75" s="361"/>
      <c r="L75" s="361"/>
      <c r="M75" s="373"/>
      <c r="Y75" s="359"/>
    </row>
    <row r="76" spans="2:25" ht="20.149999999999999" customHeight="1">
      <c r="B76" s="359"/>
      <c r="C76" s="360"/>
      <c r="D76" s="360"/>
      <c r="E76" s="361"/>
      <c r="F76" s="361"/>
      <c r="G76" s="361"/>
      <c r="H76" s="361"/>
      <c r="I76" s="372"/>
      <c r="J76" s="361"/>
      <c r="K76" s="361"/>
      <c r="L76" s="361"/>
      <c r="M76" s="373"/>
      <c r="Y76" s="359"/>
    </row>
    <row r="77" spans="2:25" ht="20.149999999999999" customHeight="1">
      <c r="B77" s="359"/>
      <c r="C77" s="360"/>
      <c r="D77" s="360"/>
      <c r="E77" s="361"/>
      <c r="F77" s="361"/>
      <c r="G77" s="361"/>
      <c r="H77" s="361"/>
      <c r="I77" s="372"/>
      <c r="J77" s="361"/>
      <c r="K77" s="361"/>
      <c r="L77" s="361"/>
      <c r="M77" s="373"/>
      <c r="Y77" s="359"/>
    </row>
    <row r="78" spans="2:25" ht="20.149999999999999" customHeight="1">
      <c r="B78" s="359"/>
      <c r="C78" s="360"/>
      <c r="D78" s="360"/>
      <c r="E78" s="361"/>
      <c r="F78" s="361"/>
      <c r="G78" s="361"/>
      <c r="H78" s="361"/>
      <c r="I78" s="372"/>
      <c r="J78" s="361"/>
      <c r="K78" s="361"/>
      <c r="L78" s="361"/>
      <c r="M78" s="373"/>
      <c r="Y78" s="359"/>
    </row>
    <row r="79" spans="2:25" ht="20.149999999999999" customHeight="1">
      <c r="B79" s="359"/>
      <c r="C79" s="360"/>
      <c r="D79" s="360"/>
      <c r="E79" s="361"/>
      <c r="F79" s="361"/>
      <c r="G79" s="361"/>
      <c r="H79" s="361"/>
      <c r="I79" s="372"/>
      <c r="J79" s="361"/>
      <c r="K79" s="361"/>
      <c r="L79" s="361"/>
      <c r="M79" s="373"/>
      <c r="Y79" s="359"/>
    </row>
    <row r="80" spans="2:25" ht="20.149999999999999" customHeight="1">
      <c r="B80" s="359"/>
      <c r="C80" s="360"/>
      <c r="D80" s="360"/>
      <c r="E80" s="361"/>
      <c r="F80" s="361"/>
      <c r="G80" s="361"/>
      <c r="H80" s="361"/>
      <c r="I80" s="372"/>
      <c r="J80" s="361"/>
      <c r="K80" s="361"/>
      <c r="L80" s="361"/>
      <c r="M80" s="373"/>
      <c r="Y80" s="359"/>
    </row>
    <row r="81" spans="2:25" ht="20.149999999999999" customHeight="1">
      <c r="B81" s="359"/>
      <c r="C81" s="360"/>
      <c r="D81" s="360"/>
      <c r="E81" s="361"/>
      <c r="F81" s="361"/>
      <c r="G81" s="361"/>
      <c r="H81" s="361"/>
      <c r="I81" s="372"/>
      <c r="J81" s="361"/>
      <c r="K81" s="361"/>
      <c r="L81" s="361"/>
      <c r="M81" s="373"/>
      <c r="Y81" s="359"/>
    </row>
    <row r="82" spans="2:25" ht="20.149999999999999" customHeight="1">
      <c r="B82" s="359"/>
      <c r="C82" s="360"/>
      <c r="D82" s="360"/>
      <c r="E82" s="361"/>
      <c r="F82" s="361"/>
      <c r="G82" s="361"/>
      <c r="H82" s="361"/>
      <c r="I82" s="372"/>
      <c r="J82" s="361"/>
      <c r="K82" s="361"/>
      <c r="L82" s="361"/>
      <c r="M82" s="373"/>
      <c r="Y82" s="359"/>
    </row>
    <row r="83" spans="2:25" ht="20.149999999999999" customHeight="1">
      <c r="B83" s="359"/>
      <c r="C83" s="360"/>
      <c r="D83" s="360"/>
      <c r="E83" s="361"/>
      <c r="F83" s="361"/>
      <c r="G83" s="361"/>
      <c r="H83" s="361"/>
      <c r="I83" s="372"/>
      <c r="J83" s="361"/>
      <c r="K83" s="361"/>
      <c r="L83" s="361"/>
      <c r="M83" s="373"/>
      <c r="Y83" s="359"/>
    </row>
    <row r="84" spans="2:25" ht="20.149999999999999" customHeight="1">
      <c r="B84" s="359"/>
      <c r="C84" s="360"/>
      <c r="D84" s="360"/>
      <c r="E84" s="361"/>
      <c r="F84" s="361"/>
      <c r="G84" s="361"/>
      <c r="H84" s="361"/>
      <c r="I84" s="372"/>
      <c r="J84" s="361"/>
      <c r="K84" s="361"/>
      <c r="L84" s="361"/>
      <c r="M84" s="373"/>
      <c r="Y84" s="359"/>
    </row>
    <row r="85" spans="2:25" ht="20.149999999999999" customHeight="1">
      <c r="B85" s="359"/>
      <c r="C85" s="360"/>
      <c r="D85" s="360"/>
      <c r="E85" s="361"/>
      <c r="F85" s="361"/>
      <c r="G85" s="361"/>
      <c r="H85" s="361"/>
      <c r="I85" s="372"/>
      <c r="J85" s="361"/>
      <c r="K85" s="361"/>
      <c r="L85" s="361"/>
      <c r="M85" s="373"/>
      <c r="Y85" s="359"/>
    </row>
    <row r="86" spans="2:25" ht="20.149999999999999" customHeight="1">
      <c r="B86" s="359"/>
      <c r="C86" s="360"/>
      <c r="D86" s="360"/>
      <c r="E86" s="361"/>
      <c r="F86" s="361"/>
      <c r="G86" s="361"/>
      <c r="H86" s="361"/>
      <c r="I86" s="372"/>
      <c r="J86" s="361"/>
      <c r="K86" s="361"/>
      <c r="L86" s="361"/>
      <c r="M86" s="373"/>
      <c r="Y86" s="359"/>
    </row>
    <row r="87" spans="2:25" ht="20.149999999999999" customHeight="1">
      <c r="B87" s="359"/>
      <c r="C87" s="360"/>
      <c r="D87" s="360"/>
      <c r="E87" s="361"/>
      <c r="F87" s="361"/>
      <c r="G87" s="361"/>
      <c r="H87" s="361"/>
      <c r="I87" s="372"/>
      <c r="J87" s="361"/>
      <c r="K87" s="361"/>
      <c r="L87" s="361"/>
      <c r="M87" s="373"/>
      <c r="Y87" s="359"/>
    </row>
    <row r="88" spans="2:25" ht="20.149999999999999" customHeight="1">
      <c r="B88" s="359"/>
      <c r="C88" s="360"/>
      <c r="D88" s="360"/>
      <c r="E88" s="361"/>
      <c r="F88" s="361"/>
      <c r="G88" s="361"/>
      <c r="H88" s="361"/>
      <c r="I88" s="372"/>
      <c r="J88" s="361"/>
      <c r="K88" s="361"/>
      <c r="L88" s="361"/>
      <c r="M88" s="373"/>
      <c r="Y88" s="359"/>
    </row>
    <row r="89" spans="2:25" ht="20.149999999999999" customHeight="1">
      <c r="B89" s="359"/>
      <c r="C89" s="360"/>
      <c r="D89" s="360"/>
      <c r="E89" s="361"/>
      <c r="F89" s="361"/>
      <c r="G89" s="361"/>
      <c r="H89" s="361"/>
      <c r="I89" s="372"/>
      <c r="J89" s="361"/>
      <c r="K89" s="361"/>
      <c r="L89" s="361"/>
      <c r="M89" s="373"/>
      <c r="Y89" s="359"/>
    </row>
    <row r="90" spans="2:25" ht="20.149999999999999" customHeight="1">
      <c r="B90" s="359"/>
      <c r="C90" s="360"/>
      <c r="D90" s="360"/>
      <c r="E90" s="361"/>
      <c r="F90" s="361"/>
      <c r="G90" s="361"/>
      <c r="H90" s="361"/>
      <c r="I90" s="372"/>
      <c r="J90" s="361"/>
      <c r="K90" s="361"/>
      <c r="L90" s="361"/>
      <c r="M90" s="373"/>
      <c r="Y90" s="359"/>
    </row>
    <row r="91" spans="2:25" ht="20.149999999999999" customHeight="1">
      <c r="B91" s="359"/>
      <c r="C91" s="360"/>
      <c r="D91" s="360"/>
      <c r="E91" s="361"/>
      <c r="F91" s="361"/>
      <c r="G91" s="361"/>
      <c r="H91" s="361"/>
      <c r="I91" s="372"/>
      <c r="J91" s="361"/>
      <c r="K91" s="361"/>
      <c r="L91" s="361"/>
      <c r="M91" s="373"/>
      <c r="Y91" s="359"/>
    </row>
    <row r="92" spans="2:25" ht="20.149999999999999" customHeight="1">
      <c r="B92" s="359"/>
      <c r="C92" s="360"/>
      <c r="D92" s="360"/>
      <c r="E92" s="361"/>
      <c r="F92" s="361"/>
      <c r="G92" s="361"/>
      <c r="H92" s="361"/>
      <c r="I92" s="372"/>
      <c r="J92" s="361"/>
      <c r="K92" s="361"/>
      <c r="L92" s="361"/>
      <c r="M92" s="373"/>
      <c r="Y92" s="359"/>
    </row>
    <row r="93" spans="2:25" ht="20.149999999999999" customHeight="1">
      <c r="B93" s="359"/>
      <c r="C93" s="360"/>
      <c r="D93" s="360"/>
      <c r="E93" s="361"/>
      <c r="F93" s="361"/>
      <c r="G93" s="361"/>
      <c r="H93" s="361"/>
      <c r="I93" s="372"/>
      <c r="J93" s="361"/>
      <c r="K93" s="361"/>
      <c r="L93" s="361"/>
      <c r="M93" s="373"/>
      <c r="Y93" s="359"/>
    </row>
    <row r="94" spans="2:25" ht="20.149999999999999" customHeight="1">
      <c r="B94" s="359"/>
      <c r="C94" s="360"/>
      <c r="D94" s="360"/>
      <c r="E94" s="361"/>
      <c r="F94" s="361"/>
      <c r="G94" s="361"/>
      <c r="H94" s="361"/>
      <c r="I94" s="372"/>
      <c r="J94" s="361"/>
      <c r="K94" s="361"/>
      <c r="L94" s="361"/>
      <c r="M94" s="373"/>
      <c r="Y94" s="359"/>
    </row>
    <row r="95" spans="2:25" ht="20.149999999999999" customHeight="1">
      <c r="B95" s="359"/>
      <c r="C95" s="360"/>
      <c r="D95" s="360"/>
      <c r="E95" s="361"/>
      <c r="F95" s="361"/>
      <c r="G95" s="361"/>
      <c r="H95" s="361"/>
      <c r="I95" s="372"/>
      <c r="J95" s="361"/>
      <c r="K95" s="361"/>
      <c r="L95" s="361"/>
      <c r="M95" s="373"/>
      <c r="Y95" s="359"/>
    </row>
    <row r="96" spans="2:25" ht="20.149999999999999" customHeight="1">
      <c r="B96" s="359"/>
      <c r="C96" s="360"/>
      <c r="D96" s="360"/>
      <c r="E96" s="361"/>
      <c r="F96" s="361"/>
      <c r="G96" s="361"/>
      <c r="H96" s="361"/>
      <c r="I96" s="372"/>
      <c r="J96" s="361"/>
      <c r="K96" s="361"/>
      <c r="L96" s="361"/>
      <c r="M96" s="373"/>
      <c r="Y96" s="359"/>
    </row>
    <row r="97" spans="2:25" ht="20.149999999999999" customHeight="1">
      <c r="B97" s="359"/>
      <c r="C97" s="360"/>
      <c r="D97" s="360"/>
      <c r="E97" s="361"/>
      <c r="F97" s="361"/>
      <c r="G97" s="361"/>
      <c r="H97" s="361"/>
      <c r="I97" s="372"/>
      <c r="J97" s="361"/>
      <c r="K97" s="361"/>
      <c r="L97" s="361"/>
      <c r="M97" s="373"/>
      <c r="Y97" s="359"/>
    </row>
    <row r="98" spans="2:25" ht="20.149999999999999" customHeight="1">
      <c r="B98" s="359"/>
      <c r="C98" s="360"/>
      <c r="D98" s="360"/>
      <c r="E98" s="361"/>
      <c r="F98" s="361"/>
      <c r="G98" s="361"/>
      <c r="H98" s="361"/>
      <c r="I98" s="372"/>
      <c r="J98" s="361"/>
      <c r="K98" s="361"/>
      <c r="L98" s="361"/>
      <c r="M98" s="373"/>
      <c r="Y98" s="359"/>
    </row>
    <row r="99" spans="2:25" ht="20.149999999999999" customHeight="1">
      <c r="B99" s="359"/>
      <c r="C99" s="360"/>
      <c r="D99" s="360"/>
      <c r="E99" s="361"/>
      <c r="F99" s="361"/>
      <c r="G99" s="361"/>
      <c r="H99" s="361"/>
      <c r="I99" s="372"/>
      <c r="J99" s="361"/>
      <c r="K99" s="361"/>
      <c r="L99" s="361"/>
      <c r="M99" s="373"/>
      <c r="Y99" s="359"/>
    </row>
    <row r="100" spans="2:25" ht="20.149999999999999" customHeight="1">
      <c r="B100" s="359"/>
      <c r="C100" s="360"/>
      <c r="D100" s="360"/>
      <c r="E100" s="361"/>
      <c r="F100" s="361"/>
      <c r="G100" s="361"/>
      <c r="H100" s="361"/>
      <c r="I100" s="372"/>
      <c r="J100" s="361"/>
      <c r="K100" s="361"/>
      <c r="L100" s="361"/>
      <c r="M100" s="373"/>
      <c r="Y100" s="359"/>
    </row>
    <row r="101" spans="2:25" ht="20.149999999999999" customHeight="1">
      <c r="B101" s="359"/>
      <c r="C101" s="360"/>
      <c r="D101" s="360"/>
      <c r="E101" s="361"/>
      <c r="F101" s="361"/>
      <c r="G101" s="361"/>
      <c r="H101" s="361"/>
      <c r="I101" s="372"/>
      <c r="J101" s="361"/>
      <c r="K101" s="361"/>
      <c r="L101" s="361"/>
      <c r="M101" s="373"/>
      <c r="Y101" s="359"/>
    </row>
    <row r="102" spans="2:25" ht="20.149999999999999" customHeight="1">
      <c r="B102" s="359"/>
      <c r="C102" s="360"/>
      <c r="D102" s="360"/>
      <c r="E102" s="361"/>
      <c r="F102" s="361"/>
      <c r="G102" s="361"/>
      <c r="H102" s="361"/>
      <c r="I102" s="372"/>
      <c r="J102" s="361"/>
      <c r="K102" s="361"/>
      <c r="L102" s="361"/>
      <c r="M102" s="373"/>
      <c r="Y102" s="359"/>
    </row>
    <row r="103" spans="2:25" ht="20.149999999999999" customHeight="1">
      <c r="B103" s="359"/>
      <c r="C103" s="360"/>
      <c r="D103" s="360"/>
      <c r="E103" s="361"/>
      <c r="F103" s="361"/>
      <c r="G103" s="361"/>
      <c r="H103" s="361"/>
      <c r="I103" s="372"/>
      <c r="J103" s="361"/>
      <c r="K103" s="361"/>
      <c r="L103" s="361"/>
      <c r="M103" s="373"/>
      <c r="Y103" s="359"/>
    </row>
    <row r="104" spans="2:25" ht="20.149999999999999" customHeight="1">
      <c r="B104" s="359"/>
      <c r="C104" s="360"/>
      <c r="D104" s="360"/>
      <c r="E104" s="361"/>
      <c r="F104" s="361"/>
      <c r="G104" s="361"/>
      <c r="H104" s="361"/>
      <c r="I104" s="372"/>
      <c r="J104" s="361"/>
      <c r="K104" s="361"/>
      <c r="L104" s="361"/>
      <c r="M104" s="373"/>
      <c r="Y104" s="359"/>
    </row>
    <row r="105" spans="2:25" ht="20.149999999999999" customHeight="1">
      <c r="B105" s="359"/>
      <c r="C105" s="360"/>
      <c r="D105" s="360"/>
      <c r="E105" s="361"/>
      <c r="F105" s="361"/>
      <c r="G105" s="361"/>
      <c r="H105" s="361"/>
      <c r="I105" s="372"/>
      <c r="J105" s="361"/>
      <c r="K105" s="361"/>
      <c r="L105" s="361"/>
      <c r="M105" s="373"/>
      <c r="Y105" s="359"/>
    </row>
    <row r="106" spans="2:25" ht="20.149999999999999" customHeight="1">
      <c r="B106" s="359"/>
      <c r="C106" s="360"/>
      <c r="D106" s="360"/>
      <c r="E106" s="361"/>
      <c r="F106" s="361"/>
      <c r="G106" s="361"/>
      <c r="H106" s="361"/>
      <c r="I106" s="372"/>
      <c r="J106" s="361"/>
      <c r="K106" s="361"/>
      <c r="L106" s="361"/>
      <c r="M106" s="373"/>
      <c r="Y106" s="359"/>
    </row>
    <row r="107" spans="2:25" ht="20.149999999999999" customHeight="1">
      <c r="B107" s="359"/>
      <c r="C107" s="360"/>
      <c r="D107" s="360"/>
      <c r="E107" s="361"/>
      <c r="F107" s="361"/>
      <c r="G107" s="361"/>
      <c r="H107" s="361"/>
      <c r="I107" s="372"/>
      <c r="J107" s="361"/>
      <c r="K107" s="361"/>
      <c r="L107" s="361"/>
      <c r="M107" s="373"/>
      <c r="Y107" s="359"/>
    </row>
    <row r="108" spans="2:25" ht="20.149999999999999" customHeight="1">
      <c r="B108" s="359"/>
      <c r="C108" s="360"/>
      <c r="D108" s="360"/>
      <c r="E108" s="361"/>
      <c r="F108" s="361"/>
      <c r="G108" s="361"/>
      <c r="H108" s="361"/>
      <c r="I108" s="372"/>
      <c r="J108" s="361"/>
      <c r="K108" s="361"/>
      <c r="L108" s="361"/>
      <c r="M108" s="373"/>
      <c r="Y108" s="359"/>
    </row>
    <row r="109" spans="2:25" ht="20.149999999999999" customHeight="1">
      <c r="B109" s="359"/>
      <c r="C109" s="360"/>
      <c r="D109" s="360"/>
      <c r="E109" s="361"/>
      <c r="F109" s="361"/>
      <c r="G109" s="361"/>
      <c r="H109" s="361"/>
      <c r="I109" s="372"/>
      <c r="J109" s="361"/>
      <c r="K109" s="361"/>
      <c r="L109" s="361"/>
      <c r="M109" s="373"/>
      <c r="Y109" s="359"/>
    </row>
    <row r="110" spans="2:25" ht="20.149999999999999" customHeight="1">
      <c r="B110" s="359"/>
      <c r="C110" s="360"/>
      <c r="D110" s="360"/>
      <c r="E110" s="361"/>
      <c r="F110" s="361"/>
      <c r="G110" s="361"/>
      <c r="H110" s="361"/>
      <c r="I110" s="372"/>
      <c r="J110" s="361"/>
      <c r="K110" s="361"/>
      <c r="L110" s="361"/>
      <c r="M110" s="373"/>
      <c r="Y110" s="359"/>
    </row>
    <row r="111" spans="2:25" ht="20.149999999999999" customHeight="1">
      <c r="B111" s="359"/>
      <c r="C111" s="360"/>
      <c r="D111" s="360"/>
      <c r="E111" s="361"/>
      <c r="F111" s="361"/>
      <c r="G111" s="361"/>
      <c r="H111" s="361"/>
      <c r="I111" s="372"/>
      <c r="J111" s="361"/>
      <c r="K111" s="361"/>
      <c r="L111" s="361"/>
      <c r="M111" s="373"/>
      <c r="Y111" s="359"/>
    </row>
    <row r="112" spans="2:25" ht="20.149999999999999" customHeight="1">
      <c r="B112" s="359"/>
      <c r="C112" s="360"/>
      <c r="D112" s="360"/>
      <c r="E112" s="361"/>
      <c r="F112" s="361"/>
      <c r="G112" s="361"/>
      <c r="H112" s="361"/>
      <c r="I112" s="372"/>
      <c r="J112" s="361"/>
      <c r="K112" s="361"/>
      <c r="L112" s="361"/>
      <c r="M112" s="373"/>
      <c r="Y112" s="359"/>
    </row>
    <row r="113" spans="2:25" ht="20.149999999999999" customHeight="1">
      <c r="B113" s="359"/>
      <c r="C113" s="360"/>
      <c r="D113" s="360"/>
      <c r="E113" s="361"/>
      <c r="F113" s="361"/>
      <c r="G113" s="361"/>
      <c r="H113" s="361"/>
      <c r="I113" s="372"/>
      <c r="J113" s="361"/>
      <c r="K113" s="361"/>
      <c r="L113" s="361"/>
      <c r="M113" s="373"/>
      <c r="Y113" s="359"/>
    </row>
    <row r="114" spans="2:25" ht="20.149999999999999" customHeight="1">
      <c r="B114" s="359"/>
      <c r="C114" s="360"/>
      <c r="D114" s="360"/>
      <c r="E114" s="361"/>
      <c r="F114" s="361"/>
      <c r="G114" s="361"/>
      <c r="H114" s="361"/>
      <c r="I114" s="372"/>
      <c r="J114" s="361"/>
      <c r="K114" s="361"/>
      <c r="L114" s="361"/>
      <c r="M114" s="373"/>
      <c r="Y114" s="359"/>
    </row>
    <row r="115" spans="2:25" ht="20.149999999999999" customHeight="1">
      <c r="B115" s="359"/>
      <c r="C115" s="360"/>
      <c r="D115" s="360"/>
      <c r="E115" s="361"/>
      <c r="F115" s="361"/>
      <c r="G115" s="361"/>
      <c r="H115" s="361"/>
      <c r="I115" s="372"/>
      <c r="J115" s="361"/>
      <c r="K115" s="361"/>
      <c r="L115" s="361"/>
      <c r="M115" s="373"/>
      <c r="Y115" s="359"/>
    </row>
    <row r="116" spans="2:25" ht="20.149999999999999" customHeight="1">
      <c r="B116" s="359"/>
      <c r="C116" s="360"/>
      <c r="D116" s="360"/>
      <c r="E116" s="361"/>
      <c r="F116" s="361"/>
      <c r="G116" s="361"/>
      <c r="H116" s="361"/>
      <c r="I116" s="372"/>
      <c r="J116" s="361"/>
      <c r="K116" s="361"/>
      <c r="L116" s="361"/>
      <c r="M116" s="373"/>
      <c r="Y116" s="359"/>
    </row>
    <row r="117" spans="2:25" ht="20.149999999999999" customHeight="1">
      <c r="B117" s="359"/>
      <c r="C117" s="360"/>
      <c r="D117" s="360"/>
      <c r="E117" s="361"/>
      <c r="F117" s="361"/>
      <c r="G117" s="361"/>
      <c r="H117" s="361"/>
      <c r="I117" s="372"/>
      <c r="J117" s="361"/>
      <c r="K117" s="361"/>
      <c r="L117" s="361"/>
      <c r="M117" s="373"/>
      <c r="Y117" s="359"/>
    </row>
    <row r="118" spans="2:25" ht="20.149999999999999" customHeight="1">
      <c r="B118" s="359"/>
      <c r="C118" s="360"/>
      <c r="D118" s="360"/>
      <c r="E118" s="361"/>
      <c r="F118" s="361"/>
      <c r="G118" s="361"/>
      <c r="H118" s="361"/>
      <c r="I118" s="372"/>
      <c r="J118" s="361"/>
      <c r="K118" s="361"/>
      <c r="L118" s="361"/>
      <c r="M118" s="373"/>
      <c r="Y118" s="359"/>
    </row>
    <row r="119" spans="2:25" ht="20.149999999999999" customHeight="1">
      <c r="B119" s="359"/>
      <c r="C119" s="360"/>
      <c r="D119" s="360"/>
      <c r="E119" s="361"/>
      <c r="F119" s="361"/>
      <c r="G119" s="361"/>
      <c r="H119" s="361"/>
      <c r="I119" s="372"/>
      <c r="J119" s="361"/>
      <c r="K119" s="361"/>
      <c r="L119" s="361"/>
      <c r="M119" s="373"/>
      <c r="Y119" s="359"/>
    </row>
    <row r="120" spans="2:25" ht="20.149999999999999" customHeight="1">
      <c r="B120" s="359"/>
      <c r="C120" s="360"/>
      <c r="D120" s="360"/>
      <c r="E120" s="361"/>
      <c r="F120" s="361"/>
      <c r="G120" s="361"/>
      <c r="H120" s="361"/>
      <c r="I120" s="372"/>
      <c r="J120" s="361"/>
      <c r="K120" s="361"/>
      <c r="L120" s="361"/>
      <c r="M120" s="373"/>
      <c r="Y120" s="359"/>
    </row>
    <row r="121" spans="2:25" ht="20.149999999999999" customHeight="1">
      <c r="B121" s="359"/>
      <c r="C121" s="360"/>
      <c r="D121" s="360"/>
      <c r="E121" s="361"/>
      <c r="F121" s="361"/>
      <c r="G121" s="361"/>
      <c r="H121" s="361"/>
      <c r="I121" s="372"/>
      <c r="J121" s="361"/>
      <c r="K121" s="361"/>
      <c r="L121" s="361"/>
      <c r="M121" s="373"/>
      <c r="Y121" s="359"/>
    </row>
    <row r="122" spans="2:25" ht="20.149999999999999" customHeight="1">
      <c r="B122" s="359"/>
      <c r="C122" s="360"/>
      <c r="D122" s="360"/>
      <c r="E122" s="361"/>
      <c r="F122" s="361"/>
      <c r="G122" s="361"/>
      <c r="H122" s="361"/>
      <c r="I122" s="372"/>
      <c r="J122" s="361"/>
      <c r="K122" s="361"/>
      <c r="L122" s="361"/>
      <c r="M122" s="373"/>
      <c r="Y122" s="359"/>
    </row>
    <row r="123" spans="2:25" ht="20.149999999999999" customHeight="1">
      <c r="B123" s="359"/>
      <c r="C123" s="360"/>
      <c r="D123" s="360"/>
      <c r="E123" s="361"/>
      <c r="F123" s="361"/>
      <c r="G123" s="361"/>
      <c r="H123" s="361"/>
      <c r="I123" s="372"/>
      <c r="J123" s="361"/>
      <c r="K123" s="361"/>
      <c r="L123" s="361"/>
      <c r="M123" s="373"/>
      <c r="Y123" s="359"/>
    </row>
    <row r="124" spans="2:25" ht="20.149999999999999" customHeight="1">
      <c r="B124" s="359"/>
      <c r="C124" s="360"/>
      <c r="D124" s="360"/>
      <c r="E124" s="361"/>
      <c r="F124" s="361"/>
      <c r="G124" s="361"/>
      <c r="H124" s="361"/>
      <c r="I124" s="372"/>
      <c r="J124" s="361"/>
      <c r="K124" s="361"/>
      <c r="L124" s="361"/>
      <c r="M124" s="373"/>
      <c r="Y124" s="359"/>
    </row>
    <row r="125" spans="2:25" ht="20.149999999999999" customHeight="1">
      <c r="B125" s="359"/>
      <c r="C125" s="360"/>
      <c r="D125" s="360"/>
      <c r="E125" s="361"/>
      <c r="F125" s="361"/>
      <c r="G125" s="361"/>
      <c r="H125" s="361"/>
      <c r="I125" s="372"/>
      <c r="J125" s="361"/>
      <c r="K125" s="361"/>
      <c r="L125" s="361"/>
      <c r="M125" s="373"/>
      <c r="Y125" s="359"/>
    </row>
    <row r="126" spans="2:25" ht="20.149999999999999" customHeight="1">
      <c r="B126" s="359"/>
      <c r="C126" s="360"/>
      <c r="D126" s="360"/>
      <c r="E126" s="361"/>
      <c r="F126" s="361"/>
      <c r="G126" s="361"/>
      <c r="H126" s="361"/>
      <c r="I126" s="372"/>
      <c r="J126" s="361"/>
      <c r="K126" s="361"/>
      <c r="L126" s="361"/>
      <c r="M126" s="373"/>
      <c r="Y126" s="359"/>
    </row>
    <row r="127" spans="2:25" ht="20.149999999999999" customHeight="1">
      <c r="B127" s="359"/>
      <c r="C127" s="360"/>
      <c r="D127" s="360"/>
      <c r="E127" s="361"/>
      <c r="F127" s="361"/>
      <c r="G127" s="361"/>
      <c r="H127" s="361"/>
      <c r="I127" s="372"/>
      <c r="J127" s="361"/>
      <c r="K127" s="361"/>
      <c r="L127" s="361"/>
      <c r="M127" s="373"/>
      <c r="Y127" s="359"/>
    </row>
    <row r="128" spans="2:25" ht="20.149999999999999" customHeight="1">
      <c r="B128" s="359"/>
      <c r="C128" s="360"/>
      <c r="D128" s="360"/>
      <c r="E128" s="361"/>
      <c r="F128" s="361"/>
      <c r="G128" s="361"/>
      <c r="H128" s="361"/>
      <c r="I128" s="372"/>
      <c r="J128" s="361"/>
      <c r="K128" s="361"/>
      <c r="L128" s="361"/>
      <c r="M128" s="373"/>
      <c r="Y128" s="359"/>
    </row>
    <row r="129" spans="2:25" ht="20.149999999999999" customHeight="1">
      <c r="B129" s="359"/>
      <c r="C129" s="360"/>
      <c r="D129" s="360"/>
      <c r="E129" s="361"/>
      <c r="F129" s="361"/>
      <c r="G129" s="361"/>
      <c r="H129" s="361"/>
      <c r="I129" s="372"/>
      <c r="J129" s="361"/>
      <c r="K129" s="361"/>
      <c r="L129" s="361"/>
      <c r="M129" s="373"/>
      <c r="Y129" s="359"/>
    </row>
    <row r="130" spans="2:25" ht="20.149999999999999" customHeight="1">
      <c r="B130" s="359"/>
      <c r="C130" s="360"/>
      <c r="D130" s="360"/>
      <c r="E130" s="361"/>
      <c r="F130" s="361"/>
      <c r="G130" s="361"/>
      <c r="H130" s="361"/>
      <c r="I130" s="372"/>
      <c r="J130" s="361"/>
      <c r="K130" s="361"/>
      <c r="L130" s="361"/>
      <c r="M130" s="373"/>
      <c r="Y130" s="359"/>
    </row>
    <row r="131" spans="2:25" ht="20.149999999999999" customHeight="1">
      <c r="B131" s="359"/>
      <c r="C131" s="360"/>
      <c r="D131" s="360"/>
      <c r="E131" s="361"/>
      <c r="F131" s="361"/>
      <c r="G131" s="361"/>
      <c r="H131" s="361"/>
      <c r="I131" s="372"/>
      <c r="J131" s="361"/>
      <c r="K131" s="361"/>
      <c r="L131" s="361"/>
      <c r="M131" s="373"/>
      <c r="Y131" s="359"/>
    </row>
    <row r="132" spans="2:25" ht="20.149999999999999" customHeight="1">
      <c r="B132" s="359"/>
      <c r="C132" s="360"/>
      <c r="D132" s="360"/>
      <c r="E132" s="361"/>
      <c r="F132" s="361"/>
      <c r="G132" s="361"/>
      <c r="H132" s="361"/>
      <c r="I132" s="372"/>
      <c r="J132" s="361"/>
      <c r="K132" s="361"/>
      <c r="L132" s="361"/>
      <c r="M132" s="373"/>
      <c r="Y132" s="359"/>
    </row>
    <row r="133" spans="2:25" ht="20.149999999999999" customHeight="1">
      <c r="B133" s="359"/>
      <c r="C133" s="360"/>
      <c r="D133" s="360"/>
      <c r="E133" s="361"/>
      <c r="F133" s="361"/>
      <c r="G133" s="361"/>
      <c r="H133" s="361"/>
      <c r="I133" s="372"/>
      <c r="J133" s="361"/>
      <c r="K133" s="361"/>
      <c r="L133" s="361"/>
      <c r="M133" s="373"/>
      <c r="Y133" s="359"/>
    </row>
    <row r="134" spans="2:25" ht="20.149999999999999" customHeight="1">
      <c r="B134" s="359"/>
      <c r="C134" s="360"/>
      <c r="D134" s="360"/>
      <c r="E134" s="361"/>
      <c r="F134" s="361"/>
      <c r="G134" s="361"/>
      <c r="H134" s="361"/>
      <c r="I134" s="372"/>
      <c r="J134" s="361"/>
      <c r="K134" s="361"/>
      <c r="L134" s="361"/>
      <c r="M134" s="373"/>
      <c r="Y134" s="359"/>
    </row>
    <row r="135" spans="2:25" ht="20.149999999999999" customHeight="1">
      <c r="B135" s="359"/>
      <c r="C135" s="360"/>
      <c r="D135" s="360"/>
      <c r="E135" s="361"/>
      <c r="F135" s="361"/>
      <c r="G135" s="361"/>
      <c r="H135" s="361"/>
      <c r="I135" s="372"/>
      <c r="J135" s="361"/>
      <c r="K135" s="361"/>
      <c r="L135" s="361"/>
      <c r="M135" s="373"/>
      <c r="Y135" s="359"/>
    </row>
    <row r="136" spans="2:25" ht="20.149999999999999" customHeight="1">
      <c r="B136" s="359"/>
      <c r="C136" s="360"/>
      <c r="D136" s="360"/>
      <c r="E136" s="361"/>
      <c r="F136" s="361"/>
      <c r="G136" s="361"/>
      <c r="H136" s="361"/>
      <c r="I136" s="372"/>
      <c r="J136" s="361"/>
      <c r="K136" s="361"/>
      <c r="L136" s="361"/>
      <c r="M136" s="373"/>
      <c r="Y136" s="359"/>
    </row>
    <row r="137" spans="2:25" ht="20.149999999999999" customHeight="1">
      <c r="B137" s="359"/>
      <c r="C137" s="360"/>
      <c r="D137" s="360"/>
      <c r="E137" s="361"/>
      <c r="F137" s="361"/>
      <c r="G137" s="361"/>
      <c r="H137" s="361"/>
      <c r="I137" s="372"/>
      <c r="J137" s="361"/>
      <c r="K137" s="361"/>
      <c r="L137" s="361"/>
      <c r="M137" s="373"/>
      <c r="Y137" s="359"/>
    </row>
    <row r="138" spans="2:25" ht="20.149999999999999" customHeight="1">
      <c r="B138" s="359"/>
      <c r="C138" s="360"/>
      <c r="D138" s="360"/>
      <c r="E138" s="361"/>
      <c r="F138" s="361"/>
      <c r="G138" s="361"/>
      <c r="H138" s="361"/>
      <c r="I138" s="372"/>
      <c r="J138" s="361"/>
      <c r="K138" s="361"/>
      <c r="L138" s="361"/>
      <c r="M138" s="373"/>
      <c r="Y138" s="359"/>
    </row>
    <row r="139" spans="2:25" ht="20.149999999999999" customHeight="1">
      <c r="B139" s="359"/>
      <c r="C139" s="360"/>
      <c r="D139" s="360"/>
      <c r="E139" s="361"/>
      <c r="F139" s="361"/>
      <c r="G139" s="361"/>
      <c r="H139" s="361"/>
      <c r="I139" s="372"/>
      <c r="J139" s="361"/>
      <c r="K139" s="361"/>
      <c r="L139" s="361"/>
      <c r="M139" s="373"/>
      <c r="Y139" s="359"/>
    </row>
    <row r="140" spans="2:25" ht="20.149999999999999" customHeight="1">
      <c r="B140" s="359"/>
      <c r="C140" s="360"/>
      <c r="D140" s="360"/>
      <c r="E140" s="361"/>
      <c r="F140" s="361"/>
      <c r="G140" s="361"/>
      <c r="H140" s="361"/>
      <c r="I140" s="372"/>
      <c r="J140" s="361"/>
      <c r="K140" s="361"/>
      <c r="L140" s="361"/>
      <c r="M140" s="373"/>
      <c r="Y140" s="359"/>
    </row>
    <row r="141" spans="2:25" ht="20.149999999999999" customHeight="1">
      <c r="B141" s="359"/>
      <c r="C141" s="360"/>
      <c r="D141" s="360"/>
      <c r="E141" s="361"/>
      <c r="F141" s="361"/>
      <c r="G141" s="361"/>
      <c r="H141" s="361"/>
      <c r="I141" s="372"/>
      <c r="J141" s="361"/>
      <c r="K141" s="361"/>
      <c r="L141" s="361"/>
      <c r="M141" s="373"/>
      <c r="Y141" s="359"/>
    </row>
    <row r="142" spans="2:25" ht="20.149999999999999" customHeight="1">
      <c r="B142" s="359"/>
      <c r="C142" s="360"/>
      <c r="D142" s="360"/>
      <c r="E142" s="361"/>
      <c r="F142" s="361"/>
      <c r="G142" s="361"/>
      <c r="H142" s="361"/>
      <c r="I142" s="372"/>
      <c r="J142" s="361"/>
      <c r="K142" s="361"/>
      <c r="L142" s="361"/>
      <c r="M142" s="373"/>
      <c r="Y142" s="359"/>
    </row>
    <row r="143" spans="2:25" ht="20.149999999999999" customHeight="1">
      <c r="B143" s="359"/>
      <c r="C143" s="360"/>
      <c r="D143" s="360"/>
      <c r="E143" s="361"/>
      <c r="F143" s="361"/>
      <c r="G143" s="361"/>
      <c r="H143" s="361"/>
      <c r="I143" s="372"/>
      <c r="J143" s="361"/>
      <c r="K143" s="361"/>
      <c r="L143" s="361"/>
      <c r="M143" s="373"/>
      <c r="Y143" s="359"/>
    </row>
    <row r="144" spans="2:25" ht="20.149999999999999" customHeight="1">
      <c r="B144" s="359"/>
      <c r="C144" s="360"/>
      <c r="D144" s="360"/>
      <c r="E144" s="361"/>
      <c r="F144" s="361"/>
      <c r="G144" s="361"/>
      <c r="H144" s="361"/>
      <c r="I144" s="372"/>
      <c r="J144" s="361"/>
      <c r="K144" s="361"/>
      <c r="L144" s="361"/>
      <c r="M144" s="373"/>
      <c r="Y144" s="359"/>
    </row>
    <row r="145" spans="2:25" ht="20.149999999999999" customHeight="1">
      <c r="B145" s="359"/>
      <c r="C145" s="360"/>
      <c r="D145" s="360"/>
      <c r="E145" s="361"/>
      <c r="F145" s="361"/>
      <c r="G145" s="361"/>
      <c r="H145" s="361"/>
      <c r="I145" s="372"/>
      <c r="J145" s="361"/>
      <c r="K145" s="361"/>
      <c r="L145" s="361"/>
      <c r="M145" s="373"/>
      <c r="Y145" s="359"/>
    </row>
    <row r="146" spans="2:25" ht="20.149999999999999" customHeight="1">
      <c r="B146" s="359"/>
      <c r="C146" s="360"/>
      <c r="D146" s="360"/>
      <c r="E146" s="361"/>
      <c r="F146" s="361"/>
      <c r="G146" s="361"/>
      <c r="H146" s="361"/>
      <c r="I146" s="372"/>
      <c r="J146" s="361"/>
      <c r="K146" s="361"/>
      <c r="L146" s="361"/>
      <c r="M146" s="373"/>
      <c r="Y146" s="359"/>
    </row>
    <row r="147" spans="2:25" ht="20.149999999999999" customHeight="1">
      <c r="B147" s="359"/>
      <c r="C147" s="360"/>
      <c r="D147" s="360"/>
      <c r="E147" s="361"/>
      <c r="F147" s="361"/>
      <c r="G147" s="361"/>
      <c r="H147" s="361"/>
      <c r="I147" s="372"/>
      <c r="J147" s="361"/>
      <c r="K147" s="361"/>
      <c r="L147" s="361"/>
      <c r="M147" s="373"/>
      <c r="Y147" s="359"/>
    </row>
    <row r="148" spans="2:25" ht="20.149999999999999" customHeight="1">
      <c r="B148" s="359"/>
      <c r="C148" s="360"/>
      <c r="D148" s="360"/>
      <c r="E148" s="361"/>
      <c r="F148" s="361"/>
      <c r="G148" s="361"/>
      <c r="H148" s="361"/>
      <c r="I148" s="372"/>
      <c r="J148" s="361"/>
      <c r="K148" s="361"/>
      <c r="L148" s="361"/>
      <c r="M148" s="373"/>
      <c r="Y148" s="359"/>
    </row>
    <row r="149" spans="2:25" ht="20.149999999999999" customHeight="1">
      <c r="B149" s="359"/>
      <c r="C149" s="360"/>
      <c r="D149" s="360"/>
      <c r="E149" s="361"/>
      <c r="F149" s="361"/>
      <c r="G149" s="361"/>
      <c r="H149" s="361"/>
      <c r="I149" s="372"/>
      <c r="J149" s="361"/>
      <c r="K149" s="361"/>
      <c r="L149" s="361"/>
      <c r="M149" s="373"/>
      <c r="Y149" s="359"/>
    </row>
    <row r="150" spans="2:25" ht="20.149999999999999" customHeight="1">
      <c r="B150" s="359"/>
      <c r="C150" s="360"/>
      <c r="D150" s="360"/>
      <c r="E150" s="361"/>
      <c r="F150" s="361"/>
      <c r="G150" s="361"/>
      <c r="H150" s="361"/>
      <c r="I150" s="372"/>
      <c r="J150" s="361"/>
      <c r="K150" s="361"/>
      <c r="L150" s="361"/>
      <c r="M150" s="373"/>
      <c r="Y150" s="359"/>
    </row>
    <row r="151" spans="2:25" ht="20.149999999999999" customHeight="1">
      <c r="B151" s="359"/>
      <c r="C151" s="360"/>
      <c r="D151" s="360"/>
      <c r="E151" s="361"/>
      <c r="F151" s="361"/>
      <c r="G151" s="361"/>
      <c r="H151" s="361"/>
      <c r="I151" s="372"/>
      <c r="J151" s="361"/>
      <c r="K151" s="361"/>
      <c r="L151" s="361"/>
      <c r="M151" s="373"/>
      <c r="Y151" s="359"/>
    </row>
    <row r="152" spans="2:25" ht="20.149999999999999" customHeight="1">
      <c r="B152" s="359"/>
      <c r="C152" s="360"/>
      <c r="D152" s="360"/>
      <c r="E152" s="361"/>
      <c r="F152" s="361"/>
      <c r="G152" s="361"/>
      <c r="H152" s="361"/>
      <c r="I152" s="372"/>
      <c r="J152" s="361"/>
      <c r="K152" s="361"/>
      <c r="L152" s="361"/>
      <c r="M152" s="373"/>
      <c r="Y152" s="359"/>
    </row>
    <row r="153" spans="2:25" ht="20.149999999999999" customHeight="1">
      <c r="B153" s="359"/>
      <c r="C153" s="360"/>
      <c r="D153" s="360"/>
      <c r="E153" s="361"/>
      <c r="F153" s="361"/>
      <c r="G153" s="361"/>
      <c r="H153" s="361"/>
      <c r="I153" s="372"/>
      <c r="J153" s="361"/>
      <c r="K153" s="361"/>
      <c r="L153" s="361"/>
      <c r="M153" s="373"/>
      <c r="Y153" s="359"/>
    </row>
    <row r="154" spans="2:25" ht="20.149999999999999" customHeight="1">
      <c r="B154" s="359"/>
      <c r="C154" s="360"/>
      <c r="D154" s="360"/>
      <c r="E154" s="361"/>
      <c r="F154" s="361"/>
      <c r="G154" s="361"/>
      <c r="H154" s="361"/>
      <c r="I154" s="372"/>
      <c r="J154" s="361"/>
      <c r="K154" s="361"/>
      <c r="L154" s="361"/>
      <c r="M154" s="373"/>
      <c r="Y154" s="359"/>
    </row>
    <row r="155" spans="2:25" ht="20.149999999999999" customHeight="1">
      <c r="B155" s="359"/>
      <c r="C155" s="360"/>
      <c r="D155" s="360"/>
      <c r="E155" s="361"/>
      <c r="F155" s="361"/>
      <c r="G155" s="361"/>
      <c r="H155" s="361"/>
      <c r="I155" s="372"/>
      <c r="J155" s="361"/>
      <c r="K155" s="361"/>
      <c r="L155" s="361"/>
      <c r="M155" s="373"/>
      <c r="Y155" s="359"/>
    </row>
    <row r="156" spans="2:25" ht="20.149999999999999" customHeight="1">
      <c r="B156" s="359"/>
      <c r="C156" s="360"/>
      <c r="D156" s="360"/>
      <c r="E156" s="361"/>
      <c r="F156" s="361"/>
      <c r="G156" s="361"/>
      <c r="H156" s="361"/>
      <c r="I156" s="372"/>
      <c r="J156" s="361"/>
      <c r="K156" s="361"/>
      <c r="L156" s="361"/>
      <c r="M156" s="373"/>
      <c r="Y156" s="359"/>
    </row>
    <row r="157" spans="2:25" ht="20.149999999999999" customHeight="1">
      <c r="B157" s="359"/>
      <c r="C157" s="360"/>
      <c r="D157" s="360"/>
      <c r="E157" s="361"/>
      <c r="F157" s="361"/>
      <c r="G157" s="361"/>
      <c r="H157" s="361"/>
      <c r="I157" s="372"/>
      <c r="J157" s="361"/>
      <c r="K157" s="361"/>
      <c r="L157" s="361"/>
      <c r="M157" s="373"/>
      <c r="Y157" s="359"/>
    </row>
    <row r="158" spans="2:25" ht="20.149999999999999" customHeight="1">
      <c r="B158" s="359"/>
      <c r="C158" s="360"/>
      <c r="D158" s="360"/>
      <c r="E158" s="361"/>
      <c r="F158" s="361"/>
      <c r="G158" s="361"/>
      <c r="H158" s="361"/>
      <c r="I158" s="372"/>
      <c r="J158" s="361"/>
      <c r="K158" s="361"/>
      <c r="L158" s="361"/>
      <c r="M158" s="373"/>
      <c r="Y158" s="359"/>
    </row>
    <row r="159" spans="2:25" ht="20.149999999999999" customHeight="1">
      <c r="B159" s="359"/>
      <c r="C159" s="360"/>
      <c r="D159" s="360"/>
      <c r="E159" s="361"/>
      <c r="F159" s="361"/>
      <c r="G159" s="361"/>
      <c r="H159" s="361"/>
      <c r="I159" s="372"/>
      <c r="J159" s="361"/>
      <c r="K159" s="361"/>
      <c r="L159" s="361"/>
      <c r="M159" s="373"/>
      <c r="Y159" s="359"/>
    </row>
    <row r="160" spans="2:25" ht="20.149999999999999" customHeight="1">
      <c r="B160" s="359"/>
      <c r="C160" s="360"/>
      <c r="D160" s="360"/>
      <c r="E160" s="361"/>
      <c r="F160" s="361"/>
      <c r="G160" s="361"/>
      <c r="H160" s="361"/>
      <c r="I160" s="372"/>
      <c r="J160" s="361"/>
      <c r="K160" s="361"/>
      <c r="L160" s="361"/>
      <c r="M160" s="373"/>
      <c r="Y160" s="359"/>
    </row>
    <row r="161" spans="2:25" ht="20.149999999999999" customHeight="1">
      <c r="B161" s="359"/>
      <c r="C161" s="360"/>
      <c r="D161" s="360"/>
      <c r="E161" s="361"/>
      <c r="F161" s="361"/>
      <c r="G161" s="361"/>
      <c r="H161" s="361"/>
      <c r="I161" s="372"/>
      <c r="J161" s="361"/>
      <c r="K161" s="361"/>
      <c r="L161" s="361"/>
      <c r="M161" s="373"/>
      <c r="Y161" s="359"/>
    </row>
    <row r="162" spans="2:25" ht="20.149999999999999" customHeight="1">
      <c r="B162" s="359"/>
      <c r="C162" s="360"/>
      <c r="D162" s="360"/>
      <c r="E162" s="361"/>
      <c r="F162" s="361"/>
      <c r="G162" s="361"/>
      <c r="H162" s="361"/>
      <c r="I162" s="372"/>
      <c r="J162" s="361"/>
      <c r="K162" s="361"/>
      <c r="L162" s="361"/>
      <c r="M162" s="373"/>
      <c r="Y162" s="359"/>
    </row>
    <row r="163" spans="2:25" ht="20.149999999999999" customHeight="1">
      <c r="B163" s="359"/>
      <c r="C163" s="360"/>
      <c r="D163" s="360"/>
      <c r="E163" s="361"/>
      <c r="F163" s="361"/>
      <c r="G163" s="361"/>
      <c r="H163" s="361"/>
      <c r="I163" s="372"/>
      <c r="J163" s="361"/>
      <c r="K163" s="361"/>
      <c r="L163" s="361"/>
      <c r="M163" s="373"/>
      <c r="Y163" s="359"/>
    </row>
    <row r="164" spans="2:25" ht="20.149999999999999" customHeight="1">
      <c r="B164" s="359"/>
      <c r="C164" s="360"/>
      <c r="D164" s="360"/>
      <c r="E164" s="361"/>
      <c r="F164" s="361"/>
      <c r="G164" s="361"/>
      <c r="H164" s="361"/>
      <c r="I164" s="372"/>
      <c r="J164" s="361"/>
      <c r="K164" s="361"/>
      <c r="L164" s="361"/>
      <c r="M164" s="373"/>
      <c r="Y164" s="359"/>
    </row>
    <row r="165" spans="2:25" ht="20.149999999999999" customHeight="1">
      <c r="B165" s="359"/>
      <c r="C165" s="360"/>
      <c r="D165" s="360"/>
      <c r="E165" s="361"/>
      <c r="F165" s="361"/>
      <c r="G165" s="361"/>
      <c r="H165" s="361"/>
      <c r="I165" s="372"/>
      <c r="J165" s="361"/>
      <c r="K165" s="361"/>
      <c r="L165" s="361"/>
      <c r="M165" s="373"/>
      <c r="Y165" s="359"/>
    </row>
    <row r="166" spans="2:25" ht="20.149999999999999" customHeight="1">
      <c r="B166" s="359"/>
      <c r="C166" s="360"/>
      <c r="D166" s="360"/>
      <c r="E166" s="361"/>
      <c r="F166" s="361"/>
      <c r="G166" s="361"/>
      <c r="H166" s="361"/>
      <c r="I166" s="372"/>
      <c r="J166" s="361"/>
      <c r="K166" s="361"/>
      <c r="L166" s="361"/>
      <c r="M166" s="373"/>
      <c r="Y166" s="359"/>
    </row>
    <row r="167" spans="2:25" ht="20.149999999999999" customHeight="1">
      <c r="B167" s="359"/>
      <c r="C167" s="360"/>
      <c r="D167" s="360"/>
      <c r="E167" s="361"/>
      <c r="F167" s="361"/>
      <c r="G167" s="361"/>
      <c r="H167" s="361"/>
      <c r="I167" s="372"/>
      <c r="J167" s="361"/>
      <c r="K167" s="361"/>
      <c r="L167" s="361"/>
      <c r="M167" s="373"/>
      <c r="Y167" s="359"/>
    </row>
    <row r="168" spans="2:25" ht="20.149999999999999" customHeight="1">
      <c r="B168" s="359"/>
      <c r="C168" s="360"/>
      <c r="D168" s="360"/>
      <c r="E168" s="361"/>
      <c r="F168" s="361"/>
      <c r="G168" s="361"/>
      <c r="H168" s="361"/>
      <c r="I168" s="372"/>
      <c r="J168" s="361"/>
      <c r="K168" s="361"/>
      <c r="L168" s="361"/>
      <c r="M168" s="373"/>
      <c r="Y168" s="359"/>
    </row>
    <row r="169" spans="2:25" ht="20.149999999999999" customHeight="1">
      <c r="B169" s="359"/>
      <c r="C169" s="360"/>
      <c r="D169" s="360"/>
      <c r="E169" s="361"/>
      <c r="F169" s="361"/>
      <c r="G169" s="361"/>
      <c r="H169" s="361"/>
      <c r="I169" s="372"/>
      <c r="J169" s="361"/>
      <c r="K169" s="361"/>
      <c r="L169" s="361"/>
      <c r="M169" s="373"/>
      <c r="Y169" s="359"/>
    </row>
    <row r="170" spans="2:25" ht="20.149999999999999" customHeight="1">
      <c r="B170" s="359"/>
      <c r="C170" s="360"/>
      <c r="D170" s="360"/>
      <c r="E170" s="361"/>
      <c r="F170" s="361"/>
      <c r="G170" s="361"/>
      <c r="H170" s="361"/>
      <c r="I170" s="372"/>
      <c r="J170" s="361"/>
      <c r="K170" s="361"/>
      <c r="L170" s="361"/>
      <c r="M170" s="373"/>
      <c r="Y170" s="359"/>
    </row>
    <row r="171" spans="2:25" ht="20.149999999999999" customHeight="1">
      <c r="B171" s="359"/>
      <c r="C171" s="360"/>
      <c r="D171" s="360"/>
      <c r="E171" s="361"/>
      <c r="F171" s="361"/>
      <c r="G171" s="361"/>
      <c r="H171" s="361"/>
      <c r="I171" s="372"/>
      <c r="J171" s="361"/>
      <c r="K171" s="361"/>
      <c r="L171" s="361"/>
      <c r="M171" s="373"/>
      <c r="Y171" s="359"/>
    </row>
    <row r="172" spans="2:25" ht="20.149999999999999" customHeight="1">
      <c r="B172" s="359"/>
      <c r="C172" s="360"/>
      <c r="D172" s="360"/>
      <c r="E172" s="361"/>
      <c r="F172" s="361"/>
      <c r="G172" s="361"/>
      <c r="H172" s="361"/>
      <c r="I172" s="372"/>
      <c r="J172" s="361"/>
      <c r="K172" s="361"/>
      <c r="L172" s="361"/>
      <c r="M172" s="373"/>
      <c r="Y172" s="359"/>
    </row>
    <row r="173" spans="2:25" ht="20.149999999999999" customHeight="1">
      <c r="B173" s="359"/>
      <c r="C173" s="360"/>
      <c r="D173" s="360"/>
      <c r="E173" s="361"/>
      <c r="F173" s="361"/>
      <c r="G173" s="361"/>
      <c r="H173" s="361"/>
      <c r="I173" s="372"/>
      <c r="J173" s="361"/>
      <c r="K173" s="361"/>
      <c r="L173" s="361"/>
      <c r="M173" s="373"/>
      <c r="Y173" s="359"/>
    </row>
    <row r="174" spans="2:25" ht="20.149999999999999" customHeight="1">
      <c r="B174" s="359"/>
      <c r="C174" s="360"/>
      <c r="D174" s="360"/>
      <c r="E174" s="361"/>
      <c r="F174" s="361"/>
      <c r="G174" s="361"/>
      <c r="H174" s="361"/>
      <c r="I174" s="372"/>
      <c r="J174" s="361"/>
      <c r="K174" s="361"/>
      <c r="L174" s="361"/>
      <c r="M174" s="373"/>
      <c r="Y174" s="359"/>
    </row>
    <row r="175" spans="2:25" ht="20.149999999999999" customHeight="1">
      <c r="B175" s="359"/>
      <c r="C175" s="360"/>
      <c r="D175" s="360"/>
      <c r="E175" s="361"/>
      <c r="F175" s="361"/>
      <c r="G175" s="361"/>
      <c r="H175" s="361"/>
      <c r="I175" s="372"/>
      <c r="J175" s="361"/>
      <c r="K175" s="361"/>
      <c r="L175" s="361"/>
      <c r="M175" s="373"/>
      <c r="Y175" s="359"/>
    </row>
    <row r="176" spans="2:25" ht="20.149999999999999" customHeight="1">
      <c r="B176" s="359"/>
      <c r="C176" s="360"/>
      <c r="D176" s="360"/>
      <c r="E176" s="361"/>
      <c r="F176" s="361"/>
      <c r="G176" s="361"/>
      <c r="H176" s="361"/>
      <c r="I176" s="372"/>
      <c r="J176" s="361"/>
      <c r="K176" s="361"/>
      <c r="L176" s="361"/>
      <c r="M176" s="373"/>
      <c r="Y176" s="359"/>
    </row>
    <row r="177" spans="2:25" ht="20.149999999999999" customHeight="1">
      <c r="B177" s="359"/>
      <c r="C177" s="360"/>
      <c r="D177" s="360"/>
      <c r="E177" s="361"/>
      <c r="F177" s="361"/>
      <c r="G177" s="361"/>
      <c r="H177" s="361"/>
      <c r="I177" s="372"/>
      <c r="J177" s="361"/>
      <c r="K177" s="361"/>
      <c r="L177" s="361"/>
      <c r="M177" s="373"/>
      <c r="Y177" s="359"/>
    </row>
    <row r="178" spans="2:25" ht="20.149999999999999" customHeight="1">
      <c r="B178" s="359"/>
      <c r="C178" s="360"/>
      <c r="D178" s="360"/>
      <c r="E178" s="361"/>
      <c r="F178" s="361"/>
      <c r="G178" s="361"/>
      <c r="H178" s="361"/>
      <c r="I178" s="372"/>
      <c r="J178" s="361"/>
      <c r="K178" s="361"/>
      <c r="L178" s="361"/>
      <c r="M178" s="373"/>
      <c r="Y178" s="359"/>
    </row>
    <row r="179" spans="2:25" ht="20.149999999999999" customHeight="1">
      <c r="B179" s="359"/>
      <c r="C179" s="360"/>
      <c r="D179" s="360"/>
      <c r="E179" s="361"/>
      <c r="F179" s="361"/>
      <c r="G179" s="361"/>
      <c r="H179" s="361"/>
      <c r="I179" s="372"/>
      <c r="J179" s="361"/>
      <c r="K179" s="361"/>
      <c r="L179" s="361"/>
      <c r="M179" s="373"/>
      <c r="Y179" s="359"/>
    </row>
    <row r="180" spans="2:25" ht="20.149999999999999" customHeight="1">
      <c r="B180" s="359"/>
      <c r="C180" s="360"/>
      <c r="D180" s="360"/>
      <c r="E180" s="361"/>
      <c r="F180" s="361"/>
      <c r="G180" s="361"/>
      <c r="H180" s="361"/>
      <c r="I180" s="372"/>
      <c r="J180" s="361"/>
      <c r="K180" s="361"/>
      <c r="L180" s="361"/>
      <c r="M180" s="373"/>
      <c r="Y180" s="359"/>
    </row>
    <row r="181" spans="2:25" ht="20.149999999999999" customHeight="1">
      <c r="B181" s="359"/>
      <c r="C181" s="360"/>
      <c r="D181" s="360"/>
      <c r="E181" s="361"/>
      <c r="F181" s="361"/>
      <c r="G181" s="361"/>
      <c r="H181" s="361"/>
      <c r="I181" s="372"/>
      <c r="J181" s="361"/>
      <c r="K181" s="361"/>
      <c r="L181" s="361"/>
      <c r="M181" s="373"/>
      <c r="Y181" s="359"/>
    </row>
    <row r="182" spans="2:25" ht="20.149999999999999" customHeight="1">
      <c r="B182" s="359"/>
      <c r="C182" s="360"/>
      <c r="D182" s="360"/>
      <c r="E182" s="361"/>
      <c r="F182" s="361"/>
      <c r="G182" s="361"/>
      <c r="H182" s="361"/>
      <c r="I182" s="372"/>
      <c r="J182" s="361"/>
      <c r="K182" s="361"/>
      <c r="L182" s="361"/>
      <c r="M182" s="373"/>
      <c r="Y182" s="359"/>
    </row>
    <row r="183" spans="2:25" ht="20.149999999999999" customHeight="1">
      <c r="B183" s="359"/>
      <c r="C183" s="360"/>
      <c r="D183" s="360"/>
      <c r="E183" s="361"/>
      <c r="F183" s="361"/>
      <c r="G183" s="361"/>
      <c r="H183" s="361"/>
      <c r="I183" s="372"/>
      <c r="J183" s="361"/>
      <c r="K183" s="361"/>
      <c r="L183" s="361"/>
      <c r="M183" s="373"/>
      <c r="Y183" s="359"/>
    </row>
    <row r="184" spans="2:25" ht="20.149999999999999" customHeight="1">
      <c r="B184" s="359"/>
      <c r="C184" s="360"/>
      <c r="D184" s="360"/>
      <c r="E184" s="361"/>
      <c r="F184" s="361"/>
      <c r="G184" s="361"/>
      <c r="H184" s="361"/>
      <c r="I184" s="372"/>
      <c r="J184" s="361"/>
      <c r="K184" s="361"/>
      <c r="L184" s="361"/>
      <c r="M184" s="373"/>
      <c r="Y184" s="359"/>
    </row>
    <row r="185" spans="2:25" ht="20.149999999999999" customHeight="1">
      <c r="B185" s="359"/>
      <c r="C185" s="360"/>
      <c r="D185" s="360"/>
      <c r="E185" s="361"/>
      <c r="F185" s="361"/>
      <c r="G185" s="361"/>
      <c r="H185" s="361"/>
      <c r="I185" s="372"/>
      <c r="J185" s="361"/>
      <c r="K185" s="361"/>
      <c r="L185" s="361"/>
      <c r="M185" s="373"/>
      <c r="Y185" s="359"/>
    </row>
    <row r="186" spans="2:25" ht="20.149999999999999" customHeight="1">
      <c r="B186" s="359"/>
      <c r="C186" s="360"/>
      <c r="D186" s="360"/>
      <c r="E186" s="361"/>
      <c r="F186" s="361"/>
      <c r="G186" s="361"/>
      <c r="H186" s="361"/>
      <c r="I186" s="372"/>
      <c r="J186" s="361"/>
      <c r="K186" s="361"/>
      <c r="L186" s="361"/>
      <c r="M186" s="373"/>
      <c r="Y186" s="359"/>
    </row>
    <row r="187" spans="2:25" ht="20.149999999999999" customHeight="1">
      <c r="B187" s="359"/>
      <c r="C187" s="360"/>
      <c r="D187" s="360"/>
      <c r="E187" s="361"/>
      <c r="F187" s="361"/>
      <c r="G187" s="361"/>
      <c r="H187" s="361"/>
      <c r="I187" s="372"/>
      <c r="J187" s="361"/>
      <c r="K187" s="361"/>
      <c r="L187" s="361"/>
      <c r="M187" s="373"/>
      <c r="Y187" s="359"/>
    </row>
    <row r="188" spans="2:25" ht="20.149999999999999" customHeight="1">
      <c r="B188" s="359"/>
      <c r="C188" s="360"/>
      <c r="D188" s="360"/>
      <c r="E188" s="361"/>
      <c r="F188" s="361"/>
      <c r="G188" s="361"/>
      <c r="H188" s="361"/>
      <c r="I188" s="372"/>
      <c r="J188" s="361"/>
      <c r="K188" s="361"/>
      <c r="L188" s="361"/>
      <c r="M188" s="373"/>
      <c r="Y188" s="359"/>
    </row>
    <row r="189" spans="2:25" ht="20.149999999999999" customHeight="1">
      <c r="B189" s="359"/>
      <c r="C189" s="360"/>
      <c r="D189" s="360"/>
      <c r="E189" s="361"/>
      <c r="F189" s="361"/>
      <c r="G189" s="361"/>
      <c r="H189" s="361"/>
      <c r="I189" s="372"/>
      <c r="J189" s="361"/>
      <c r="K189" s="361"/>
      <c r="L189" s="361"/>
      <c r="M189" s="373"/>
      <c r="Y189" s="359"/>
    </row>
    <row r="190" spans="2:25" ht="20.149999999999999" customHeight="1">
      <c r="B190" s="359"/>
      <c r="C190" s="360"/>
      <c r="D190" s="360"/>
      <c r="E190" s="361"/>
      <c r="F190" s="361"/>
      <c r="G190" s="361"/>
      <c r="H190" s="361"/>
      <c r="I190" s="372"/>
      <c r="J190" s="361"/>
      <c r="K190" s="361"/>
      <c r="L190" s="361"/>
      <c r="M190" s="373"/>
      <c r="Y190" s="359"/>
    </row>
    <row r="191" spans="2:25" ht="20.149999999999999" customHeight="1">
      <c r="B191" s="359"/>
      <c r="C191" s="360"/>
      <c r="D191" s="360"/>
      <c r="E191" s="361"/>
      <c r="F191" s="361"/>
      <c r="G191" s="361"/>
      <c r="H191" s="361"/>
      <c r="I191" s="372"/>
      <c r="J191" s="361"/>
      <c r="K191" s="361"/>
      <c r="L191" s="361"/>
      <c r="M191" s="373"/>
      <c r="Y191" s="359"/>
    </row>
    <row r="192" spans="2:25" ht="20.149999999999999" customHeight="1">
      <c r="B192" s="359"/>
      <c r="C192" s="360"/>
      <c r="D192" s="360"/>
      <c r="E192" s="361"/>
      <c r="F192" s="361"/>
      <c r="G192" s="361"/>
      <c r="H192" s="361"/>
      <c r="I192" s="372"/>
      <c r="J192" s="361"/>
      <c r="K192" s="361"/>
      <c r="L192" s="361"/>
      <c r="M192" s="373"/>
      <c r="Y192" s="359"/>
    </row>
    <row r="193" spans="2:25" ht="20.149999999999999" customHeight="1">
      <c r="B193" s="359"/>
      <c r="C193" s="360"/>
      <c r="D193" s="360"/>
      <c r="E193" s="361"/>
      <c r="F193" s="361"/>
      <c r="G193" s="361"/>
      <c r="H193" s="361"/>
      <c r="I193" s="372"/>
      <c r="J193" s="361"/>
      <c r="K193" s="361"/>
      <c r="L193" s="361"/>
      <c r="M193" s="373"/>
      <c r="Y193" s="359"/>
    </row>
    <row r="194" spans="2:25" ht="20.149999999999999" customHeight="1">
      <c r="B194" s="359"/>
      <c r="C194" s="360"/>
      <c r="D194" s="360"/>
      <c r="E194" s="361"/>
      <c r="F194" s="361"/>
      <c r="G194" s="361"/>
      <c r="H194" s="361"/>
      <c r="I194" s="372"/>
      <c r="J194" s="361"/>
      <c r="K194" s="361"/>
      <c r="L194" s="361"/>
      <c r="M194" s="373"/>
      <c r="Y194" s="359"/>
    </row>
    <row r="195" spans="2:25" ht="20.149999999999999" customHeight="1">
      <c r="B195" s="359"/>
      <c r="C195" s="360"/>
      <c r="D195" s="360"/>
      <c r="E195" s="361"/>
      <c r="F195" s="361"/>
      <c r="G195" s="361"/>
      <c r="H195" s="361"/>
      <c r="I195" s="372"/>
      <c r="J195" s="361"/>
      <c r="K195" s="361"/>
      <c r="L195" s="361"/>
      <c r="M195" s="373"/>
      <c r="Y195" s="359"/>
    </row>
    <row r="196" spans="2:25" ht="20.149999999999999" customHeight="1">
      <c r="B196" s="359"/>
      <c r="C196" s="360"/>
      <c r="D196" s="360"/>
      <c r="E196" s="361"/>
      <c r="F196" s="361"/>
      <c r="G196" s="361"/>
      <c r="H196" s="361"/>
      <c r="I196" s="372"/>
      <c r="J196" s="361"/>
      <c r="K196" s="361"/>
      <c r="L196" s="361"/>
      <c r="M196" s="373"/>
      <c r="Y196" s="359"/>
    </row>
    <row r="197" spans="2:25" ht="20.149999999999999" customHeight="1">
      <c r="B197" s="359"/>
      <c r="C197" s="360"/>
      <c r="D197" s="360"/>
      <c r="E197" s="361"/>
      <c r="F197" s="361"/>
      <c r="G197" s="361"/>
      <c r="H197" s="361"/>
      <c r="I197" s="372"/>
      <c r="J197" s="361"/>
      <c r="K197" s="361"/>
      <c r="L197" s="361"/>
      <c r="M197" s="373"/>
      <c r="Y197" s="359"/>
    </row>
    <row r="198" spans="2:25" ht="20.149999999999999" customHeight="1">
      <c r="B198" s="359"/>
      <c r="C198" s="360"/>
      <c r="D198" s="360"/>
      <c r="E198" s="361"/>
      <c r="F198" s="361"/>
      <c r="G198" s="361"/>
      <c r="H198" s="361"/>
      <c r="I198" s="372"/>
      <c r="J198" s="361"/>
      <c r="K198" s="361"/>
      <c r="L198" s="361"/>
      <c r="M198" s="373"/>
      <c r="Y198" s="359"/>
    </row>
    <row r="199" spans="2:25" ht="20.149999999999999" customHeight="1">
      <c r="B199" s="359"/>
      <c r="C199" s="360"/>
      <c r="D199" s="360"/>
      <c r="E199" s="361"/>
      <c r="F199" s="361"/>
      <c r="G199" s="361"/>
      <c r="H199" s="361"/>
      <c r="I199" s="372"/>
      <c r="J199" s="361"/>
      <c r="K199" s="361"/>
      <c r="L199" s="361"/>
      <c r="M199" s="373"/>
      <c r="Y199" s="359"/>
    </row>
    <row r="200" spans="2:25" ht="20.149999999999999" customHeight="1">
      <c r="B200" s="359"/>
      <c r="C200" s="360"/>
      <c r="D200" s="360"/>
      <c r="E200" s="361"/>
      <c r="F200" s="361"/>
      <c r="G200" s="361"/>
      <c r="H200" s="361"/>
      <c r="I200" s="372"/>
      <c r="J200" s="361"/>
      <c r="K200" s="361"/>
      <c r="L200" s="361"/>
      <c r="M200" s="373"/>
      <c r="Y200" s="359"/>
    </row>
    <row r="201" spans="2:25" ht="20.149999999999999" customHeight="1">
      <c r="B201" s="359"/>
      <c r="C201" s="360"/>
      <c r="D201" s="360"/>
      <c r="E201" s="361"/>
      <c r="F201" s="361"/>
      <c r="G201" s="361"/>
      <c r="H201" s="361"/>
      <c r="I201" s="372"/>
      <c r="J201" s="361"/>
      <c r="K201" s="361"/>
      <c r="L201" s="361"/>
      <c r="M201" s="373"/>
      <c r="Y201" s="359"/>
    </row>
    <row r="202" spans="2:25" ht="20.149999999999999" customHeight="1">
      <c r="B202" s="359"/>
      <c r="C202" s="360"/>
      <c r="D202" s="360"/>
      <c r="E202" s="361"/>
      <c r="F202" s="361"/>
      <c r="G202" s="361"/>
      <c r="H202" s="361"/>
      <c r="I202" s="372"/>
      <c r="J202" s="361"/>
      <c r="K202" s="361"/>
      <c r="L202" s="361"/>
      <c r="M202" s="373"/>
      <c r="Y202" s="359"/>
    </row>
    <row r="203" spans="2:25" ht="20.149999999999999" customHeight="1">
      <c r="B203" s="359"/>
      <c r="C203" s="360"/>
      <c r="D203" s="360"/>
      <c r="E203" s="361"/>
      <c r="F203" s="361"/>
      <c r="G203" s="361"/>
      <c r="H203" s="361"/>
      <c r="I203" s="372"/>
      <c r="J203" s="361"/>
      <c r="K203" s="361"/>
      <c r="L203" s="361"/>
      <c r="M203" s="373"/>
      <c r="Y203" s="359"/>
    </row>
    <row r="204" spans="2:25" ht="20.149999999999999" customHeight="1">
      <c r="B204" s="359"/>
      <c r="C204" s="360"/>
      <c r="D204" s="360"/>
      <c r="E204" s="361"/>
      <c r="F204" s="361"/>
      <c r="G204" s="361"/>
      <c r="H204" s="361"/>
      <c r="I204" s="372"/>
      <c r="J204" s="361"/>
      <c r="K204" s="361"/>
      <c r="L204" s="361"/>
      <c r="M204" s="373"/>
      <c r="Y204" s="359"/>
    </row>
    <row r="205" spans="2:25" ht="20.149999999999999" customHeight="1">
      <c r="B205" s="359"/>
      <c r="C205" s="360"/>
      <c r="D205" s="360"/>
      <c r="E205" s="361"/>
      <c r="F205" s="361"/>
      <c r="G205" s="361"/>
      <c r="H205" s="361"/>
      <c r="I205" s="372"/>
      <c r="J205" s="361"/>
      <c r="K205" s="361"/>
      <c r="L205" s="361"/>
      <c r="M205" s="373"/>
      <c r="Y205" s="359"/>
    </row>
    <row r="206" spans="2:25" ht="20.149999999999999" customHeight="1">
      <c r="B206" s="359"/>
      <c r="C206" s="360"/>
      <c r="D206" s="360"/>
      <c r="E206" s="361"/>
      <c r="F206" s="361"/>
      <c r="G206" s="361"/>
      <c r="H206" s="361"/>
      <c r="I206" s="372"/>
      <c r="J206" s="361"/>
      <c r="K206" s="361"/>
      <c r="L206" s="361"/>
      <c r="M206" s="373"/>
      <c r="Y206" s="359"/>
    </row>
    <row r="207" spans="2:25" ht="20.149999999999999" customHeight="1">
      <c r="B207" s="359"/>
      <c r="C207" s="360"/>
      <c r="D207" s="360"/>
      <c r="E207" s="361"/>
      <c r="F207" s="361"/>
      <c r="G207" s="361"/>
      <c r="H207" s="361"/>
      <c r="I207" s="372"/>
      <c r="J207" s="361"/>
      <c r="K207" s="361"/>
      <c r="L207" s="361"/>
      <c r="M207" s="373"/>
      <c r="Y207" s="359"/>
    </row>
    <row r="208" spans="2:25" ht="20.149999999999999" customHeight="1">
      <c r="B208" s="359"/>
      <c r="C208" s="360"/>
      <c r="D208" s="360"/>
      <c r="E208" s="361"/>
      <c r="F208" s="361"/>
      <c r="G208" s="361"/>
      <c r="H208" s="361"/>
      <c r="I208" s="372"/>
      <c r="J208" s="361"/>
      <c r="K208" s="361"/>
      <c r="L208" s="361"/>
      <c r="M208" s="373"/>
      <c r="Y208" s="359"/>
    </row>
    <row r="209" spans="2:25" ht="20.149999999999999" customHeight="1">
      <c r="B209" s="359"/>
      <c r="C209" s="360"/>
      <c r="D209" s="360"/>
      <c r="E209" s="361"/>
      <c r="F209" s="361"/>
      <c r="G209" s="361"/>
      <c r="H209" s="361"/>
      <c r="I209" s="372"/>
      <c r="J209" s="361"/>
      <c r="K209" s="361"/>
      <c r="L209" s="361"/>
      <c r="M209" s="373"/>
      <c r="Y209" s="359"/>
    </row>
    <row r="210" spans="2:25" ht="20.149999999999999" customHeight="1">
      <c r="B210" s="359"/>
      <c r="C210" s="360"/>
      <c r="D210" s="360"/>
      <c r="E210" s="361"/>
      <c r="F210" s="361"/>
      <c r="G210" s="361"/>
      <c r="H210" s="361"/>
      <c r="I210" s="372"/>
      <c r="J210" s="361"/>
      <c r="K210" s="361"/>
      <c r="L210" s="361"/>
      <c r="M210" s="373"/>
      <c r="Y210" s="359"/>
    </row>
    <row r="211" spans="2:25" ht="20.149999999999999" customHeight="1">
      <c r="B211" s="359"/>
      <c r="C211" s="360"/>
      <c r="D211" s="360"/>
      <c r="E211" s="361"/>
      <c r="F211" s="361"/>
      <c r="G211" s="361"/>
      <c r="H211" s="361"/>
      <c r="I211" s="372"/>
      <c r="J211" s="361"/>
      <c r="K211" s="361"/>
      <c r="L211" s="361"/>
      <c r="M211" s="373"/>
      <c r="Y211" s="359"/>
    </row>
    <row r="212" spans="2:25" ht="20.149999999999999" customHeight="1">
      <c r="B212" s="359"/>
      <c r="C212" s="360"/>
      <c r="D212" s="360"/>
      <c r="E212" s="361"/>
      <c r="F212" s="361"/>
      <c r="G212" s="361"/>
      <c r="H212" s="361"/>
      <c r="I212" s="372"/>
      <c r="J212" s="361"/>
      <c r="K212" s="361"/>
      <c r="L212" s="361"/>
      <c r="M212" s="373"/>
      <c r="Y212" s="359"/>
    </row>
    <row r="213" spans="2:25" ht="20.149999999999999" customHeight="1">
      <c r="B213" s="359"/>
      <c r="C213" s="360"/>
      <c r="D213" s="360"/>
      <c r="E213" s="361"/>
      <c r="F213" s="361"/>
      <c r="G213" s="361"/>
      <c r="H213" s="361"/>
      <c r="I213" s="372"/>
      <c r="J213" s="361"/>
      <c r="K213" s="361"/>
      <c r="L213" s="361"/>
      <c r="M213" s="373"/>
      <c r="Y213" s="359"/>
    </row>
    <row r="214" spans="2:25" ht="20.149999999999999" customHeight="1">
      <c r="B214" s="359"/>
      <c r="C214" s="360"/>
      <c r="D214" s="360"/>
      <c r="E214" s="361"/>
      <c r="F214" s="361"/>
      <c r="G214" s="361"/>
      <c r="H214" s="361"/>
      <c r="I214" s="372"/>
      <c r="J214" s="361"/>
      <c r="K214" s="361"/>
      <c r="L214" s="361"/>
      <c r="M214" s="373"/>
      <c r="Y214" s="359"/>
    </row>
    <row r="215" spans="2:25" ht="20.149999999999999" customHeight="1">
      <c r="B215" s="359"/>
      <c r="C215" s="360"/>
      <c r="D215" s="360"/>
      <c r="E215" s="361"/>
      <c r="F215" s="361"/>
      <c r="G215" s="361"/>
      <c r="H215" s="361"/>
      <c r="I215" s="372"/>
      <c r="J215" s="361"/>
      <c r="K215" s="361"/>
      <c r="L215" s="361"/>
      <c r="M215" s="373"/>
      <c r="Y215" s="359"/>
    </row>
    <row r="216" spans="2:25" ht="20.149999999999999" customHeight="1">
      <c r="B216" s="359"/>
      <c r="C216" s="360"/>
      <c r="D216" s="360"/>
      <c r="E216" s="361"/>
      <c r="F216" s="361"/>
      <c r="G216" s="361"/>
      <c r="H216" s="361"/>
      <c r="I216" s="372"/>
      <c r="J216" s="361"/>
      <c r="K216" s="361"/>
      <c r="L216" s="361"/>
      <c r="M216" s="373"/>
      <c r="Y216" s="359"/>
    </row>
    <row r="217" spans="2:25" ht="20.149999999999999" customHeight="1">
      <c r="B217" s="359"/>
      <c r="C217" s="360"/>
      <c r="D217" s="360"/>
      <c r="E217" s="361"/>
      <c r="F217" s="361"/>
      <c r="G217" s="361"/>
      <c r="H217" s="361"/>
      <c r="I217" s="372"/>
      <c r="J217" s="361"/>
      <c r="K217" s="361"/>
      <c r="L217" s="361"/>
      <c r="M217" s="373"/>
      <c r="Y217" s="359"/>
    </row>
    <row r="218" spans="2:25" ht="20.149999999999999" customHeight="1">
      <c r="B218" s="359"/>
      <c r="C218" s="360"/>
      <c r="D218" s="360"/>
      <c r="E218" s="361"/>
      <c r="F218" s="361"/>
      <c r="G218" s="361"/>
      <c r="H218" s="361"/>
      <c r="I218" s="372"/>
      <c r="J218" s="361"/>
      <c r="K218" s="361"/>
      <c r="L218" s="361"/>
      <c r="M218" s="373"/>
      <c r="Y218" s="359"/>
    </row>
    <row r="219" spans="2:25" ht="20.149999999999999" customHeight="1">
      <c r="B219" s="359"/>
      <c r="C219" s="360"/>
      <c r="D219" s="360"/>
      <c r="E219" s="361"/>
      <c r="F219" s="361"/>
      <c r="G219" s="361"/>
      <c r="H219" s="361"/>
      <c r="I219" s="372"/>
      <c r="J219" s="361"/>
      <c r="K219" s="361"/>
      <c r="L219" s="361"/>
      <c r="M219" s="373"/>
      <c r="Y219" s="359"/>
    </row>
    <row r="220" spans="2:25" ht="20.149999999999999" customHeight="1">
      <c r="B220" s="359"/>
      <c r="C220" s="360"/>
      <c r="D220" s="360"/>
      <c r="E220" s="361"/>
      <c r="F220" s="361"/>
      <c r="G220" s="361"/>
      <c r="H220" s="361"/>
      <c r="I220" s="372"/>
      <c r="J220" s="361"/>
      <c r="K220" s="361"/>
      <c r="L220" s="361"/>
      <c r="M220" s="373"/>
      <c r="Y220" s="359"/>
    </row>
    <row r="221" spans="2:25" ht="20.149999999999999" customHeight="1">
      <c r="B221" s="359"/>
      <c r="C221" s="360"/>
      <c r="D221" s="360"/>
      <c r="E221" s="361"/>
      <c r="F221" s="361"/>
      <c r="G221" s="361"/>
      <c r="H221" s="361"/>
      <c r="I221" s="372"/>
      <c r="J221" s="361"/>
      <c r="K221" s="361"/>
      <c r="L221" s="361"/>
      <c r="M221" s="373"/>
      <c r="Y221" s="359"/>
    </row>
    <row r="222" spans="2:25" ht="20.149999999999999" customHeight="1">
      <c r="B222" s="359"/>
      <c r="C222" s="360"/>
      <c r="D222" s="360"/>
      <c r="E222" s="361"/>
      <c r="F222" s="361"/>
      <c r="G222" s="361"/>
      <c r="H222" s="361"/>
      <c r="I222" s="372"/>
      <c r="J222" s="361"/>
      <c r="K222" s="361"/>
      <c r="L222" s="361"/>
      <c r="M222" s="373"/>
      <c r="Y222" s="359"/>
    </row>
    <row r="223" spans="2:25" ht="20.149999999999999" customHeight="1">
      <c r="B223" s="359"/>
      <c r="C223" s="360"/>
      <c r="D223" s="360"/>
      <c r="E223" s="361"/>
      <c r="F223" s="361"/>
      <c r="G223" s="361"/>
      <c r="H223" s="361"/>
      <c r="I223" s="372"/>
      <c r="J223" s="361"/>
      <c r="K223" s="361"/>
      <c r="L223" s="361"/>
      <c r="M223" s="373"/>
      <c r="Y223" s="359"/>
    </row>
    <row r="224" spans="2:25" ht="20.149999999999999" customHeight="1">
      <c r="B224" s="359"/>
      <c r="C224" s="360"/>
      <c r="D224" s="360"/>
      <c r="E224" s="361"/>
      <c r="F224" s="361"/>
      <c r="G224" s="361"/>
      <c r="H224" s="361"/>
      <c r="I224" s="372"/>
      <c r="J224" s="361"/>
      <c r="K224" s="361"/>
      <c r="L224" s="361"/>
      <c r="M224" s="373"/>
      <c r="Y224" s="359"/>
    </row>
    <row r="225" spans="2:25" ht="20.149999999999999" customHeight="1">
      <c r="B225" s="359"/>
      <c r="C225" s="360"/>
      <c r="D225" s="360"/>
      <c r="E225" s="361"/>
      <c r="F225" s="361"/>
      <c r="G225" s="361"/>
      <c r="H225" s="361"/>
      <c r="I225" s="372"/>
      <c r="J225" s="361"/>
      <c r="K225" s="361"/>
      <c r="L225" s="361"/>
      <c r="M225" s="373"/>
      <c r="Y225" s="359"/>
    </row>
    <row r="226" spans="2:25" ht="20.149999999999999" customHeight="1">
      <c r="B226" s="359"/>
      <c r="C226" s="360"/>
      <c r="D226" s="360"/>
      <c r="E226" s="361"/>
      <c r="F226" s="361"/>
      <c r="G226" s="361"/>
      <c r="H226" s="361"/>
      <c r="I226" s="372"/>
      <c r="J226" s="361"/>
      <c r="K226" s="361"/>
      <c r="L226" s="361"/>
      <c r="M226" s="373"/>
      <c r="Y226" s="359"/>
    </row>
    <row r="227" spans="2:25" ht="20.149999999999999" customHeight="1">
      <c r="B227" s="359"/>
      <c r="C227" s="360"/>
      <c r="D227" s="360"/>
      <c r="E227" s="361"/>
      <c r="F227" s="361"/>
      <c r="G227" s="361"/>
      <c r="H227" s="361"/>
      <c r="I227" s="372"/>
      <c r="J227" s="361"/>
      <c r="K227" s="361"/>
      <c r="L227" s="361"/>
      <c r="M227" s="373"/>
      <c r="Y227" s="359"/>
    </row>
    <row r="228" spans="2:25" ht="20.149999999999999" customHeight="1">
      <c r="B228" s="359"/>
      <c r="C228" s="360"/>
      <c r="D228" s="360"/>
      <c r="E228" s="361"/>
      <c r="F228" s="361"/>
      <c r="G228" s="361"/>
      <c r="H228" s="361"/>
      <c r="I228" s="372"/>
      <c r="J228" s="361"/>
      <c r="K228" s="361"/>
      <c r="L228" s="361"/>
      <c r="M228" s="373"/>
      <c r="Y228" s="359"/>
    </row>
    <row r="229" spans="2:25" ht="20.149999999999999" customHeight="1">
      <c r="B229" s="359"/>
      <c r="C229" s="360"/>
      <c r="D229" s="360"/>
      <c r="E229" s="361"/>
      <c r="F229" s="361"/>
      <c r="G229" s="361"/>
      <c r="H229" s="361"/>
      <c r="I229" s="372"/>
      <c r="J229" s="361"/>
      <c r="K229" s="361"/>
      <c r="L229" s="361"/>
      <c r="M229" s="373"/>
      <c r="Y229" s="359"/>
    </row>
    <row r="230" spans="2:25" ht="20.149999999999999" customHeight="1">
      <c r="B230" s="359"/>
      <c r="C230" s="360"/>
      <c r="D230" s="360"/>
      <c r="E230" s="361"/>
      <c r="F230" s="361"/>
      <c r="G230" s="361"/>
      <c r="H230" s="361"/>
      <c r="I230" s="372"/>
      <c r="J230" s="361"/>
      <c r="K230" s="361"/>
      <c r="L230" s="361"/>
      <c r="M230" s="373"/>
      <c r="Y230" s="359"/>
    </row>
    <row r="231" spans="2:25" ht="20.149999999999999" customHeight="1">
      <c r="B231" s="359"/>
      <c r="C231" s="360"/>
      <c r="D231" s="360"/>
      <c r="E231" s="361"/>
      <c r="F231" s="361"/>
      <c r="G231" s="361"/>
      <c r="H231" s="361"/>
      <c r="I231" s="372"/>
      <c r="J231" s="361"/>
      <c r="K231" s="361"/>
      <c r="L231" s="361"/>
      <c r="M231" s="373"/>
      <c r="Y231" s="359"/>
    </row>
    <row r="232" spans="2:25" ht="20.149999999999999" customHeight="1">
      <c r="B232" s="359"/>
      <c r="C232" s="360"/>
      <c r="D232" s="360"/>
      <c r="E232" s="361"/>
      <c r="F232" s="361"/>
      <c r="G232" s="361"/>
      <c r="H232" s="361"/>
      <c r="I232" s="372"/>
      <c r="J232" s="361"/>
      <c r="K232" s="361"/>
      <c r="L232" s="361"/>
      <c r="M232" s="373"/>
      <c r="Y232" s="359"/>
    </row>
    <row r="233" spans="2:25" ht="20.149999999999999" customHeight="1">
      <c r="B233" s="359"/>
      <c r="C233" s="360"/>
      <c r="D233" s="360"/>
      <c r="E233" s="361"/>
      <c r="F233" s="361"/>
      <c r="G233" s="361"/>
      <c r="H233" s="361"/>
      <c r="I233" s="372"/>
      <c r="J233" s="361"/>
      <c r="K233" s="361"/>
      <c r="L233" s="361"/>
      <c r="M233" s="373"/>
      <c r="Y233" s="359"/>
    </row>
    <row r="234" spans="2:25" ht="20.149999999999999" customHeight="1">
      <c r="B234" s="359"/>
      <c r="C234" s="360"/>
      <c r="D234" s="360"/>
      <c r="E234" s="361"/>
      <c r="F234" s="361"/>
      <c r="G234" s="361"/>
      <c r="H234" s="361"/>
      <c r="I234" s="372"/>
      <c r="J234" s="361"/>
      <c r="K234" s="361"/>
      <c r="L234" s="361"/>
      <c r="M234" s="373"/>
      <c r="Y234" s="359"/>
    </row>
    <row r="235" spans="2:25" ht="20.149999999999999" customHeight="1">
      <c r="B235" s="359"/>
      <c r="C235" s="360"/>
      <c r="D235" s="360"/>
      <c r="E235" s="361"/>
      <c r="F235" s="361"/>
      <c r="G235" s="361"/>
      <c r="H235" s="361"/>
      <c r="I235" s="372"/>
      <c r="J235" s="361"/>
      <c r="K235" s="361"/>
      <c r="L235" s="361"/>
      <c r="M235" s="373"/>
      <c r="Y235" s="359"/>
    </row>
    <row r="236" spans="2:25" ht="20.149999999999999" customHeight="1">
      <c r="B236" s="359"/>
      <c r="C236" s="360"/>
      <c r="D236" s="360"/>
      <c r="E236" s="361"/>
      <c r="F236" s="361"/>
      <c r="G236" s="361"/>
      <c r="H236" s="361"/>
      <c r="I236" s="372"/>
      <c r="J236" s="361"/>
      <c r="K236" s="361"/>
      <c r="L236" s="361"/>
      <c r="M236" s="373"/>
      <c r="Y236" s="359"/>
    </row>
    <row r="237" spans="2:25" ht="20.149999999999999" customHeight="1">
      <c r="B237" s="359"/>
      <c r="C237" s="360"/>
      <c r="D237" s="360"/>
      <c r="E237" s="361"/>
      <c r="F237" s="361"/>
      <c r="G237" s="361"/>
      <c r="H237" s="361"/>
      <c r="I237" s="372"/>
      <c r="J237" s="361"/>
      <c r="K237" s="361"/>
      <c r="L237" s="361"/>
      <c r="M237" s="373"/>
      <c r="Y237" s="359"/>
    </row>
    <row r="238" spans="2:25" ht="20.149999999999999" customHeight="1">
      <c r="B238" s="359"/>
      <c r="C238" s="360"/>
      <c r="D238" s="360"/>
      <c r="E238" s="361"/>
      <c r="F238" s="361"/>
      <c r="G238" s="361"/>
      <c r="H238" s="361"/>
      <c r="I238" s="372"/>
      <c r="J238" s="361"/>
      <c r="K238" s="361"/>
      <c r="L238" s="361"/>
      <c r="M238" s="373"/>
      <c r="Y238" s="359"/>
    </row>
    <row r="239" spans="2:25" ht="20.149999999999999" customHeight="1">
      <c r="B239" s="359"/>
      <c r="C239" s="360"/>
      <c r="D239" s="360"/>
      <c r="E239" s="361"/>
      <c r="F239" s="361"/>
      <c r="G239" s="361"/>
      <c r="H239" s="361"/>
      <c r="I239" s="372"/>
      <c r="J239" s="361"/>
      <c r="K239" s="361"/>
      <c r="L239" s="361"/>
      <c r="M239" s="373"/>
      <c r="Y239" s="359"/>
    </row>
    <row r="240" spans="2:25" ht="20.149999999999999" customHeight="1">
      <c r="B240" s="359"/>
      <c r="C240" s="360"/>
      <c r="D240" s="360"/>
      <c r="E240" s="361"/>
      <c r="F240" s="361"/>
      <c r="G240" s="361"/>
      <c r="H240" s="361"/>
      <c r="I240" s="372"/>
      <c r="J240" s="361"/>
      <c r="K240" s="361"/>
      <c r="L240" s="361"/>
      <c r="M240" s="373"/>
      <c r="Y240" s="359"/>
    </row>
    <row r="241" spans="2:25" ht="20.149999999999999" customHeight="1">
      <c r="B241" s="359"/>
      <c r="C241" s="360"/>
      <c r="D241" s="360"/>
      <c r="E241" s="361"/>
      <c r="F241" s="361"/>
      <c r="G241" s="361"/>
      <c r="H241" s="361"/>
      <c r="I241" s="372"/>
      <c r="J241" s="361"/>
      <c r="K241" s="361"/>
      <c r="L241" s="361"/>
      <c r="M241" s="373"/>
      <c r="Y241" s="359"/>
    </row>
    <row r="242" spans="2:25" ht="20.149999999999999" customHeight="1">
      <c r="B242" s="359"/>
      <c r="C242" s="360"/>
      <c r="D242" s="360"/>
      <c r="E242" s="361"/>
      <c r="F242" s="361"/>
      <c r="G242" s="361"/>
      <c r="H242" s="361"/>
      <c r="I242" s="372"/>
      <c r="J242" s="361"/>
      <c r="K242" s="361"/>
      <c r="L242" s="361"/>
      <c r="M242" s="373"/>
      <c r="Y242" s="359"/>
    </row>
    <row r="243" spans="2:25" ht="20.149999999999999" customHeight="1">
      <c r="B243" s="359"/>
      <c r="C243" s="360"/>
      <c r="D243" s="360"/>
      <c r="E243" s="361"/>
      <c r="F243" s="361"/>
      <c r="G243" s="361"/>
      <c r="H243" s="361"/>
      <c r="I243" s="372"/>
      <c r="J243" s="361"/>
      <c r="K243" s="361"/>
      <c r="L243" s="361"/>
      <c r="M243" s="373"/>
      <c r="Y243" s="359"/>
    </row>
    <row r="244" spans="2:25" ht="20.149999999999999" customHeight="1">
      <c r="B244" s="359"/>
      <c r="C244" s="360"/>
      <c r="D244" s="360"/>
      <c r="E244" s="361"/>
      <c r="F244" s="361"/>
      <c r="G244" s="361"/>
      <c r="H244" s="361"/>
      <c r="I244" s="372"/>
      <c r="J244" s="361"/>
      <c r="K244" s="361"/>
      <c r="L244" s="361"/>
      <c r="M244" s="373"/>
      <c r="Y244" s="359"/>
    </row>
    <row r="245" spans="2:25" ht="20.149999999999999" customHeight="1">
      <c r="B245" s="359"/>
      <c r="C245" s="360"/>
      <c r="D245" s="360"/>
      <c r="E245" s="361"/>
      <c r="F245" s="361"/>
      <c r="G245" s="361"/>
      <c r="H245" s="361"/>
      <c r="I245" s="372"/>
      <c r="J245" s="361"/>
      <c r="K245" s="361"/>
      <c r="L245" s="361"/>
      <c r="M245" s="373"/>
      <c r="Y245" s="359"/>
    </row>
    <row r="246" spans="2:25" ht="20.149999999999999" customHeight="1">
      <c r="B246" s="359"/>
      <c r="C246" s="360"/>
      <c r="D246" s="360"/>
      <c r="E246" s="361"/>
      <c r="F246" s="361"/>
      <c r="G246" s="361"/>
      <c r="H246" s="361"/>
      <c r="I246" s="372"/>
      <c r="J246" s="361"/>
      <c r="K246" s="361"/>
      <c r="L246" s="361"/>
      <c r="M246" s="373"/>
      <c r="Y246" s="359"/>
    </row>
    <row r="247" spans="2:25" ht="20.149999999999999" customHeight="1">
      <c r="B247" s="359"/>
      <c r="C247" s="360"/>
      <c r="D247" s="360"/>
      <c r="E247" s="361"/>
      <c r="F247" s="361"/>
      <c r="G247" s="361"/>
      <c r="H247" s="361"/>
      <c r="I247" s="372"/>
      <c r="J247" s="361"/>
      <c r="K247" s="361"/>
      <c r="L247" s="361"/>
      <c r="M247" s="373"/>
      <c r="Y247" s="359"/>
    </row>
    <row r="248" spans="2:25" ht="20.149999999999999" customHeight="1">
      <c r="B248" s="359"/>
      <c r="C248" s="360"/>
      <c r="D248" s="360"/>
      <c r="E248" s="361"/>
      <c r="F248" s="361"/>
      <c r="G248" s="361"/>
      <c r="H248" s="361"/>
      <c r="I248" s="372"/>
      <c r="J248" s="361"/>
      <c r="K248" s="361"/>
      <c r="L248" s="361"/>
      <c r="M248" s="373"/>
      <c r="Y248" s="359"/>
    </row>
    <row r="249" spans="2:25" ht="20.149999999999999" customHeight="1">
      <c r="B249" s="359"/>
      <c r="C249" s="360"/>
      <c r="D249" s="360"/>
      <c r="E249" s="361"/>
      <c r="F249" s="361"/>
      <c r="G249" s="361"/>
      <c r="H249" s="361"/>
      <c r="I249" s="372"/>
      <c r="J249" s="361"/>
      <c r="K249" s="361"/>
      <c r="L249" s="361"/>
      <c r="M249" s="373"/>
      <c r="Y249" s="359"/>
    </row>
    <row r="250" spans="2:25" ht="20.149999999999999" customHeight="1">
      <c r="B250" s="359"/>
      <c r="C250" s="360"/>
      <c r="D250" s="360"/>
      <c r="E250" s="361"/>
      <c r="F250" s="361"/>
      <c r="G250" s="361"/>
      <c r="H250" s="361"/>
      <c r="I250" s="372"/>
      <c r="J250" s="361"/>
      <c r="K250" s="361"/>
      <c r="L250" s="361"/>
      <c r="M250" s="373"/>
      <c r="Y250" s="359"/>
    </row>
    <row r="251" spans="2:25" ht="20.149999999999999" customHeight="1">
      <c r="B251" s="359"/>
      <c r="C251" s="360"/>
      <c r="D251" s="360"/>
      <c r="E251" s="361"/>
      <c r="F251" s="361"/>
      <c r="G251" s="361"/>
      <c r="H251" s="361"/>
      <c r="I251" s="372"/>
      <c r="J251" s="361"/>
      <c r="K251" s="361"/>
      <c r="L251" s="361"/>
      <c r="M251" s="373"/>
      <c r="Y251" s="359"/>
    </row>
    <row r="252" spans="2:25" ht="20.149999999999999" customHeight="1">
      <c r="B252" s="359"/>
      <c r="C252" s="360"/>
      <c r="D252" s="360"/>
      <c r="E252" s="361"/>
      <c r="F252" s="361"/>
      <c r="G252" s="361"/>
      <c r="H252" s="361"/>
      <c r="I252" s="372"/>
      <c r="J252" s="361"/>
      <c r="K252" s="361"/>
      <c r="L252" s="361"/>
      <c r="M252" s="373"/>
      <c r="Y252" s="359"/>
    </row>
    <row r="253" spans="2:25" ht="20.149999999999999" customHeight="1">
      <c r="B253" s="359"/>
      <c r="C253" s="360"/>
      <c r="D253" s="360"/>
      <c r="E253" s="361"/>
      <c r="F253" s="361"/>
      <c r="G253" s="361"/>
      <c r="H253" s="361"/>
      <c r="I253" s="372"/>
      <c r="J253" s="361"/>
      <c r="K253" s="361"/>
      <c r="L253" s="361"/>
      <c r="M253" s="373"/>
      <c r="Y253" s="359"/>
    </row>
    <row r="254" spans="2:25" ht="20.149999999999999" customHeight="1">
      <c r="B254" s="359"/>
      <c r="C254" s="360"/>
      <c r="D254" s="360"/>
      <c r="E254" s="361"/>
      <c r="F254" s="361"/>
      <c r="G254" s="361"/>
      <c r="H254" s="361"/>
      <c r="I254" s="372"/>
      <c r="J254" s="361"/>
      <c r="K254" s="361"/>
      <c r="L254" s="361"/>
      <c r="M254" s="373"/>
      <c r="Y254" s="359"/>
    </row>
    <row r="255" spans="2:25" ht="20.149999999999999" customHeight="1">
      <c r="B255" s="359"/>
      <c r="C255" s="360"/>
      <c r="D255" s="360"/>
      <c r="E255" s="361"/>
      <c r="F255" s="361"/>
      <c r="G255" s="361"/>
      <c r="H255" s="361"/>
      <c r="I255" s="372"/>
      <c r="J255" s="361"/>
      <c r="K255" s="361"/>
      <c r="L255" s="361"/>
      <c r="M255" s="373"/>
      <c r="Y255" s="359"/>
    </row>
    <row r="256" spans="2:25" ht="20.149999999999999" customHeight="1">
      <c r="B256" s="359"/>
      <c r="C256" s="360"/>
      <c r="D256" s="360"/>
      <c r="E256" s="361"/>
      <c r="F256" s="361"/>
      <c r="G256" s="361"/>
      <c r="H256" s="361"/>
      <c r="I256" s="372"/>
      <c r="J256" s="361"/>
      <c r="K256" s="361"/>
      <c r="L256" s="361"/>
      <c r="M256" s="373"/>
      <c r="Y256" s="359"/>
    </row>
    <row r="257" spans="2:25" ht="20.149999999999999" customHeight="1">
      <c r="B257" s="359"/>
      <c r="C257" s="360"/>
      <c r="D257" s="360"/>
      <c r="E257" s="361"/>
      <c r="F257" s="361"/>
      <c r="G257" s="361"/>
      <c r="H257" s="361"/>
      <c r="I257" s="372"/>
      <c r="J257" s="361"/>
      <c r="K257" s="361"/>
      <c r="L257" s="361"/>
      <c r="M257" s="373"/>
      <c r="Y257" s="359"/>
    </row>
    <row r="258" spans="2:25" ht="20.149999999999999" customHeight="1">
      <c r="B258" s="359"/>
      <c r="C258" s="360"/>
      <c r="D258" s="360"/>
      <c r="E258" s="361"/>
      <c r="F258" s="361"/>
      <c r="G258" s="361"/>
      <c r="H258" s="361"/>
      <c r="I258" s="372"/>
      <c r="J258" s="361"/>
      <c r="K258" s="361"/>
      <c r="L258" s="361"/>
      <c r="M258" s="373"/>
      <c r="Y258" s="359"/>
    </row>
    <row r="259" spans="2:25" ht="20.149999999999999" customHeight="1">
      <c r="B259" s="359"/>
      <c r="C259" s="360"/>
      <c r="D259" s="360"/>
      <c r="E259" s="361"/>
      <c r="F259" s="361"/>
      <c r="G259" s="361"/>
      <c r="H259" s="361"/>
      <c r="I259" s="372"/>
      <c r="J259" s="361"/>
      <c r="K259" s="361"/>
      <c r="L259" s="361"/>
      <c r="M259" s="373"/>
      <c r="Y259" s="359"/>
    </row>
    <row r="260" spans="2:25" ht="20.149999999999999" customHeight="1">
      <c r="B260" s="359"/>
      <c r="C260" s="360"/>
      <c r="D260" s="360"/>
      <c r="E260" s="361"/>
      <c r="F260" s="361"/>
      <c r="G260" s="361"/>
      <c r="H260" s="361"/>
      <c r="I260" s="372"/>
      <c r="J260" s="361"/>
      <c r="K260" s="361"/>
      <c r="L260" s="361"/>
      <c r="M260" s="373"/>
      <c r="Y260" s="359"/>
    </row>
    <row r="261" spans="2:25" ht="20.149999999999999" customHeight="1">
      <c r="B261" s="359"/>
      <c r="C261" s="360"/>
      <c r="D261" s="360"/>
      <c r="E261" s="361"/>
      <c r="F261" s="361"/>
      <c r="G261" s="361"/>
      <c r="H261" s="361"/>
      <c r="I261" s="372"/>
      <c r="J261" s="361"/>
      <c r="K261" s="361"/>
      <c r="L261" s="361"/>
      <c r="M261" s="373"/>
      <c r="Y261" s="359"/>
    </row>
    <row r="262" spans="2:25" ht="20.149999999999999" customHeight="1">
      <c r="B262" s="359"/>
      <c r="C262" s="360"/>
      <c r="D262" s="360"/>
      <c r="E262" s="361"/>
      <c r="F262" s="361"/>
      <c r="G262" s="361"/>
      <c r="H262" s="361"/>
      <c r="I262" s="372"/>
      <c r="J262" s="361"/>
      <c r="K262" s="361"/>
      <c r="L262" s="361"/>
      <c r="M262" s="373"/>
      <c r="Y262" s="359"/>
    </row>
    <row r="263" spans="2:25" ht="20.149999999999999" customHeight="1">
      <c r="B263" s="359"/>
      <c r="C263" s="360"/>
      <c r="D263" s="360"/>
      <c r="E263" s="361"/>
      <c r="F263" s="361"/>
      <c r="G263" s="361"/>
      <c r="H263" s="361"/>
      <c r="I263" s="372"/>
      <c r="J263" s="361"/>
      <c r="K263" s="361"/>
      <c r="L263" s="361"/>
      <c r="M263" s="373"/>
      <c r="Y263" s="359"/>
    </row>
    <row r="264" spans="2:25" ht="20.149999999999999" customHeight="1">
      <c r="B264" s="359"/>
      <c r="C264" s="360"/>
      <c r="D264" s="360"/>
      <c r="E264" s="361"/>
      <c r="F264" s="361"/>
      <c r="G264" s="361"/>
      <c r="H264" s="361"/>
      <c r="I264" s="372"/>
      <c r="J264" s="361"/>
      <c r="K264" s="361"/>
      <c r="L264" s="361"/>
      <c r="M264" s="373"/>
      <c r="Y264" s="359"/>
    </row>
    <row r="265" spans="2:25" ht="20.149999999999999" customHeight="1">
      <c r="B265" s="359"/>
      <c r="C265" s="360"/>
      <c r="D265" s="360"/>
      <c r="E265" s="361"/>
      <c r="F265" s="361"/>
      <c r="G265" s="361"/>
      <c r="H265" s="361"/>
      <c r="I265" s="372"/>
      <c r="J265" s="361"/>
      <c r="K265" s="361"/>
      <c r="L265" s="361"/>
      <c r="M265" s="373"/>
      <c r="Y265" s="359"/>
    </row>
    <row r="266" spans="2:25" ht="20.149999999999999" customHeight="1">
      <c r="B266" s="359"/>
      <c r="C266" s="360"/>
      <c r="D266" s="360"/>
      <c r="E266" s="361"/>
      <c r="F266" s="361"/>
      <c r="G266" s="361"/>
      <c r="H266" s="361"/>
      <c r="I266" s="372"/>
      <c r="J266" s="361"/>
      <c r="K266" s="361"/>
      <c r="L266" s="361"/>
      <c r="M266" s="373"/>
      <c r="Y266" s="359"/>
    </row>
    <row r="267" spans="2:25" ht="20.149999999999999" customHeight="1">
      <c r="B267" s="359"/>
      <c r="C267" s="360"/>
      <c r="D267" s="360"/>
      <c r="E267" s="361"/>
      <c r="F267" s="361"/>
      <c r="G267" s="361"/>
      <c r="H267" s="361"/>
      <c r="I267" s="372"/>
      <c r="J267" s="361"/>
      <c r="K267" s="361"/>
      <c r="L267" s="361"/>
      <c r="M267" s="373"/>
      <c r="Y267" s="359"/>
    </row>
    <row r="268" spans="2:25" ht="20.149999999999999" customHeight="1">
      <c r="B268" s="359"/>
      <c r="C268" s="360"/>
      <c r="D268" s="360"/>
      <c r="E268" s="361"/>
      <c r="F268" s="361"/>
      <c r="G268" s="361"/>
      <c r="H268" s="361"/>
      <c r="I268" s="372"/>
      <c r="J268" s="361"/>
      <c r="K268" s="361"/>
      <c r="L268" s="361"/>
      <c r="M268" s="373"/>
      <c r="Y268" s="359"/>
    </row>
    <row r="269" spans="2:25" ht="20.149999999999999" customHeight="1">
      <c r="B269" s="359"/>
      <c r="C269" s="360"/>
      <c r="D269" s="360"/>
      <c r="E269" s="361"/>
      <c r="F269" s="361"/>
      <c r="G269" s="361"/>
      <c r="H269" s="361"/>
      <c r="I269" s="372"/>
      <c r="J269" s="361"/>
      <c r="K269" s="361"/>
      <c r="L269" s="361"/>
      <c r="M269" s="373"/>
      <c r="Y269" s="359"/>
    </row>
    <row r="270" spans="2:25" ht="20.149999999999999" customHeight="1">
      <c r="B270" s="359"/>
      <c r="C270" s="360"/>
      <c r="D270" s="360"/>
      <c r="E270" s="361"/>
      <c r="F270" s="361"/>
      <c r="G270" s="361"/>
      <c r="H270" s="361"/>
      <c r="I270" s="372"/>
      <c r="J270" s="361"/>
      <c r="K270" s="361"/>
      <c r="L270" s="361"/>
      <c r="M270" s="373"/>
      <c r="Y270" s="359"/>
    </row>
    <row r="271" spans="2:25" ht="20.149999999999999" customHeight="1">
      <c r="B271" s="359"/>
      <c r="C271" s="360"/>
      <c r="D271" s="360"/>
      <c r="E271" s="361"/>
      <c r="F271" s="361"/>
      <c r="G271" s="361"/>
      <c r="H271" s="361"/>
      <c r="I271" s="372"/>
      <c r="J271" s="361"/>
      <c r="K271" s="361"/>
      <c r="L271" s="361"/>
      <c r="M271" s="373"/>
      <c r="Y271" s="359"/>
    </row>
    <row r="272" spans="2:25" ht="20.149999999999999" customHeight="1">
      <c r="B272" s="359"/>
      <c r="C272" s="360"/>
      <c r="D272" s="360"/>
      <c r="E272" s="361"/>
      <c r="F272" s="361"/>
      <c r="G272" s="361"/>
      <c r="H272" s="361"/>
      <c r="I272" s="372"/>
      <c r="J272" s="361"/>
      <c r="K272" s="361"/>
      <c r="L272" s="361"/>
      <c r="M272" s="373"/>
      <c r="Y272" s="359"/>
    </row>
    <row r="273" spans="2:25" ht="20.149999999999999" customHeight="1">
      <c r="B273" s="359"/>
      <c r="C273" s="360"/>
      <c r="D273" s="360"/>
      <c r="E273" s="361"/>
      <c r="F273" s="361"/>
      <c r="G273" s="361"/>
      <c r="H273" s="361"/>
      <c r="I273" s="372"/>
      <c r="J273" s="361"/>
      <c r="K273" s="361"/>
      <c r="L273" s="361"/>
      <c r="M273" s="373"/>
      <c r="Y273" s="359"/>
    </row>
    <row r="274" spans="2:25" ht="20.149999999999999" customHeight="1">
      <c r="B274" s="359"/>
      <c r="C274" s="360"/>
      <c r="D274" s="360"/>
      <c r="E274" s="361"/>
      <c r="F274" s="361"/>
      <c r="G274" s="361"/>
      <c r="H274" s="361"/>
      <c r="I274" s="372"/>
      <c r="J274" s="361"/>
      <c r="K274" s="361"/>
      <c r="L274" s="361"/>
      <c r="M274" s="373"/>
      <c r="Y274" s="359"/>
    </row>
    <row r="275" spans="2:25" ht="20.149999999999999" customHeight="1">
      <c r="B275" s="359"/>
      <c r="C275" s="360"/>
      <c r="D275" s="360"/>
      <c r="E275" s="361"/>
      <c r="F275" s="361"/>
      <c r="G275" s="361"/>
      <c r="H275" s="361"/>
      <c r="I275" s="372"/>
      <c r="J275" s="361"/>
      <c r="K275" s="361"/>
      <c r="L275" s="361"/>
      <c r="M275" s="373"/>
      <c r="Y275" s="359"/>
    </row>
    <row r="276" spans="2:25" ht="20.149999999999999" customHeight="1">
      <c r="B276" s="359"/>
      <c r="C276" s="360"/>
      <c r="D276" s="360"/>
      <c r="E276" s="361"/>
      <c r="F276" s="361"/>
      <c r="G276" s="361"/>
      <c r="H276" s="361"/>
      <c r="I276" s="372"/>
      <c r="J276" s="361"/>
      <c r="K276" s="361"/>
      <c r="L276" s="361"/>
      <c r="M276" s="373"/>
      <c r="Y276" s="359"/>
    </row>
    <row r="277" spans="2:25" ht="20.149999999999999" customHeight="1">
      <c r="B277" s="359"/>
      <c r="C277" s="360"/>
      <c r="D277" s="360"/>
      <c r="E277" s="361"/>
      <c r="F277" s="361"/>
      <c r="G277" s="361"/>
      <c r="H277" s="361"/>
      <c r="I277" s="372"/>
      <c r="J277" s="361"/>
      <c r="K277" s="361"/>
      <c r="L277" s="361"/>
      <c r="M277" s="373"/>
      <c r="Y277" s="359"/>
    </row>
    <row r="278" spans="2:25" ht="20.149999999999999" customHeight="1">
      <c r="B278" s="359"/>
      <c r="C278" s="360"/>
      <c r="D278" s="360"/>
      <c r="E278" s="361"/>
      <c r="F278" s="361"/>
      <c r="G278" s="361"/>
      <c r="H278" s="361"/>
      <c r="I278" s="372"/>
      <c r="J278" s="361"/>
      <c r="K278" s="361"/>
      <c r="L278" s="361"/>
      <c r="M278" s="373"/>
      <c r="Y278" s="359"/>
    </row>
    <row r="279" spans="2:25" ht="20.149999999999999" customHeight="1">
      <c r="B279" s="359"/>
      <c r="C279" s="360"/>
      <c r="D279" s="360"/>
      <c r="E279" s="361"/>
      <c r="F279" s="361"/>
      <c r="G279" s="361"/>
      <c r="H279" s="361"/>
      <c r="I279" s="372"/>
      <c r="J279" s="361"/>
      <c r="K279" s="361"/>
      <c r="L279" s="361"/>
      <c r="M279" s="373"/>
      <c r="Y279" s="359"/>
    </row>
    <row r="280" spans="2:25" ht="20.149999999999999" customHeight="1">
      <c r="B280" s="359"/>
      <c r="C280" s="360"/>
      <c r="D280" s="360"/>
      <c r="E280" s="361"/>
      <c r="F280" s="361"/>
      <c r="G280" s="361"/>
      <c r="H280" s="361"/>
      <c r="I280" s="372"/>
      <c r="J280" s="361"/>
      <c r="K280" s="361"/>
      <c r="L280" s="361"/>
      <c r="M280" s="373"/>
      <c r="Y280" s="359"/>
    </row>
    <row r="281" spans="2:25" ht="20.149999999999999" customHeight="1">
      <c r="B281" s="359"/>
      <c r="C281" s="360"/>
      <c r="D281" s="360"/>
      <c r="E281" s="361"/>
      <c r="F281" s="361"/>
      <c r="G281" s="361"/>
      <c r="H281" s="361"/>
      <c r="I281" s="372"/>
      <c r="J281" s="361"/>
      <c r="K281" s="361"/>
      <c r="L281" s="361"/>
      <c r="M281" s="373"/>
      <c r="Y281" s="359"/>
    </row>
    <row r="282" spans="2:25" ht="20.149999999999999" customHeight="1">
      <c r="B282" s="359"/>
      <c r="C282" s="360"/>
      <c r="D282" s="360"/>
      <c r="E282" s="361"/>
      <c r="F282" s="361"/>
      <c r="G282" s="361"/>
      <c r="H282" s="361"/>
      <c r="I282" s="372"/>
      <c r="J282" s="361"/>
      <c r="K282" s="361"/>
      <c r="L282" s="361"/>
      <c r="M282" s="373"/>
      <c r="Y282" s="359"/>
    </row>
    <row r="283" spans="2:25" ht="20.149999999999999" customHeight="1">
      <c r="B283" s="359"/>
      <c r="C283" s="360"/>
      <c r="D283" s="360"/>
      <c r="E283" s="361"/>
      <c r="F283" s="361"/>
      <c r="G283" s="361"/>
      <c r="H283" s="361"/>
      <c r="I283" s="372"/>
      <c r="J283" s="361"/>
      <c r="K283" s="361"/>
      <c r="L283" s="361"/>
      <c r="M283" s="373"/>
      <c r="Y283" s="359"/>
    </row>
    <row r="284" spans="2:25" ht="20.149999999999999" customHeight="1">
      <c r="B284" s="359"/>
      <c r="C284" s="360"/>
      <c r="D284" s="360"/>
      <c r="E284" s="361"/>
      <c r="F284" s="361"/>
      <c r="G284" s="361"/>
      <c r="H284" s="361"/>
      <c r="I284" s="372"/>
      <c r="J284" s="361"/>
      <c r="K284" s="361"/>
      <c r="L284" s="361"/>
      <c r="M284" s="373"/>
      <c r="Y284" s="359"/>
    </row>
    <row r="285" spans="2:25" ht="20.149999999999999" customHeight="1">
      <c r="B285" s="359"/>
      <c r="C285" s="360"/>
      <c r="D285" s="360"/>
      <c r="E285" s="361"/>
      <c r="F285" s="361"/>
      <c r="G285" s="361"/>
      <c r="H285" s="361"/>
      <c r="I285" s="372"/>
      <c r="J285" s="361"/>
      <c r="K285" s="361"/>
      <c r="L285" s="361"/>
      <c r="M285" s="373"/>
      <c r="Y285" s="359"/>
    </row>
    <row r="286" spans="2:25" ht="20.149999999999999" customHeight="1">
      <c r="B286" s="359"/>
      <c r="C286" s="360"/>
      <c r="D286" s="360"/>
      <c r="E286" s="361"/>
      <c r="F286" s="361"/>
      <c r="G286" s="361"/>
      <c r="H286" s="361"/>
      <c r="I286" s="372"/>
      <c r="J286" s="361"/>
      <c r="K286" s="361"/>
      <c r="L286" s="361"/>
      <c r="M286" s="373"/>
      <c r="Y286" s="359"/>
    </row>
    <row r="287" spans="2:25" ht="20.149999999999999" customHeight="1">
      <c r="B287" s="359"/>
      <c r="C287" s="360"/>
      <c r="D287" s="360"/>
      <c r="E287" s="361"/>
      <c r="F287" s="361"/>
      <c r="G287" s="361"/>
      <c r="H287" s="361"/>
      <c r="I287" s="372"/>
      <c r="J287" s="361"/>
      <c r="K287" s="361"/>
      <c r="L287" s="361"/>
      <c r="M287" s="373"/>
      <c r="Y287" s="359"/>
    </row>
    <row r="288" spans="2:25" ht="20.149999999999999" customHeight="1">
      <c r="B288" s="359"/>
      <c r="C288" s="360"/>
      <c r="D288" s="360"/>
      <c r="E288" s="361"/>
      <c r="F288" s="361"/>
      <c r="G288" s="361"/>
      <c r="H288" s="361"/>
      <c r="I288" s="372"/>
      <c r="J288" s="361"/>
      <c r="K288" s="361"/>
      <c r="L288" s="361"/>
      <c r="M288" s="373"/>
      <c r="Y288" s="359"/>
    </row>
    <row r="289" spans="2:25" ht="20.149999999999999" customHeight="1">
      <c r="B289" s="359"/>
      <c r="C289" s="360"/>
      <c r="D289" s="360"/>
      <c r="E289" s="361"/>
      <c r="F289" s="361"/>
      <c r="G289" s="361"/>
      <c r="H289" s="361"/>
      <c r="I289" s="372"/>
      <c r="J289" s="361"/>
      <c r="K289" s="361"/>
      <c r="L289" s="361"/>
      <c r="M289" s="373"/>
      <c r="Y289" s="359"/>
    </row>
    <row r="290" spans="2:25" ht="20.149999999999999" customHeight="1">
      <c r="B290" s="359"/>
      <c r="C290" s="360"/>
      <c r="D290" s="360"/>
      <c r="E290" s="361"/>
      <c r="F290" s="361"/>
      <c r="G290" s="361"/>
      <c r="H290" s="361"/>
      <c r="I290" s="372"/>
      <c r="J290" s="361"/>
      <c r="K290" s="361"/>
      <c r="L290" s="361"/>
      <c r="M290" s="373"/>
      <c r="Y290" s="359"/>
    </row>
    <row r="291" spans="2:25" ht="20.149999999999999" customHeight="1">
      <c r="B291" s="359"/>
      <c r="C291" s="360"/>
      <c r="D291" s="360"/>
      <c r="E291" s="361"/>
      <c r="F291" s="361"/>
      <c r="G291" s="361"/>
      <c r="H291" s="361"/>
      <c r="I291" s="372"/>
      <c r="J291" s="361"/>
      <c r="K291" s="361"/>
      <c r="L291" s="361"/>
      <c r="M291" s="373"/>
      <c r="Y291" s="359"/>
    </row>
    <row r="292" spans="2:25" ht="20.149999999999999" customHeight="1">
      <c r="B292" s="359"/>
      <c r="C292" s="360"/>
      <c r="D292" s="360"/>
      <c r="E292" s="361"/>
      <c r="F292" s="361"/>
      <c r="G292" s="361"/>
      <c r="H292" s="361"/>
      <c r="I292" s="372"/>
      <c r="J292" s="361"/>
      <c r="K292" s="361"/>
      <c r="L292" s="361"/>
      <c r="M292" s="373"/>
      <c r="Y292" s="359"/>
    </row>
    <row r="293" spans="2:25" ht="20.149999999999999" customHeight="1">
      <c r="B293" s="359"/>
      <c r="C293" s="360"/>
      <c r="D293" s="360"/>
      <c r="E293" s="361"/>
      <c r="F293" s="361"/>
      <c r="G293" s="361"/>
      <c r="H293" s="361"/>
      <c r="I293" s="372"/>
      <c r="J293" s="361"/>
      <c r="K293" s="361"/>
      <c r="L293" s="361"/>
      <c r="M293" s="373"/>
      <c r="Y293" s="359"/>
    </row>
    <row r="294" spans="2:25" ht="20.149999999999999" customHeight="1">
      <c r="B294" s="359"/>
      <c r="C294" s="360"/>
      <c r="D294" s="360"/>
      <c r="E294" s="361"/>
      <c r="F294" s="361"/>
      <c r="G294" s="361"/>
      <c r="H294" s="361"/>
      <c r="I294" s="372"/>
      <c r="J294" s="361"/>
      <c r="K294" s="361"/>
      <c r="L294" s="361"/>
      <c r="M294" s="373"/>
      <c r="Y294" s="359"/>
    </row>
    <row r="295" spans="2:25" ht="20.149999999999999" customHeight="1">
      <c r="B295" s="359"/>
      <c r="C295" s="360"/>
      <c r="D295" s="360"/>
      <c r="E295" s="361"/>
      <c r="F295" s="361"/>
      <c r="G295" s="361"/>
      <c r="H295" s="361"/>
      <c r="I295" s="372"/>
      <c r="J295" s="361"/>
      <c r="K295" s="361"/>
      <c r="L295" s="361"/>
      <c r="M295" s="373"/>
      <c r="Y295" s="359"/>
    </row>
    <row r="296" spans="2:25" ht="20.149999999999999" customHeight="1">
      <c r="B296" s="359"/>
      <c r="C296" s="360"/>
      <c r="D296" s="360"/>
      <c r="E296" s="361"/>
      <c r="F296" s="361"/>
      <c r="G296" s="361"/>
      <c r="H296" s="361"/>
      <c r="I296" s="372"/>
      <c r="J296" s="361"/>
      <c r="K296" s="361"/>
      <c r="L296" s="361"/>
      <c r="M296" s="373"/>
      <c r="Y296" s="359"/>
    </row>
    <row r="297" spans="2:25" ht="20.149999999999999" customHeight="1">
      <c r="B297" s="359"/>
      <c r="C297" s="360"/>
      <c r="D297" s="360"/>
      <c r="E297" s="361"/>
      <c r="F297" s="361"/>
      <c r="G297" s="361"/>
      <c r="H297" s="361"/>
      <c r="I297" s="372"/>
      <c r="J297" s="361"/>
      <c r="K297" s="361"/>
      <c r="L297" s="361"/>
      <c r="M297" s="373"/>
      <c r="Y297" s="359"/>
    </row>
    <row r="298" spans="2:25" ht="20.149999999999999" customHeight="1">
      <c r="B298" s="359"/>
      <c r="C298" s="360"/>
      <c r="D298" s="360"/>
      <c r="E298" s="361"/>
      <c r="F298" s="361"/>
      <c r="G298" s="361"/>
      <c r="H298" s="361"/>
      <c r="I298" s="372"/>
      <c r="J298" s="361"/>
      <c r="K298" s="361"/>
      <c r="L298" s="361"/>
      <c r="M298" s="373"/>
      <c r="Y298" s="359"/>
    </row>
    <row r="299" spans="2:25" ht="20.149999999999999" customHeight="1">
      <c r="B299" s="359"/>
      <c r="C299" s="360"/>
      <c r="D299" s="360"/>
      <c r="E299" s="361"/>
      <c r="F299" s="361"/>
      <c r="G299" s="361"/>
      <c r="H299" s="361"/>
      <c r="I299" s="372"/>
      <c r="J299" s="361"/>
      <c r="K299" s="361"/>
      <c r="L299" s="361"/>
      <c r="M299" s="373"/>
      <c r="Y299" s="359"/>
    </row>
    <row r="300" spans="2:25" ht="20.149999999999999" customHeight="1">
      <c r="B300" s="359"/>
      <c r="C300" s="360"/>
      <c r="D300" s="360"/>
      <c r="E300" s="361"/>
      <c r="F300" s="361"/>
      <c r="G300" s="361"/>
      <c r="H300" s="361"/>
      <c r="I300" s="372"/>
      <c r="J300" s="361"/>
      <c r="K300" s="361"/>
      <c r="L300" s="361"/>
      <c r="M300" s="373"/>
      <c r="Y300" s="359"/>
    </row>
    <row r="301" spans="2:25" ht="20.149999999999999" customHeight="1">
      <c r="B301" s="359"/>
      <c r="C301" s="360"/>
      <c r="D301" s="360"/>
      <c r="E301" s="361"/>
      <c r="F301" s="361"/>
      <c r="G301" s="361"/>
      <c r="H301" s="361"/>
      <c r="I301" s="372"/>
      <c r="J301" s="361"/>
      <c r="K301" s="361"/>
      <c r="L301" s="361"/>
      <c r="M301" s="373"/>
      <c r="Y301" s="359"/>
    </row>
    <row r="302" spans="2:25" ht="20.149999999999999" customHeight="1">
      <c r="B302" s="359"/>
      <c r="C302" s="360"/>
      <c r="D302" s="360"/>
      <c r="E302" s="361"/>
      <c r="F302" s="361"/>
      <c r="G302" s="361"/>
      <c r="H302" s="361"/>
      <c r="I302" s="372"/>
      <c r="J302" s="361"/>
      <c r="K302" s="361"/>
      <c r="L302" s="361"/>
      <c r="M302" s="373"/>
      <c r="Y302" s="359"/>
    </row>
    <row r="303" spans="2:25" ht="20.149999999999999" customHeight="1">
      <c r="B303" s="359"/>
      <c r="C303" s="360"/>
      <c r="D303" s="360"/>
      <c r="E303" s="361"/>
      <c r="F303" s="361"/>
      <c r="G303" s="361"/>
      <c r="H303" s="361"/>
      <c r="I303" s="372"/>
      <c r="J303" s="361"/>
      <c r="K303" s="361"/>
      <c r="L303" s="361"/>
      <c r="M303" s="373"/>
      <c r="Y303" s="359"/>
    </row>
    <row r="304" spans="2:25" ht="20.149999999999999" customHeight="1">
      <c r="B304" s="359"/>
      <c r="C304" s="360"/>
      <c r="D304" s="360"/>
      <c r="E304" s="361"/>
      <c r="F304" s="361"/>
      <c r="G304" s="361"/>
      <c r="H304" s="361"/>
      <c r="I304" s="372"/>
      <c r="J304" s="361"/>
      <c r="K304" s="361"/>
      <c r="L304" s="361"/>
      <c r="M304" s="373"/>
      <c r="Y304" s="359"/>
    </row>
    <row r="305" spans="2:25" ht="20.149999999999999" customHeight="1">
      <c r="B305" s="359"/>
      <c r="C305" s="360"/>
      <c r="D305" s="360"/>
      <c r="E305" s="361"/>
      <c r="F305" s="361"/>
      <c r="G305" s="361"/>
      <c r="H305" s="361"/>
      <c r="I305" s="372"/>
      <c r="J305" s="361"/>
      <c r="K305" s="361"/>
      <c r="L305" s="361"/>
      <c r="M305" s="373"/>
      <c r="Y305" s="359"/>
    </row>
    <row r="306" spans="2:25" ht="20.149999999999999" customHeight="1">
      <c r="B306" s="359"/>
      <c r="C306" s="360"/>
      <c r="D306" s="360"/>
      <c r="E306" s="361"/>
      <c r="F306" s="361"/>
      <c r="G306" s="361"/>
      <c r="H306" s="361"/>
      <c r="I306" s="372"/>
      <c r="J306" s="361"/>
      <c r="K306" s="361"/>
      <c r="L306" s="361"/>
      <c r="M306" s="373"/>
      <c r="Y306" s="359"/>
    </row>
    <row r="307" spans="2:25" ht="20.149999999999999" customHeight="1">
      <c r="B307" s="359"/>
      <c r="C307" s="360"/>
      <c r="D307" s="360"/>
      <c r="E307" s="361"/>
      <c r="F307" s="361"/>
      <c r="G307" s="361"/>
      <c r="H307" s="361"/>
      <c r="I307" s="372"/>
      <c r="J307" s="361"/>
      <c r="K307" s="361"/>
      <c r="L307" s="361"/>
      <c r="M307" s="373"/>
      <c r="Y307" s="359"/>
    </row>
    <row r="308" spans="2:25" ht="20.149999999999999" customHeight="1">
      <c r="B308" s="359"/>
      <c r="C308" s="360"/>
      <c r="D308" s="360"/>
      <c r="E308" s="361"/>
      <c r="F308" s="361"/>
      <c r="G308" s="361"/>
      <c r="H308" s="361"/>
      <c r="I308" s="372"/>
      <c r="J308" s="361"/>
      <c r="K308" s="361"/>
      <c r="L308" s="361"/>
      <c r="M308" s="373"/>
      <c r="Y308" s="359"/>
    </row>
    <row r="309" spans="2:25" ht="20.149999999999999" customHeight="1">
      <c r="B309" s="359"/>
      <c r="C309" s="360"/>
      <c r="D309" s="360"/>
      <c r="E309" s="361"/>
      <c r="F309" s="361"/>
      <c r="G309" s="361"/>
      <c r="H309" s="361"/>
      <c r="I309" s="372"/>
      <c r="J309" s="361"/>
      <c r="K309" s="361"/>
      <c r="L309" s="361"/>
      <c r="M309" s="373"/>
      <c r="Y309" s="359"/>
    </row>
    <row r="310" spans="2:25" ht="20.149999999999999" customHeight="1">
      <c r="B310" s="359"/>
      <c r="C310" s="360"/>
      <c r="D310" s="360"/>
      <c r="E310" s="361"/>
      <c r="F310" s="361"/>
      <c r="G310" s="361"/>
      <c r="H310" s="361"/>
      <c r="I310" s="372"/>
      <c r="J310" s="361"/>
      <c r="K310" s="361"/>
      <c r="L310" s="361"/>
      <c r="M310" s="373"/>
      <c r="Y310" s="359"/>
    </row>
    <row r="311" spans="2:25" ht="20.149999999999999" customHeight="1">
      <c r="B311" s="359"/>
      <c r="C311" s="360"/>
      <c r="D311" s="360"/>
      <c r="E311" s="361"/>
      <c r="F311" s="361"/>
      <c r="G311" s="361"/>
      <c r="H311" s="361"/>
      <c r="I311" s="372"/>
      <c r="J311" s="361"/>
      <c r="K311" s="361"/>
      <c r="L311" s="361"/>
      <c r="M311" s="373"/>
      <c r="Y311" s="359"/>
    </row>
    <row r="312" spans="2:25" ht="20.149999999999999" customHeight="1">
      <c r="B312" s="359"/>
      <c r="C312" s="360"/>
      <c r="D312" s="360"/>
      <c r="E312" s="361"/>
      <c r="F312" s="361"/>
      <c r="G312" s="361"/>
      <c r="H312" s="361"/>
      <c r="I312" s="372"/>
      <c r="J312" s="361"/>
      <c r="K312" s="361"/>
      <c r="L312" s="361"/>
      <c r="M312" s="373"/>
      <c r="Y312" s="359"/>
    </row>
    <row r="313" spans="2:25" ht="20.149999999999999" customHeight="1">
      <c r="B313" s="359"/>
      <c r="C313" s="360"/>
      <c r="D313" s="360"/>
      <c r="E313" s="361"/>
      <c r="F313" s="361"/>
      <c r="G313" s="361"/>
      <c r="H313" s="361"/>
      <c r="I313" s="372"/>
      <c r="J313" s="361"/>
      <c r="K313" s="361"/>
      <c r="L313" s="361"/>
      <c r="M313" s="373"/>
      <c r="Y313" s="359"/>
    </row>
    <row r="314" spans="2:25" ht="20.149999999999999" customHeight="1">
      <c r="B314" s="359"/>
      <c r="C314" s="360"/>
      <c r="D314" s="360"/>
      <c r="E314" s="361"/>
      <c r="F314" s="361"/>
      <c r="G314" s="361"/>
      <c r="H314" s="361"/>
      <c r="I314" s="372"/>
      <c r="J314" s="361"/>
      <c r="K314" s="361"/>
      <c r="L314" s="361"/>
      <c r="M314" s="373"/>
      <c r="Y314" s="359"/>
    </row>
    <row r="315" spans="2:25" ht="20.149999999999999" customHeight="1">
      <c r="B315" s="359"/>
      <c r="C315" s="360"/>
      <c r="D315" s="360"/>
      <c r="E315" s="361"/>
      <c r="F315" s="361"/>
      <c r="G315" s="361"/>
      <c r="H315" s="361"/>
      <c r="I315" s="372"/>
      <c r="J315" s="361"/>
      <c r="K315" s="361"/>
      <c r="L315" s="361"/>
      <c r="M315" s="373"/>
      <c r="Y315" s="359"/>
    </row>
    <row r="316" spans="2:25" ht="20.149999999999999" customHeight="1">
      <c r="B316" s="359"/>
      <c r="C316" s="360"/>
      <c r="D316" s="360"/>
      <c r="E316" s="361"/>
      <c r="F316" s="361"/>
      <c r="G316" s="361"/>
      <c r="H316" s="361"/>
      <c r="I316" s="372"/>
      <c r="J316" s="361"/>
      <c r="K316" s="361"/>
      <c r="L316" s="361"/>
      <c r="M316" s="373"/>
      <c r="Y316" s="359"/>
    </row>
    <row r="317" spans="2:25" ht="20.149999999999999" customHeight="1">
      <c r="B317" s="359"/>
      <c r="C317" s="360"/>
      <c r="D317" s="360"/>
      <c r="E317" s="361"/>
      <c r="F317" s="361"/>
      <c r="G317" s="361"/>
      <c r="H317" s="361"/>
      <c r="I317" s="372"/>
      <c r="J317" s="361"/>
      <c r="K317" s="361"/>
      <c r="L317" s="361"/>
      <c r="M317" s="373"/>
      <c r="Y317" s="359"/>
    </row>
    <row r="318" spans="2:25" ht="20.149999999999999" customHeight="1">
      <c r="B318" s="359"/>
      <c r="C318" s="360"/>
      <c r="D318" s="360"/>
      <c r="E318" s="361"/>
      <c r="F318" s="361"/>
      <c r="G318" s="361"/>
      <c r="H318" s="361"/>
      <c r="I318" s="372"/>
      <c r="J318" s="361"/>
      <c r="K318" s="361"/>
      <c r="L318" s="361"/>
      <c r="M318" s="373"/>
      <c r="Y318" s="359"/>
    </row>
    <row r="319" spans="2:25" ht="20.149999999999999" customHeight="1">
      <c r="B319" s="359"/>
      <c r="C319" s="360"/>
      <c r="D319" s="360"/>
      <c r="E319" s="361"/>
      <c r="F319" s="361"/>
      <c r="G319" s="361"/>
      <c r="H319" s="361"/>
      <c r="I319" s="372"/>
      <c r="J319" s="361"/>
      <c r="K319" s="361"/>
      <c r="L319" s="361"/>
      <c r="M319" s="373"/>
      <c r="Y319" s="359"/>
    </row>
    <row r="320" spans="2:25" ht="20.149999999999999" customHeight="1">
      <c r="B320" s="359"/>
      <c r="C320" s="360"/>
      <c r="D320" s="360"/>
      <c r="E320" s="361"/>
      <c r="F320" s="361"/>
      <c r="G320" s="361"/>
      <c r="H320" s="361"/>
      <c r="I320" s="372"/>
      <c r="J320" s="361"/>
      <c r="K320" s="361"/>
      <c r="L320" s="361"/>
      <c r="M320" s="373"/>
      <c r="Y320" s="359"/>
    </row>
    <row r="321" spans="2:25" ht="20.149999999999999" customHeight="1">
      <c r="B321" s="359"/>
      <c r="C321" s="360"/>
      <c r="D321" s="360"/>
      <c r="E321" s="361"/>
      <c r="F321" s="361"/>
      <c r="G321" s="361"/>
      <c r="H321" s="361"/>
      <c r="I321" s="372"/>
      <c r="J321" s="361"/>
      <c r="K321" s="361"/>
      <c r="L321" s="361"/>
      <c r="M321" s="373"/>
      <c r="Y321" s="359"/>
    </row>
    <row r="322" spans="2:25" ht="20.149999999999999" customHeight="1">
      <c r="B322" s="359"/>
      <c r="C322" s="360"/>
      <c r="D322" s="360"/>
      <c r="E322" s="361"/>
      <c r="F322" s="361"/>
      <c r="G322" s="361"/>
      <c r="H322" s="361"/>
      <c r="I322" s="372"/>
      <c r="J322" s="361"/>
      <c r="K322" s="361"/>
      <c r="L322" s="361"/>
      <c r="M322" s="373"/>
      <c r="Y322" s="359"/>
    </row>
    <row r="323" spans="2:25" ht="20.149999999999999" customHeight="1">
      <c r="B323" s="359"/>
      <c r="C323" s="360"/>
      <c r="D323" s="360"/>
      <c r="E323" s="361"/>
      <c r="F323" s="361"/>
      <c r="G323" s="361"/>
      <c r="H323" s="361"/>
      <c r="I323" s="372"/>
      <c r="J323" s="361"/>
      <c r="K323" s="361"/>
      <c r="L323" s="361"/>
      <c r="M323" s="373"/>
      <c r="Y323" s="359"/>
    </row>
    <row r="324" spans="2:25" ht="20.149999999999999" customHeight="1">
      <c r="B324" s="359"/>
      <c r="C324" s="360"/>
      <c r="D324" s="360"/>
      <c r="E324" s="361"/>
      <c r="F324" s="361"/>
      <c r="G324" s="361"/>
      <c r="H324" s="361"/>
      <c r="I324" s="372"/>
      <c r="J324" s="361"/>
      <c r="K324" s="361"/>
      <c r="L324" s="361"/>
      <c r="M324" s="373"/>
      <c r="Y324" s="359"/>
    </row>
    <row r="325" spans="2:25" ht="20.149999999999999" customHeight="1">
      <c r="B325" s="359"/>
      <c r="C325" s="360"/>
      <c r="D325" s="360"/>
      <c r="E325" s="361"/>
      <c r="F325" s="361"/>
      <c r="G325" s="361"/>
      <c r="H325" s="361"/>
      <c r="I325" s="372"/>
      <c r="J325" s="361"/>
      <c r="K325" s="361"/>
      <c r="L325" s="361"/>
      <c r="M325" s="373"/>
      <c r="Y325" s="359"/>
    </row>
    <row r="326" spans="2:25" ht="20.149999999999999" customHeight="1">
      <c r="B326" s="359"/>
      <c r="C326" s="360"/>
      <c r="D326" s="360"/>
      <c r="E326" s="361"/>
      <c r="F326" s="361"/>
      <c r="G326" s="361"/>
      <c r="H326" s="361"/>
      <c r="I326" s="372"/>
      <c r="J326" s="361"/>
      <c r="K326" s="361"/>
      <c r="L326" s="361"/>
      <c r="M326" s="373"/>
      <c r="Y326" s="359"/>
    </row>
    <row r="327" spans="2:25" ht="20.149999999999999" customHeight="1">
      <c r="B327" s="359"/>
      <c r="C327" s="360"/>
      <c r="D327" s="360"/>
      <c r="E327" s="361"/>
      <c r="F327" s="361"/>
      <c r="G327" s="361"/>
      <c r="H327" s="361"/>
      <c r="I327" s="372"/>
      <c r="J327" s="361"/>
      <c r="K327" s="361"/>
      <c r="L327" s="361"/>
      <c r="M327" s="373"/>
      <c r="Y327" s="359"/>
    </row>
    <row r="328" spans="2:25" ht="20.149999999999999" customHeight="1">
      <c r="B328" s="359"/>
      <c r="C328" s="360"/>
      <c r="D328" s="360"/>
      <c r="E328" s="361"/>
      <c r="F328" s="361"/>
      <c r="G328" s="361"/>
      <c r="H328" s="361"/>
      <c r="I328" s="372"/>
      <c r="J328" s="361"/>
      <c r="K328" s="361"/>
      <c r="L328" s="361"/>
      <c r="M328" s="373"/>
      <c r="Y328" s="359"/>
    </row>
    <row r="329" spans="2:25" ht="20.149999999999999" customHeight="1">
      <c r="B329" s="359"/>
      <c r="C329" s="360"/>
      <c r="D329" s="360"/>
      <c r="E329" s="361"/>
      <c r="F329" s="361"/>
      <c r="G329" s="361"/>
      <c r="H329" s="361"/>
      <c r="I329" s="372"/>
      <c r="J329" s="361"/>
      <c r="K329" s="361"/>
      <c r="L329" s="361"/>
      <c r="M329" s="373"/>
      <c r="Y329" s="359"/>
    </row>
    <row r="330" spans="2:25" ht="20.149999999999999" customHeight="1">
      <c r="B330" s="359"/>
      <c r="C330" s="360"/>
      <c r="D330" s="360"/>
      <c r="E330" s="361"/>
      <c r="F330" s="361"/>
      <c r="G330" s="361"/>
      <c r="H330" s="361"/>
      <c r="I330" s="372"/>
      <c r="J330" s="361"/>
      <c r="K330" s="361"/>
      <c r="L330" s="361"/>
      <c r="M330" s="373"/>
      <c r="Y330" s="359"/>
    </row>
    <row r="331" spans="2:25" ht="20.149999999999999" customHeight="1">
      <c r="B331" s="359"/>
      <c r="C331" s="360"/>
      <c r="D331" s="360"/>
      <c r="E331" s="361"/>
      <c r="F331" s="361"/>
      <c r="G331" s="361"/>
      <c r="H331" s="361"/>
      <c r="I331" s="372"/>
      <c r="J331" s="361"/>
      <c r="K331" s="361"/>
      <c r="L331" s="361"/>
      <c r="M331" s="373"/>
      <c r="Y331" s="359"/>
    </row>
    <row r="332" spans="2:25" ht="20.149999999999999" customHeight="1">
      <c r="B332" s="359"/>
      <c r="C332" s="360"/>
      <c r="D332" s="360"/>
      <c r="E332" s="361"/>
      <c r="F332" s="361"/>
      <c r="G332" s="361"/>
      <c r="H332" s="361"/>
      <c r="I332" s="372"/>
      <c r="J332" s="361"/>
      <c r="K332" s="361"/>
      <c r="L332" s="361"/>
      <c r="M332" s="373"/>
      <c r="Y332" s="359"/>
    </row>
    <row r="333" spans="2:25" ht="20.149999999999999" customHeight="1">
      <c r="B333" s="359"/>
      <c r="C333" s="360"/>
      <c r="D333" s="360"/>
      <c r="E333" s="361"/>
      <c r="F333" s="361"/>
      <c r="G333" s="361"/>
      <c r="H333" s="361"/>
      <c r="I333" s="372"/>
      <c r="J333" s="361"/>
      <c r="K333" s="361"/>
      <c r="L333" s="361"/>
      <c r="M333" s="373"/>
      <c r="Y333" s="359"/>
    </row>
    <row r="334" spans="2:25" ht="20.149999999999999" customHeight="1">
      <c r="B334" s="359"/>
      <c r="C334" s="360"/>
      <c r="D334" s="360"/>
      <c r="E334" s="361"/>
      <c r="F334" s="361"/>
      <c r="G334" s="361"/>
      <c r="H334" s="361"/>
      <c r="I334" s="372"/>
      <c r="J334" s="361"/>
      <c r="K334" s="361"/>
      <c r="L334" s="361"/>
      <c r="M334" s="373"/>
      <c r="Y334" s="359"/>
    </row>
    <row r="335" spans="2:25" ht="20.149999999999999" customHeight="1">
      <c r="B335" s="359"/>
      <c r="C335" s="360"/>
      <c r="D335" s="360"/>
      <c r="E335" s="361"/>
      <c r="F335" s="361"/>
      <c r="G335" s="361"/>
      <c r="H335" s="361"/>
      <c r="I335" s="372"/>
      <c r="J335" s="361"/>
      <c r="K335" s="361"/>
      <c r="L335" s="361"/>
      <c r="M335" s="373"/>
      <c r="Y335" s="359"/>
    </row>
    <row r="336" spans="2:25" ht="20.149999999999999" customHeight="1">
      <c r="B336" s="359"/>
      <c r="C336" s="360"/>
      <c r="D336" s="360"/>
      <c r="E336" s="361"/>
      <c r="F336" s="361"/>
      <c r="G336" s="361"/>
      <c r="H336" s="361"/>
      <c r="I336" s="372"/>
      <c r="J336" s="361"/>
      <c r="K336" s="361"/>
      <c r="L336" s="361"/>
      <c r="M336" s="373"/>
      <c r="Y336" s="359"/>
    </row>
    <row r="337" spans="2:25" ht="20.149999999999999" customHeight="1">
      <c r="B337" s="359"/>
      <c r="C337" s="360"/>
      <c r="D337" s="360"/>
      <c r="E337" s="361"/>
      <c r="F337" s="361"/>
      <c r="G337" s="361"/>
      <c r="H337" s="361"/>
      <c r="I337" s="372"/>
      <c r="J337" s="361"/>
      <c r="K337" s="361"/>
      <c r="L337" s="361"/>
      <c r="M337" s="373"/>
      <c r="Y337" s="359"/>
    </row>
    <row r="338" spans="2:25" ht="20.149999999999999" customHeight="1">
      <c r="B338" s="359"/>
      <c r="C338" s="360"/>
      <c r="D338" s="360"/>
      <c r="E338" s="361"/>
      <c r="F338" s="361"/>
      <c r="G338" s="361"/>
      <c r="H338" s="361"/>
      <c r="I338" s="372"/>
      <c r="J338" s="361"/>
      <c r="K338" s="361"/>
      <c r="L338" s="361"/>
      <c r="M338" s="373"/>
      <c r="Y338" s="359"/>
    </row>
    <row r="339" spans="2:25" ht="20.149999999999999" customHeight="1">
      <c r="B339" s="359"/>
      <c r="C339" s="360"/>
      <c r="D339" s="360"/>
      <c r="E339" s="361"/>
      <c r="F339" s="361"/>
      <c r="G339" s="361"/>
      <c r="H339" s="361"/>
      <c r="I339" s="372"/>
      <c r="J339" s="361"/>
      <c r="K339" s="361"/>
      <c r="L339" s="361"/>
      <c r="M339" s="373"/>
      <c r="Y339" s="359"/>
    </row>
    <row r="340" spans="2:25" ht="20.149999999999999" customHeight="1">
      <c r="B340" s="359"/>
      <c r="C340" s="360"/>
      <c r="D340" s="360"/>
      <c r="E340" s="361"/>
      <c r="F340" s="361"/>
      <c r="G340" s="361"/>
      <c r="H340" s="361"/>
      <c r="I340" s="372"/>
      <c r="J340" s="361"/>
      <c r="K340" s="361"/>
      <c r="L340" s="361"/>
      <c r="M340" s="373"/>
      <c r="Y340" s="359"/>
    </row>
    <row r="341" spans="2:25" ht="20.149999999999999" customHeight="1">
      <c r="B341" s="359"/>
      <c r="C341" s="360"/>
      <c r="D341" s="360"/>
      <c r="E341" s="361"/>
      <c r="F341" s="361"/>
      <c r="G341" s="361"/>
      <c r="H341" s="361"/>
      <c r="I341" s="372"/>
      <c r="J341" s="361"/>
      <c r="K341" s="361"/>
      <c r="L341" s="361"/>
      <c r="M341" s="373"/>
      <c r="Y341" s="359"/>
    </row>
    <row r="342" spans="2:25" ht="20.149999999999999" customHeight="1">
      <c r="B342" s="359"/>
      <c r="C342" s="360"/>
      <c r="D342" s="360"/>
      <c r="E342" s="361"/>
      <c r="F342" s="361"/>
      <c r="G342" s="361"/>
      <c r="H342" s="361"/>
      <c r="I342" s="372"/>
      <c r="J342" s="361"/>
      <c r="K342" s="361"/>
      <c r="L342" s="361"/>
      <c r="M342" s="373"/>
      <c r="Y342" s="359"/>
    </row>
    <row r="343" spans="2:25" ht="20.149999999999999" customHeight="1">
      <c r="B343" s="359"/>
      <c r="C343" s="360"/>
      <c r="D343" s="360"/>
      <c r="E343" s="361"/>
      <c r="F343" s="361"/>
      <c r="G343" s="361"/>
      <c r="H343" s="361"/>
      <c r="I343" s="372"/>
      <c r="J343" s="361"/>
      <c r="K343" s="361"/>
      <c r="L343" s="361"/>
      <c r="M343" s="373"/>
      <c r="Y343" s="359"/>
    </row>
    <row r="344" spans="2:25" ht="20.149999999999999" customHeight="1">
      <c r="B344" s="359"/>
      <c r="C344" s="360"/>
      <c r="D344" s="360"/>
      <c r="E344" s="361"/>
      <c r="F344" s="361"/>
      <c r="G344" s="361"/>
      <c r="H344" s="361"/>
      <c r="I344" s="372"/>
      <c r="J344" s="361"/>
      <c r="K344" s="361"/>
      <c r="L344" s="361"/>
      <c r="M344" s="373"/>
      <c r="Y344" s="359"/>
    </row>
    <row r="345" spans="2:25" ht="20.149999999999999" customHeight="1">
      <c r="B345" s="359"/>
      <c r="C345" s="360"/>
      <c r="D345" s="360"/>
      <c r="E345" s="361"/>
      <c r="F345" s="361"/>
      <c r="G345" s="361"/>
      <c r="H345" s="361"/>
      <c r="I345" s="372"/>
      <c r="J345" s="361"/>
      <c r="K345" s="361"/>
      <c r="L345" s="361"/>
      <c r="M345" s="373"/>
      <c r="Y345" s="359"/>
    </row>
    <row r="346" spans="2:25" ht="20.149999999999999" customHeight="1">
      <c r="B346" s="359"/>
      <c r="C346" s="360"/>
      <c r="D346" s="360"/>
      <c r="E346" s="361"/>
      <c r="F346" s="361"/>
      <c r="G346" s="361"/>
      <c r="H346" s="361"/>
      <c r="I346" s="372"/>
      <c r="J346" s="361"/>
      <c r="K346" s="361"/>
      <c r="L346" s="361"/>
      <c r="M346" s="373"/>
      <c r="Y346" s="359"/>
    </row>
    <row r="347" spans="2:25" ht="20.149999999999999" customHeight="1">
      <c r="B347" s="359"/>
      <c r="C347" s="360"/>
      <c r="D347" s="360"/>
      <c r="E347" s="361"/>
      <c r="F347" s="361"/>
      <c r="G347" s="361"/>
      <c r="H347" s="361"/>
      <c r="I347" s="372"/>
      <c r="J347" s="361"/>
      <c r="K347" s="361"/>
      <c r="L347" s="361"/>
      <c r="M347" s="373"/>
      <c r="Y347" s="359"/>
    </row>
    <row r="348" spans="2:25" ht="20.149999999999999" customHeight="1">
      <c r="B348" s="359"/>
      <c r="C348" s="360"/>
      <c r="D348" s="360"/>
      <c r="E348" s="361"/>
      <c r="F348" s="361"/>
      <c r="G348" s="361"/>
      <c r="H348" s="361"/>
      <c r="I348" s="372"/>
      <c r="J348" s="361"/>
      <c r="K348" s="361"/>
      <c r="L348" s="361"/>
      <c r="M348" s="373"/>
      <c r="Y348" s="359"/>
    </row>
    <row r="349" spans="2:25" ht="20.149999999999999" customHeight="1">
      <c r="B349" s="359"/>
      <c r="C349" s="360"/>
      <c r="D349" s="360"/>
      <c r="E349" s="361"/>
      <c r="F349" s="361"/>
      <c r="G349" s="361"/>
      <c r="H349" s="361"/>
      <c r="I349" s="372"/>
      <c r="J349" s="361"/>
      <c r="K349" s="361"/>
      <c r="L349" s="361"/>
      <c r="M349" s="373"/>
      <c r="Y349" s="359"/>
    </row>
    <row r="350" spans="2:25" ht="20.149999999999999" customHeight="1">
      <c r="B350" s="359"/>
      <c r="C350" s="360"/>
      <c r="D350" s="360"/>
      <c r="E350" s="361"/>
      <c r="F350" s="361"/>
      <c r="G350" s="361"/>
      <c r="H350" s="361"/>
      <c r="I350" s="372"/>
      <c r="J350" s="361"/>
      <c r="K350" s="361"/>
      <c r="L350" s="361"/>
      <c r="M350" s="373"/>
      <c r="Y350" s="359"/>
    </row>
    <row r="351" spans="2:25" ht="20.149999999999999" customHeight="1">
      <c r="B351" s="359"/>
      <c r="C351" s="360"/>
      <c r="D351" s="360"/>
      <c r="E351" s="361"/>
      <c r="F351" s="361"/>
      <c r="G351" s="361"/>
      <c r="H351" s="361"/>
      <c r="I351" s="372"/>
      <c r="J351" s="361"/>
      <c r="K351" s="361"/>
      <c r="L351" s="361"/>
      <c r="M351" s="373"/>
      <c r="Y351" s="359"/>
    </row>
    <row r="352" spans="2:25" ht="20.149999999999999" customHeight="1">
      <c r="B352" s="359"/>
      <c r="C352" s="360"/>
      <c r="D352" s="360"/>
      <c r="E352" s="361"/>
      <c r="F352" s="361"/>
      <c r="G352" s="361"/>
      <c r="H352" s="361"/>
      <c r="I352" s="372"/>
      <c r="J352" s="361"/>
      <c r="K352" s="361"/>
      <c r="L352" s="361"/>
      <c r="M352" s="373"/>
      <c r="Y352" s="359"/>
    </row>
    <row r="353" spans="2:25" ht="20.149999999999999" customHeight="1">
      <c r="B353" s="359"/>
      <c r="C353" s="360"/>
      <c r="D353" s="360"/>
      <c r="E353" s="361"/>
      <c r="F353" s="361"/>
      <c r="G353" s="361"/>
      <c r="H353" s="361"/>
      <c r="I353" s="372"/>
      <c r="J353" s="361"/>
      <c r="K353" s="361"/>
      <c r="L353" s="361"/>
      <c r="M353" s="373"/>
      <c r="Y353" s="359"/>
    </row>
    <row r="354" spans="2:25" ht="20.149999999999999" customHeight="1">
      <c r="B354" s="359"/>
      <c r="C354" s="360"/>
      <c r="D354" s="360"/>
      <c r="E354" s="361"/>
      <c r="F354" s="361"/>
      <c r="G354" s="361"/>
      <c r="H354" s="361"/>
      <c r="I354" s="372"/>
      <c r="J354" s="361"/>
      <c r="K354" s="361"/>
      <c r="L354" s="361"/>
      <c r="M354" s="373"/>
      <c r="Y354" s="359"/>
    </row>
    <row r="355" spans="2:25" ht="20.149999999999999" customHeight="1">
      <c r="B355" s="359"/>
      <c r="C355" s="360"/>
      <c r="D355" s="360"/>
      <c r="E355" s="361"/>
      <c r="F355" s="361"/>
      <c r="G355" s="361"/>
      <c r="H355" s="361"/>
      <c r="I355" s="372"/>
      <c r="J355" s="361"/>
      <c r="K355" s="361"/>
      <c r="L355" s="361"/>
      <c r="M355" s="373"/>
      <c r="Y355" s="359"/>
    </row>
    <row r="356" spans="2:25" ht="20.149999999999999" customHeight="1">
      <c r="B356" s="359"/>
      <c r="C356" s="360"/>
      <c r="D356" s="360"/>
      <c r="E356" s="361"/>
      <c r="F356" s="361"/>
      <c r="G356" s="361"/>
      <c r="H356" s="361"/>
      <c r="I356" s="372"/>
      <c r="J356" s="361"/>
      <c r="K356" s="361"/>
      <c r="L356" s="361"/>
      <c r="M356" s="373"/>
      <c r="Y356" s="359"/>
    </row>
    <row r="357" spans="2:25" ht="20.149999999999999" customHeight="1">
      <c r="B357" s="359"/>
      <c r="C357" s="360"/>
      <c r="D357" s="360"/>
      <c r="E357" s="361"/>
      <c r="F357" s="361"/>
      <c r="G357" s="361"/>
      <c r="H357" s="361"/>
      <c r="I357" s="372"/>
      <c r="J357" s="361"/>
      <c r="K357" s="361"/>
      <c r="L357" s="361"/>
      <c r="M357" s="373"/>
      <c r="Y357" s="359"/>
    </row>
    <row r="358" spans="2:25" ht="20.149999999999999" customHeight="1">
      <c r="B358" s="359"/>
      <c r="C358" s="360"/>
      <c r="D358" s="360"/>
      <c r="E358" s="361"/>
      <c r="F358" s="361"/>
      <c r="G358" s="361"/>
      <c r="H358" s="361"/>
      <c r="I358" s="372"/>
      <c r="J358" s="361"/>
      <c r="K358" s="361"/>
      <c r="L358" s="361"/>
      <c r="M358" s="373"/>
      <c r="Y358" s="359"/>
    </row>
    <row r="359" spans="2:25" ht="20.149999999999999" customHeight="1">
      <c r="B359" s="359"/>
      <c r="C359" s="360"/>
      <c r="D359" s="360"/>
      <c r="E359" s="361"/>
      <c r="F359" s="361"/>
      <c r="G359" s="361"/>
      <c r="H359" s="361"/>
      <c r="I359" s="372"/>
      <c r="J359" s="361"/>
      <c r="K359" s="361"/>
      <c r="L359" s="361"/>
      <c r="M359" s="373"/>
      <c r="Y359" s="359"/>
    </row>
    <row r="360" spans="2:25" ht="20.149999999999999" customHeight="1">
      <c r="B360" s="359"/>
      <c r="C360" s="360"/>
      <c r="D360" s="360"/>
      <c r="E360" s="361"/>
      <c r="F360" s="361"/>
      <c r="G360" s="361"/>
      <c r="H360" s="361"/>
      <c r="I360" s="372"/>
      <c r="J360" s="361"/>
      <c r="K360" s="361"/>
      <c r="L360" s="361"/>
      <c r="M360" s="373"/>
      <c r="Y360" s="359"/>
    </row>
    <row r="361" spans="2:25" ht="20.149999999999999" customHeight="1">
      <c r="B361" s="359"/>
      <c r="C361" s="360"/>
      <c r="D361" s="360"/>
      <c r="E361" s="361"/>
      <c r="F361" s="361"/>
      <c r="G361" s="361"/>
      <c r="H361" s="361"/>
      <c r="I361" s="372"/>
      <c r="J361" s="361"/>
      <c r="K361" s="361"/>
      <c r="L361" s="361"/>
      <c r="M361" s="373"/>
      <c r="Y361" s="359"/>
    </row>
    <row r="362" spans="2:25" ht="20.149999999999999" customHeight="1">
      <c r="B362" s="359"/>
      <c r="C362" s="360"/>
      <c r="D362" s="360"/>
      <c r="E362" s="361"/>
      <c r="F362" s="361"/>
      <c r="G362" s="361"/>
      <c r="H362" s="361"/>
      <c r="I362" s="372"/>
      <c r="J362" s="361"/>
      <c r="K362" s="361"/>
      <c r="L362" s="361"/>
      <c r="M362" s="373"/>
      <c r="Y362" s="359"/>
    </row>
    <row r="363" spans="2:25" ht="20.149999999999999" customHeight="1">
      <c r="B363" s="359"/>
      <c r="C363" s="360"/>
      <c r="D363" s="360"/>
      <c r="E363" s="361"/>
      <c r="F363" s="361"/>
      <c r="G363" s="361"/>
      <c r="H363" s="361"/>
      <c r="I363" s="372"/>
      <c r="J363" s="361"/>
      <c r="K363" s="361"/>
      <c r="L363" s="361"/>
      <c r="M363" s="373"/>
      <c r="Y363" s="359"/>
    </row>
    <row r="364" spans="2:25" ht="20.149999999999999" customHeight="1">
      <c r="B364" s="359"/>
      <c r="C364" s="360"/>
      <c r="D364" s="360"/>
      <c r="E364" s="361"/>
      <c r="F364" s="361"/>
      <c r="G364" s="361"/>
      <c r="H364" s="361"/>
      <c r="I364" s="372"/>
      <c r="J364" s="361"/>
      <c r="K364" s="361"/>
      <c r="L364" s="361"/>
      <c r="M364" s="373"/>
      <c r="Y364" s="359"/>
    </row>
    <row r="365" spans="2:25" ht="20.149999999999999" customHeight="1">
      <c r="B365" s="359"/>
      <c r="C365" s="360"/>
      <c r="D365" s="360"/>
      <c r="E365" s="361"/>
      <c r="F365" s="361"/>
      <c r="G365" s="361"/>
      <c r="H365" s="361"/>
      <c r="I365" s="372"/>
      <c r="J365" s="361"/>
      <c r="K365" s="361"/>
      <c r="L365" s="361"/>
      <c r="M365" s="373"/>
      <c r="Y365" s="359"/>
    </row>
    <row r="366" spans="2:25" ht="20.149999999999999" customHeight="1">
      <c r="B366" s="359"/>
      <c r="C366" s="360"/>
      <c r="D366" s="360"/>
      <c r="E366" s="361"/>
      <c r="F366" s="361"/>
      <c r="G366" s="361"/>
      <c r="H366" s="361"/>
      <c r="I366" s="372"/>
      <c r="J366" s="361"/>
      <c r="K366" s="361"/>
      <c r="L366" s="361"/>
      <c r="M366" s="373"/>
      <c r="Y366" s="359"/>
    </row>
    <row r="367" spans="2:25" ht="20.149999999999999" customHeight="1">
      <c r="B367" s="359"/>
      <c r="C367" s="360"/>
      <c r="D367" s="360"/>
      <c r="E367" s="361"/>
      <c r="F367" s="361"/>
      <c r="G367" s="361"/>
      <c r="H367" s="361"/>
      <c r="I367" s="372"/>
      <c r="J367" s="361"/>
      <c r="K367" s="361"/>
      <c r="L367" s="361"/>
      <c r="M367" s="373"/>
      <c r="Y367" s="359"/>
    </row>
    <row r="368" spans="2:25" ht="20.149999999999999" customHeight="1">
      <c r="B368" s="359"/>
      <c r="C368" s="360"/>
      <c r="D368" s="360"/>
      <c r="E368" s="361"/>
      <c r="F368" s="361"/>
      <c r="G368" s="361"/>
      <c r="H368" s="361"/>
      <c r="I368" s="372"/>
      <c r="J368" s="361"/>
      <c r="K368" s="361"/>
      <c r="L368" s="361"/>
      <c r="M368" s="373"/>
      <c r="Y368" s="359"/>
    </row>
    <row r="369" spans="2:25" ht="20.149999999999999" customHeight="1">
      <c r="B369" s="359"/>
      <c r="C369" s="360"/>
      <c r="D369" s="360"/>
      <c r="E369" s="361"/>
      <c r="F369" s="361"/>
      <c r="G369" s="361"/>
      <c r="H369" s="361"/>
      <c r="I369" s="372"/>
      <c r="J369" s="361"/>
      <c r="K369" s="361"/>
      <c r="L369" s="361"/>
      <c r="M369" s="373"/>
      <c r="Y369" s="359"/>
    </row>
    <row r="370" spans="2:25" ht="20.149999999999999" customHeight="1">
      <c r="B370" s="359"/>
      <c r="C370" s="360"/>
      <c r="D370" s="360"/>
      <c r="E370" s="361"/>
      <c r="F370" s="361"/>
      <c r="G370" s="361"/>
      <c r="H370" s="361"/>
      <c r="I370" s="372"/>
      <c r="J370" s="361"/>
      <c r="K370" s="361"/>
      <c r="L370" s="361"/>
      <c r="M370" s="373"/>
      <c r="Y370" s="359"/>
    </row>
    <row r="371" spans="2:25" ht="20.149999999999999" customHeight="1">
      <c r="B371" s="359"/>
      <c r="C371" s="360"/>
      <c r="D371" s="360"/>
      <c r="E371" s="361"/>
      <c r="F371" s="361"/>
      <c r="G371" s="361"/>
      <c r="H371" s="361"/>
      <c r="I371" s="372"/>
      <c r="J371" s="361"/>
      <c r="K371" s="361"/>
      <c r="L371" s="361"/>
      <c r="M371" s="373"/>
      <c r="Y371" s="359"/>
    </row>
    <row r="372" spans="2:25" ht="20.149999999999999" customHeight="1">
      <c r="B372" s="359"/>
      <c r="C372" s="360"/>
      <c r="D372" s="360"/>
      <c r="E372" s="361"/>
      <c r="F372" s="361"/>
      <c r="G372" s="361"/>
      <c r="H372" s="361"/>
      <c r="I372" s="372"/>
      <c r="J372" s="361"/>
      <c r="K372" s="361"/>
      <c r="L372" s="361"/>
      <c r="M372" s="373"/>
      <c r="Y372" s="359"/>
    </row>
    <row r="373" spans="2:25" ht="20.149999999999999" customHeight="1">
      <c r="B373" s="359"/>
      <c r="C373" s="360"/>
      <c r="D373" s="360"/>
      <c r="E373" s="361"/>
      <c r="F373" s="361"/>
      <c r="G373" s="361"/>
      <c r="H373" s="361"/>
      <c r="I373" s="372"/>
      <c r="J373" s="361"/>
      <c r="K373" s="361"/>
      <c r="L373" s="361"/>
      <c r="M373" s="373"/>
      <c r="Y373" s="359"/>
    </row>
    <row r="374" spans="2:25" ht="20.149999999999999" customHeight="1">
      <c r="B374" s="359"/>
      <c r="C374" s="360"/>
      <c r="D374" s="360"/>
      <c r="E374" s="361"/>
      <c r="F374" s="361"/>
      <c r="G374" s="361"/>
      <c r="H374" s="361"/>
      <c r="I374" s="372"/>
      <c r="J374" s="361"/>
      <c r="K374" s="361"/>
      <c r="L374" s="361"/>
      <c r="M374" s="373"/>
      <c r="Y374" s="359"/>
    </row>
    <row r="375" spans="2:25" ht="20.149999999999999" customHeight="1">
      <c r="B375" s="359"/>
      <c r="C375" s="360"/>
      <c r="D375" s="360"/>
      <c r="E375" s="361"/>
      <c r="F375" s="361"/>
      <c r="G375" s="361"/>
      <c r="H375" s="361"/>
      <c r="I375" s="372"/>
      <c r="J375" s="361"/>
      <c r="K375" s="361"/>
      <c r="L375" s="361"/>
      <c r="M375" s="373"/>
      <c r="Y375" s="359"/>
    </row>
    <row r="376" spans="2:25" ht="20.149999999999999" customHeight="1">
      <c r="B376" s="359"/>
      <c r="C376" s="360"/>
      <c r="D376" s="360"/>
      <c r="E376" s="361"/>
      <c r="F376" s="361"/>
      <c r="G376" s="361"/>
      <c r="H376" s="361"/>
      <c r="I376" s="372"/>
      <c r="J376" s="361"/>
      <c r="K376" s="361"/>
      <c r="L376" s="361"/>
      <c r="M376" s="373"/>
      <c r="Y376" s="359"/>
    </row>
    <row r="377" spans="2:25" ht="20.149999999999999" customHeight="1">
      <c r="B377" s="359"/>
      <c r="C377" s="360"/>
      <c r="D377" s="360"/>
      <c r="E377" s="361"/>
      <c r="F377" s="361"/>
      <c r="G377" s="361"/>
      <c r="H377" s="361"/>
      <c r="I377" s="372"/>
      <c r="J377" s="361"/>
      <c r="K377" s="361"/>
      <c r="L377" s="361"/>
      <c r="M377" s="373"/>
      <c r="Y377" s="359"/>
    </row>
    <row r="378" spans="2:25" ht="20.149999999999999" customHeight="1">
      <c r="B378" s="359"/>
      <c r="C378" s="360"/>
      <c r="D378" s="360"/>
      <c r="E378" s="361"/>
      <c r="F378" s="361"/>
      <c r="G378" s="361"/>
      <c r="H378" s="361"/>
      <c r="I378" s="372"/>
      <c r="J378" s="361"/>
      <c r="K378" s="361"/>
      <c r="L378" s="361"/>
      <c r="M378" s="373"/>
      <c r="Y378" s="359"/>
    </row>
    <row r="379" spans="2:25" ht="20.149999999999999" customHeight="1">
      <c r="B379" s="359"/>
      <c r="C379" s="360"/>
      <c r="D379" s="360"/>
      <c r="E379" s="361"/>
      <c r="F379" s="361"/>
      <c r="G379" s="361"/>
      <c r="H379" s="361"/>
      <c r="I379" s="372"/>
      <c r="J379" s="361"/>
      <c r="K379" s="361"/>
      <c r="L379" s="361"/>
      <c r="M379" s="373"/>
      <c r="Y379" s="359"/>
    </row>
    <row r="380" spans="2:25" ht="20.149999999999999" customHeight="1">
      <c r="B380" s="359"/>
      <c r="C380" s="360"/>
      <c r="D380" s="360"/>
      <c r="E380" s="361"/>
      <c r="F380" s="361"/>
      <c r="G380" s="361"/>
      <c r="H380" s="361"/>
      <c r="I380" s="372"/>
      <c r="J380" s="361"/>
      <c r="K380" s="361"/>
      <c r="L380" s="361"/>
      <c r="M380" s="373"/>
      <c r="Y380" s="359"/>
    </row>
    <row r="381" spans="2:25" ht="20.149999999999999" customHeight="1">
      <c r="B381" s="359"/>
      <c r="C381" s="360"/>
      <c r="D381" s="360"/>
      <c r="E381" s="361"/>
      <c r="F381" s="361"/>
      <c r="G381" s="361"/>
      <c r="H381" s="361"/>
      <c r="I381" s="372"/>
      <c r="J381" s="361"/>
      <c r="K381" s="361"/>
      <c r="L381" s="361"/>
      <c r="M381" s="373"/>
      <c r="Y381" s="359"/>
    </row>
    <row r="382" spans="2:25" ht="20.149999999999999" customHeight="1">
      <c r="B382" s="359"/>
      <c r="C382" s="360"/>
      <c r="D382" s="360"/>
      <c r="E382" s="361"/>
      <c r="F382" s="361"/>
      <c r="G382" s="361"/>
      <c r="H382" s="361"/>
      <c r="I382" s="372"/>
      <c r="J382" s="361"/>
      <c r="K382" s="361"/>
      <c r="L382" s="361"/>
      <c r="M382" s="373"/>
      <c r="Y382" s="359"/>
    </row>
    <row r="383" spans="2:25" ht="20.149999999999999" customHeight="1">
      <c r="B383" s="359"/>
      <c r="C383" s="360"/>
      <c r="D383" s="360"/>
      <c r="E383" s="361"/>
      <c r="F383" s="361"/>
      <c r="G383" s="361"/>
      <c r="H383" s="361"/>
      <c r="I383" s="372"/>
      <c r="J383" s="361"/>
      <c r="K383" s="361"/>
      <c r="L383" s="361"/>
      <c r="M383" s="373"/>
      <c r="Y383" s="359"/>
    </row>
    <row r="384" spans="2:25" ht="20.149999999999999" customHeight="1">
      <c r="B384" s="359"/>
      <c r="C384" s="360"/>
      <c r="D384" s="360"/>
      <c r="E384" s="361"/>
      <c r="F384" s="361"/>
      <c r="G384" s="361"/>
      <c r="H384" s="361"/>
      <c r="I384" s="372"/>
      <c r="J384" s="361"/>
      <c r="K384" s="361"/>
      <c r="L384" s="361"/>
      <c r="M384" s="373"/>
      <c r="Y384" s="359"/>
    </row>
    <row r="385" spans="2:25" ht="20.149999999999999" customHeight="1">
      <c r="B385" s="359"/>
      <c r="C385" s="360"/>
      <c r="D385" s="360"/>
      <c r="E385" s="361"/>
      <c r="F385" s="361"/>
      <c r="G385" s="361"/>
      <c r="H385" s="361"/>
      <c r="I385" s="372"/>
      <c r="J385" s="361"/>
      <c r="K385" s="361"/>
      <c r="L385" s="361"/>
      <c r="M385" s="373"/>
      <c r="Y385" s="359"/>
    </row>
    <row r="386" spans="2:25" ht="20.149999999999999" customHeight="1">
      <c r="B386" s="359"/>
      <c r="C386" s="360"/>
      <c r="D386" s="360"/>
      <c r="E386" s="361"/>
      <c r="F386" s="361"/>
      <c r="G386" s="361"/>
      <c r="H386" s="361"/>
      <c r="I386" s="372"/>
      <c r="J386" s="361"/>
      <c r="K386" s="361"/>
      <c r="L386" s="361"/>
      <c r="M386" s="373"/>
      <c r="Y386" s="359"/>
    </row>
    <row r="387" spans="2:25" ht="20.149999999999999" customHeight="1">
      <c r="B387" s="359"/>
      <c r="C387" s="360"/>
      <c r="D387" s="360"/>
      <c r="E387" s="361"/>
      <c r="F387" s="361"/>
      <c r="G387" s="361"/>
      <c r="H387" s="361"/>
      <c r="I387" s="372"/>
      <c r="J387" s="361"/>
      <c r="K387" s="361"/>
      <c r="L387" s="361"/>
      <c r="M387" s="373"/>
      <c r="Y387" s="359"/>
    </row>
    <row r="388" spans="2:25" ht="20.149999999999999" customHeight="1">
      <c r="B388" s="359"/>
      <c r="C388" s="360"/>
      <c r="D388" s="360"/>
      <c r="E388" s="361"/>
      <c r="F388" s="361"/>
      <c r="G388" s="361"/>
      <c r="H388" s="361"/>
      <c r="I388" s="372"/>
      <c r="J388" s="361"/>
      <c r="K388" s="361"/>
      <c r="L388" s="361"/>
      <c r="M388" s="373"/>
      <c r="Y388" s="359"/>
    </row>
    <row r="389" spans="2:25" ht="20.149999999999999" customHeight="1">
      <c r="B389" s="359"/>
      <c r="C389" s="360"/>
      <c r="D389" s="360"/>
      <c r="E389" s="361"/>
      <c r="F389" s="361"/>
      <c r="G389" s="361"/>
      <c r="H389" s="361"/>
      <c r="I389" s="372"/>
      <c r="J389" s="361"/>
      <c r="K389" s="361"/>
      <c r="L389" s="361"/>
      <c r="M389" s="373"/>
      <c r="Y389" s="359"/>
    </row>
    <row r="390" spans="2:25" ht="20.149999999999999" customHeight="1">
      <c r="B390" s="359"/>
      <c r="C390" s="360"/>
      <c r="D390" s="360"/>
      <c r="E390" s="361"/>
      <c r="F390" s="361"/>
      <c r="G390" s="361"/>
      <c r="H390" s="361"/>
      <c r="I390" s="372"/>
      <c r="J390" s="361"/>
      <c r="K390" s="361"/>
      <c r="L390" s="361"/>
      <c r="M390" s="373"/>
      <c r="Y390" s="359"/>
    </row>
    <row r="391" spans="2:25" ht="20.149999999999999" customHeight="1">
      <c r="B391" s="359"/>
      <c r="C391" s="360"/>
      <c r="D391" s="360"/>
      <c r="E391" s="361"/>
      <c r="F391" s="361"/>
      <c r="G391" s="361"/>
      <c r="H391" s="361"/>
      <c r="I391" s="372"/>
      <c r="J391" s="361"/>
      <c r="K391" s="361"/>
      <c r="L391" s="361"/>
      <c r="M391" s="373"/>
      <c r="Y391" s="359"/>
    </row>
    <row r="392" spans="2:25" ht="20.149999999999999" customHeight="1">
      <c r="B392" s="359"/>
      <c r="C392" s="360"/>
      <c r="D392" s="360"/>
      <c r="E392" s="361"/>
      <c r="F392" s="361"/>
      <c r="G392" s="361"/>
      <c r="H392" s="361"/>
      <c r="I392" s="372"/>
      <c r="J392" s="361"/>
      <c r="K392" s="361"/>
      <c r="L392" s="361"/>
      <c r="M392" s="373"/>
      <c r="Y392" s="359"/>
    </row>
    <row r="393" spans="2:25" ht="20.149999999999999" customHeight="1">
      <c r="B393" s="359"/>
      <c r="C393" s="360"/>
      <c r="D393" s="360"/>
      <c r="E393" s="361"/>
      <c r="F393" s="361"/>
      <c r="G393" s="361"/>
      <c r="H393" s="361"/>
      <c r="I393" s="372"/>
      <c r="J393" s="361"/>
      <c r="K393" s="361"/>
      <c r="L393" s="361"/>
      <c r="M393" s="373"/>
      <c r="Y393" s="359"/>
    </row>
    <row r="394" spans="2:25" ht="20.149999999999999" customHeight="1">
      <c r="B394" s="359"/>
      <c r="C394" s="360"/>
      <c r="D394" s="360"/>
      <c r="E394" s="361"/>
      <c r="F394" s="361"/>
      <c r="G394" s="361"/>
      <c r="H394" s="361"/>
      <c r="I394" s="372"/>
      <c r="J394" s="361"/>
      <c r="K394" s="361"/>
      <c r="L394" s="361"/>
      <c r="M394" s="373"/>
      <c r="Y394" s="359"/>
    </row>
    <row r="395" spans="2:25" ht="20.149999999999999" customHeight="1">
      <c r="B395" s="359"/>
      <c r="C395" s="360"/>
      <c r="D395" s="360"/>
      <c r="E395" s="361"/>
      <c r="F395" s="361"/>
      <c r="G395" s="361"/>
      <c r="H395" s="361"/>
      <c r="I395" s="372"/>
      <c r="J395" s="361"/>
      <c r="K395" s="361"/>
      <c r="L395" s="361"/>
      <c r="M395" s="373"/>
      <c r="Y395" s="359"/>
    </row>
    <row r="396" spans="2:25" ht="20.149999999999999" customHeight="1">
      <c r="B396" s="359"/>
      <c r="C396" s="360"/>
      <c r="D396" s="360"/>
      <c r="E396" s="361"/>
      <c r="F396" s="361"/>
      <c r="G396" s="361"/>
      <c r="H396" s="361"/>
      <c r="I396" s="372"/>
      <c r="J396" s="361"/>
      <c r="K396" s="361"/>
      <c r="L396" s="361"/>
      <c r="M396" s="373"/>
      <c r="Y396" s="359"/>
    </row>
    <row r="397" spans="2:25" ht="20.149999999999999" customHeight="1">
      <c r="B397" s="359"/>
      <c r="C397" s="360"/>
      <c r="D397" s="360"/>
      <c r="E397" s="361"/>
      <c r="F397" s="361"/>
      <c r="G397" s="361"/>
      <c r="H397" s="361"/>
      <c r="I397" s="372"/>
      <c r="J397" s="361"/>
      <c r="K397" s="361"/>
      <c r="L397" s="361"/>
      <c r="M397" s="373"/>
      <c r="Y397" s="359"/>
    </row>
    <row r="398" spans="2:25" ht="20.149999999999999" customHeight="1">
      <c r="B398" s="359"/>
      <c r="C398" s="360"/>
      <c r="D398" s="360"/>
      <c r="E398" s="361"/>
      <c r="F398" s="361"/>
      <c r="G398" s="361"/>
      <c r="H398" s="361"/>
      <c r="I398" s="372"/>
      <c r="J398" s="361"/>
      <c r="K398" s="361"/>
      <c r="L398" s="361"/>
      <c r="M398" s="373"/>
      <c r="Y398" s="359"/>
    </row>
    <row r="399" spans="2:25" ht="20.149999999999999" customHeight="1">
      <c r="B399" s="359"/>
      <c r="C399" s="360"/>
      <c r="D399" s="360"/>
      <c r="E399" s="361"/>
      <c r="F399" s="361"/>
      <c r="G399" s="361"/>
      <c r="H399" s="361"/>
      <c r="I399" s="372"/>
      <c r="J399" s="361"/>
      <c r="K399" s="361"/>
      <c r="L399" s="361"/>
      <c r="M399" s="373"/>
      <c r="Y399" s="359"/>
    </row>
    <row r="400" spans="2:25" ht="20.149999999999999" customHeight="1">
      <c r="B400" s="359"/>
      <c r="C400" s="360"/>
      <c r="D400" s="360"/>
      <c r="E400" s="361"/>
      <c r="F400" s="361"/>
      <c r="G400" s="361"/>
      <c r="H400" s="361"/>
      <c r="I400" s="372"/>
      <c r="J400" s="361"/>
      <c r="K400" s="361"/>
      <c r="L400" s="361"/>
      <c r="M400" s="373"/>
      <c r="Y400" s="359"/>
    </row>
    <row r="401" spans="2:25" ht="20.149999999999999" customHeight="1">
      <c r="B401" s="359"/>
      <c r="C401" s="360"/>
      <c r="D401" s="360"/>
      <c r="E401" s="361"/>
      <c r="F401" s="361"/>
      <c r="G401" s="361"/>
      <c r="H401" s="361"/>
      <c r="I401" s="372"/>
      <c r="J401" s="361"/>
      <c r="K401" s="361"/>
      <c r="L401" s="361"/>
      <c r="M401" s="373"/>
      <c r="Y401" s="359"/>
    </row>
    <row r="402" spans="2:25" ht="20.149999999999999" customHeight="1">
      <c r="B402" s="359"/>
      <c r="C402" s="360"/>
      <c r="D402" s="360"/>
      <c r="E402" s="361"/>
      <c r="F402" s="361"/>
      <c r="G402" s="361"/>
      <c r="H402" s="361"/>
      <c r="I402" s="372"/>
      <c r="J402" s="361"/>
      <c r="K402" s="361"/>
      <c r="L402" s="361"/>
      <c r="M402" s="373"/>
      <c r="Y402" s="359"/>
    </row>
    <row r="403" spans="2:25" ht="20.149999999999999" customHeight="1">
      <c r="B403" s="359"/>
      <c r="C403" s="360"/>
      <c r="D403" s="360"/>
      <c r="E403" s="361"/>
      <c r="F403" s="361"/>
      <c r="G403" s="361"/>
      <c r="H403" s="361"/>
      <c r="I403" s="372"/>
      <c r="J403" s="361"/>
      <c r="K403" s="361"/>
      <c r="L403" s="361"/>
      <c r="M403" s="373"/>
      <c r="Y403" s="359"/>
    </row>
    <row r="404" spans="2:25" ht="20.149999999999999" customHeight="1">
      <c r="B404" s="359"/>
      <c r="C404" s="360"/>
      <c r="D404" s="360"/>
      <c r="E404" s="361"/>
      <c r="F404" s="361"/>
      <c r="G404" s="361"/>
      <c r="H404" s="361"/>
      <c r="I404" s="372"/>
      <c r="J404" s="361"/>
      <c r="K404" s="361"/>
      <c r="L404" s="361"/>
      <c r="M404" s="373"/>
      <c r="Y404" s="359"/>
    </row>
    <row r="405" spans="2:25" ht="20.149999999999999" customHeight="1">
      <c r="B405" s="359"/>
      <c r="C405" s="360"/>
      <c r="D405" s="360"/>
      <c r="E405" s="361"/>
      <c r="F405" s="361"/>
      <c r="G405" s="361"/>
      <c r="H405" s="361"/>
      <c r="I405" s="372"/>
      <c r="J405" s="361"/>
      <c r="K405" s="361"/>
      <c r="L405" s="361"/>
      <c r="M405" s="373"/>
      <c r="Y405" s="359"/>
    </row>
    <row r="406" spans="2:25" ht="20.149999999999999" customHeight="1">
      <c r="B406" s="359"/>
      <c r="C406" s="360"/>
      <c r="D406" s="360"/>
      <c r="E406" s="361"/>
      <c r="F406" s="361"/>
      <c r="G406" s="361"/>
      <c r="H406" s="361"/>
      <c r="I406" s="372"/>
      <c r="J406" s="361"/>
      <c r="K406" s="361"/>
      <c r="L406" s="361"/>
      <c r="M406" s="373"/>
      <c r="Y406" s="359"/>
    </row>
    <row r="407" spans="2:25" ht="20.149999999999999" customHeight="1">
      <c r="B407" s="359"/>
      <c r="C407" s="360"/>
      <c r="D407" s="360"/>
      <c r="E407" s="361"/>
      <c r="F407" s="361"/>
      <c r="G407" s="361"/>
      <c r="H407" s="361"/>
      <c r="I407" s="372"/>
      <c r="J407" s="361"/>
      <c r="K407" s="361"/>
      <c r="L407" s="361"/>
      <c r="M407" s="373"/>
      <c r="Y407" s="359"/>
    </row>
    <row r="408" spans="2:25" ht="20.149999999999999" customHeight="1">
      <c r="B408" s="359"/>
      <c r="C408" s="360"/>
      <c r="D408" s="360"/>
      <c r="E408" s="361"/>
      <c r="F408" s="361"/>
      <c r="G408" s="361"/>
      <c r="H408" s="361"/>
      <c r="I408" s="372"/>
      <c r="J408" s="361"/>
      <c r="K408" s="361"/>
      <c r="L408" s="361"/>
      <c r="M408" s="373"/>
      <c r="Y408" s="359"/>
    </row>
    <row r="409" spans="2:25" ht="20.149999999999999" customHeight="1">
      <c r="B409" s="359"/>
      <c r="C409" s="360"/>
      <c r="D409" s="360"/>
      <c r="E409" s="361"/>
      <c r="F409" s="361"/>
      <c r="G409" s="361"/>
      <c r="H409" s="361"/>
      <c r="I409" s="372"/>
      <c r="J409" s="361"/>
      <c r="K409" s="361"/>
      <c r="L409" s="361"/>
      <c r="M409" s="373"/>
      <c r="Y409" s="359"/>
    </row>
    <row r="410" spans="2:25" ht="20.149999999999999" customHeight="1">
      <c r="B410" s="359"/>
      <c r="C410" s="360"/>
      <c r="D410" s="360"/>
      <c r="E410" s="361"/>
      <c r="F410" s="361"/>
      <c r="G410" s="361"/>
      <c r="H410" s="361"/>
      <c r="I410" s="372"/>
      <c r="J410" s="361"/>
      <c r="K410" s="361"/>
      <c r="L410" s="361"/>
      <c r="M410" s="373"/>
      <c r="Y410" s="359"/>
    </row>
    <row r="411" spans="2:25" ht="20.149999999999999" customHeight="1">
      <c r="B411" s="359"/>
      <c r="C411" s="360"/>
      <c r="D411" s="360"/>
      <c r="E411" s="361"/>
      <c r="F411" s="361"/>
      <c r="G411" s="361"/>
      <c r="H411" s="361"/>
      <c r="I411" s="372"/>
      <c r="J411" s="361"/>
      <c r="K411" s="361"/>
      <c r="L411" s="361"/>
      <c r="M411" s="373"/>
      <c r="Y411" s="359"/>
    </row>
    <row r="412" spans="2:25" ht="20.149999999999999" customHeight="1">
      <c r="B412" s="359"/>
      <c r="C412" s="360"/>
      <c r="D412" s="360"/>
      <c r="E412" s="361"/>
      <c r="F412" s="361"/>
      <c r="G412" s="361"/>
      <c r="H412" s="361"/>
      <c r="I412" s="372"/>
      <c r="J412" s="361"/>
      <c r="K412" s="361"/>
      <c r="L412" s="361"/>
      <c r="M412" s="373"/>
      <c r="Y412" s="359"/>
    </row>
    <row r="413" spans="2:25" ht="20.149999999999999" customHeight="1">
      <c r="B413" s="359"/>
      <c r="C413" s="360"/>
      <c r="D413" s="360"/>
      <c r="E413" s="361"/>
      <c r="F413" s="361"/>
      <c r="G413" s="361"/>
      <c r="H413" s="361"/>
      <c r="I413" s="372"/>
      <c r="J413" s="361"/>
      <c r="K413" s="361"/>
      <c r="L413" s="361"/>
      <c r="M413" s="373"/>
      <c r="Y413" s="359"/>
    </row>
    <row r="414" spans="2:25" ht="20.149999999999999" customHeight="1">
      <c r="B414" s="359"/>
      <c r="C414" s="360"/>
      <c r="D414" s="360"/>
      <c r="E414" s="361"/>
      <c r="F414" s="361"/>
      <c r="G414" s="361"/>
      <c r="H414" s="361"/>
      <c r="I414" s="372"/>
      <c r="J414" s="361"/>
      <c r="K414" s="361"/>
      <c r="L414" s="361"/>
      <c r="M414" s="373"/>
      <c r="Y414" s="359"/>
    </row>
    <row r="415" spans="2:25" ht="20.149999999999999" customHeight="1">
      <c r="B415" s="359"/>
      <c r="C415" s="360"/>
      <c r="D415" s="360"/>
      <c r="E415" s="361"/>
      <c r="F415" s="361"/>
      <c r="G415" s="361"/>
      <c r="H415" s="361"/>
      <c r="I415" s="372"/>
      <c r="J415" s="361"/>
      <c r="K415" s="361"/>
      <c r="L415" s="361"/>
      <c r="M415" s="373"/>
      <c r="Y415" s="359"/>
    </row>
    <row r="416" spans="2:25" ht="20.149999999999999" customHeight="1">
      <c r="B416" s="359"/>
      <c r="C416" s="360"/>
      <c r="D416" s="360"/>
      <c r="E416" s="361"/>
      <c r="F416" s="361"/>
      <c r="G416" s="361"/>
      <c r="H416" s="361"/>
      <c r="I416" s="372"/>
      <c r="J416" s="361"/>
      <c r="K416" s="361"/>
      <c r="L416" s="361"/>
      <c r="M416" s="373"/>
      <c r="Y416" s="359"/>
    </row>
    <row r="417" spans="2:25" ht="20.149999999999999" customHeight="1">
      <c r="B417" s="359"/>
      <c r="C417" s="360"/>
      <c r="D417" s="360"/>
      <c r="E417" s="361"/>
      <c r="F417" s="361"/>
      <c r="G417" s="361"/>
      <c r="H417" s="361"/>
      <c r="I417" s="372"/>
      <c r="J417" s="361"/>
      <c r="K417" s="361"/>
      <c r="L417" s="361"/>
      <c r="M417" s="373"/>
      <c r="Y417" s="359"/>
    </row>
    <row r="418" spans="2:25" ht="20.149999999999999" customHeight="1">
      <c r="B418" s="359"/>
      <c r="C418" s="360"/>
      <c r="D418" s="360"/>
      <c r="E418" s="361"/>
      <c r="F418" s="361"/>
      <c r="G418" s="361"/>
      <c r="H418" s="361"/>
      <c r="I418" s="372"/>
      <c r="J418" s="361"/>
      <c r="K418" s="361"/>
      <c r="L418" s="361"/>
      <c r="M418" s="373"/>
      <c r="Y418" s="359"/>
    </row>
    <row r="419" spans="2:25" ht="20.149999999999999" customHeight="1">
      <c r="B419" s="359"/>
      <c r="C419" s="360"/>
      <c r="D419" s="360"/>
      <c r="E419" s="361"/>
      <c r="F419" s="361"/>
      <c r="G419" s="361"/>
      <c r="H419" s="361"/>
      <c r="I419" s="372"/>
      <c r="J419" s="361"/>
      <c r="K419" s="361"/>
      <c r="L419" s="361"/>
      <c r="M419" s="373"/>
      <c r="Y419" s="359"/>
    </row>
    <row r="420" spans="2:25" ht="20.149999999999999" customHeight="1">
      <c r="B420" s="359"/>
      <c r="C420" s="360"/>
      <c r="D420" s="360"/>
      <c r="E420" s="361"/>
      <c r="F420" s="361"/>
      <c r="G420" s="361"/>
      <c r="H420" s="361"/>
      <c r="I420" s="372"/>
      <c r="J420" s="361"/>
      <c r="K420" s="361"/>
      <c r="L420" s="361"/>
      <c r="M420" s="373"/>
      <c r="Y420" s="359"/>
    </row>
    <row r="421" spans="2:25" ht="20.149999999999999" customHeight="1">
      <c r="B421" s="359"/>
      <c r="C421" s="360"/>
      <c r="D421" s="360"/>
      <c r="E421" s="361"/>
      <c r="F421" s="361"/>
      <c r="G421" s="361"/>
      <c r="H421" s="361"/>
      <c r="I421" s="372"/>
      <c r="J421" s="361"/>
      <c r="K421" s="361"/>
      <c r="L421" s="361"/>
      <c r="M421" s="373"/>
      <c r="Y421" s="359"/>
    </row>
    <row r="422" spans="2:25" ht="20.149999999999999" customHeight="1">
      <c r="B422" s="359"/>
      <c r="C422" s="360"/>
      <c r="D422" s="360"/>
      <c r="E422" s="361"/>
      <c r="F422" s="361"/>
      <c r="G422" s="361"/>
      <c r="H422" s="361"/>
      <c r="I422" s="372"/>
      <c r="J422" s="361"/>
      <c r="K422" s="361"/>
      <c r="L422" s="361"/>
      <c r="M422" s="373"/>
      <c r="Y422" s="359"/>
    </row>
    <row r="423" spans="2:25" ht="20.149999999999999" customHeight="1">
      <c r="B423" s="359"/>
      <c r="C423" s="360"/>
      <c r="D423" s="360"/>
      <c r="E423" s="361"/>
      <c r="F423" s="361"/>
      <c r="G423" s="361"/>
      <c r="H423" s="361"/>
      <c r="I423" s="372"/>
      <c r="J423" s="361"/>
      <c r="K423" s="361"/>
      <c r="L423" s="361"/>
      <c r="M423" s="373"/>
      <c r="Y423" s="359"/>
    </row>
    <row r="424" spans="2:25" ht="20.149999999999999" customHeight="1">
      <c r="B424" s="359"/>
      <c r="C424" s="360"/>
      <c r="D424" s="360"/>
      <c r="E424" s="361"/>
      <c r="F424" s="361"/>
      <c r="G424" s="361"/>
      <c r="H424" s="361"/>
      <c r="I424" s="372"/>
      <c r="J424" s="361"/>
      <c r="K424" s="361"/>
      <c r="L424" s="361"/>
      <c r="M424" s="373"/>
      <c r="Y424" s="359"/>
    </row>
    <row r="425" spans="2:25" ht="20.149999999999999" customHeight="1">
      <c r="B425" s="359"/>
      <c r="C425" s="360"/>
      <c r="D425" s="360"/>
      <c r="E425" s="361"/>
      <c r="F425" s="361"/>
      <c r="G425" s="361"/>
      <c r="H425" s="361"/>
      <c r="I425" s="372"/>
      <c r="J425" s="361"/>
      <c r="K425" s="361"/>
      <c r="L425" s="361"/>
      <c r="M425" s="373"/>
      <c r="Y425" s="359"/>
    </row>
    <row r="426" spans="2:25" ht="20.149999999999999" customHeight="1">
      <c r="B426" s="359"/>
      <c r="C426" s="360"/>
      <c r="D426" s="360"/>
      <c r="E426" s="361"/>
      <c r="F426" s="361"/>
      <c r="G426" s="361"/>
      <c r="H426" s="361"/>
      <c r="I426" s="372"/>
      <c r="J426" s="361"/>
      <c r="K426" s="361"/>
      <c r="L426" s="361"/>
      <c r="M426" s="373"/>
      <c r="Y426" s="359"/>
    </row>
    <row r="427" spans="2:25" ht="20.149999999999999" customHeight="1">
      <c r="B427" s="359"/>
      <c r="C427" s="360"/>
      <c r="D427" s="360"/>
      <c r="E427" s="361"/>
      <c r="F427" s="361"/>
      <c r="G427" s="361"/>
      <c r="H427" s="361"/>
      <c r="I427" s="372"/>
      <c r="J427" s="361"/>
      <c r="K427" s="361"/>
      <c r="L427" s="361"/>
      <c r="M427" s="373"/>
      <c r="Y427" s="359"/>
    </row>
    <row r="428" spans="2:25" ht="20.149999999999999" customHeight="1">
      <c r="B428" s="359"/>
      <c r="C428" s="360"/>
      <c r="D428" s="360"/>
      <c r="E428" s="361"/>
      <c r="F428" s="361"/>
      <c r="G428" s="361"/>
      <c r="H428" s="361"/>
      <c r="I428" s="372"/>
      <c r="J428" s="361"/>
      <c r="K428" s="361"/>
      <c r="L428" s="361"/>
      <c r="M428" s="373"/>
      <c r="Y428" s="359"/>
    </row>
    <row r="429" spans="2:25" ht="20.149999999999999" customHeight="1">
      <c r="B429" s="359"/>
      <c r="C429" s="360"/>
      <c r="D429" s="360"/>
      <c r="E429" s="361"/>
      <c r="F429" s="361"/>
      <c r="G429" s="361"/>
      <c r="H429" s="361"/>
      <c r="I429" s="372"/>
      <c r="J429" s="361"/>
      <c r="K429" s="361"/>
      <c r="L429" s="361"/>
      <c r="M429" s="373"/>
      <c r="Y429" s="359"/>
    </row>
    <row r="430" spans="2:25" ht="20.149999999999999" customHeight="1">
      <c r="B430" s="359"/>
      <c r="C430" s="360"/>
      <c r="D430" s="360"/>
      <c r="E430" s="361"/>
      <c r="F430" s="361"/>
      <c r="G430" s="361"/>
      <c r="H430" s="361"/>
      <c r="I430" s="372"/>
      <c r="J430" s="361"/>
      <c r="K430" s="361"/>
      <c r="L430" s="361"/>
      <c r="M430" s="373"/>
      <c r="Y430" s="359"/>
    </row>
    <row r="431" spans="2:25" ht="20.149999999999999" customHeight="1">
      <c r="B431" s="359"/>
      <c r="C431" s="360"/>
      <c r="D431" s="360"/>
      <c r="E431" s="361"/>
      <c r="F431" s="361"/>
      <c r="G431" s="361"/>
      <c r="H431" s="361"/>
      <c r="I431" s="372"/>
      <c r="J431" s="361"/>
      <c r="K431" s="361"/>
      <c r="L431" s="361"/>
      <c r="M431" s="373"/>
      <c r="Y431" s="359"/>
    </row>
    <row r="432" spans="2:25" ht="20.149999999999999" customHeight="1">
      <c r="B432" s="359"/>
      <c r="C432" s="360"/>
      <c r="D432" s="360"/>
      <c r="E432" s="361"/>
      <c r="F432" s="361"/>
      <c r="G432" s="361"/>
      <c r="H432" s="361"/>
      <c r="I432" s="372"/>
      <c r="J432" s="361"/>
      <c r="K432" s="361"/>
      <c r="L432" s="361"/>
      <c r="M432" s="373"/>
      <c r="Y432" s="359"/>
    </row>
    <row r="433" spans="2:25" ht="20.149999999999999" customHeight="1">
      <c r="B433" s="359"/>
      <c r="C433" s="360"/>
      <c r="D433" s="360"/>
      <c r="E433" s="361"/>
      <c r="F433" s="361"/>
      <c r="G433" s="361"/>
      <c r="H433" s="361"/>
      <c r="I433" s="372"/>
      <c r="J433" s="361"/>
      <c r="K433" s="361"/>
      <c r="L433" s="361"/>
      <c r="M433" s="373"/>
      <c r="Y433" s="359"/>
    </row>
    <row r="434" spans="2:25" ht="20.149999999999999" customHeight="1">
      <c r="B434" s="359"/>
      <c r="C434" s="360"/>
      <c r="D434" s="360"/>
      <c r="E434" s="361"/>
      <c r="F434" s="361"/>
      <c r="G434" s="361"/>
      <c r="H434" s="361"/>
      <c r="I434" s="372"/>
      <c r="J434" s="361"/>
      <c r="K434" s="361"/>
      <c r="L434" s="361"/>
      <c r="M434" s="373"/>
      <c r="Y434" s="359"/>
    </row>
    <row r="435" spans="2:25" ht="20.149999999999999" customHeight="1">
      <c r="B435" s="359"/>
      <c r="C435" s="360"/>
      <c r="D435" s="360"/>
      <c r="E435" s="361"/>
      <c r="F435" s="361"/>
      <c r="G435" s="361"/>
      <c r="H435" s="361"/>
      <c r="I435" s="372"/>
      <c r="J435" s="361"/>
      <c r="K435" s="361"/>
      <c r="L435" s="361"/>
      <c r="M435" s="373"/>
      <c r="Y435" s="359"/>
    </row>
    <row r="436" spans="2:25" ht="20.149999999999999" customHeight="1">
      <c r="B436" s="359"/>
      <c r="C436" s="360"/>
      <c r="D436" s="360"/>
      <c r="E436" s="361"/>
      <c r="F436" s="361"/>
      <c r="G436" s="361"/>
      <c r="H436" s="361"/>
      <c r="I436" s="372"/>
      <c r="J436" s="361"/>
      <c r="K436" s="361"/>
      <c r="L436" s="361"/>
      <c r="M436" s="373"/>
      <c r="Y436" s="359"/>
    </row>
    <row r="437" spans="2:25" ht="20.149999999999999" customHeight="1">
      <c r="B437" s="359"/>
      <c r="C437" s="360"/>
      <c r="D437" s="360"/>
      <c r="E437" s="361"/>
      <c r="F437" s="361"/>
      <c r="G437" s="361"/>
      <c r="H437" s="361"/>
      <c r="I437" s="372"/>
      <c r="J437" s="361"/>
      <c r="K437" s="361"/>
      <c r="L437" s="361"/>
      <c r="M437" s="373"/>
      <c r="Y437" s="359"/>
    </row>
    <row r="438" spans="2:25" ht="20.149999999999999" customHeight="1">
      <c r="B438" s="359"/>
      <c r="C438" s="360"/>
      <c r="D438" s="360"/>
      <c r="E438" s="361"/>
      <c r="F438" s="361"/>
      <c r="G438" s="361"/>
      <c r="H438" s="361"/>
      <c r="I438" s="372"/>
      <c r="J438" s="361"/>
      <c r="K438" s="361"/>
      <c r="L438" s="361"/>
      <c r="M438" s="373"/>
      <c r="Y438" s="359"/>
    </row>
    <row r="439" spans="2:25" ht="20.149999999999999" customHeight="1">
      <c r="B439" s="359"/>
      <c r="C439" s="360"/>
      <c r="D439" s="360"/>
      <c r="E439" s="361"/>
      <c r="F439" s="361"/>
      <c r="G439" s="361"/>
      <c r="H439" s="361"/>
      <c r="I439" s="372"/>
      <c r="J439" s="361"/>
      <c r="K439" s="361"/>
      <c r="L439" s="361"/>
      <c r="M439" s="373"/>
      <c r="Y439" s="359"/>
    </row>
    <row r="440" spans="2:25" ht="20.149999999999999" customHeight="1">
      <c r="B440" s="359"/>
      <c r="C440" s="360"/>
      <c r="D440" s="360"/>
      <c r="E440" s="361"/>
      <c r="F440" s="361"/>
      <c r="G440" s="361"/>
      <c r="H440" s="361"/>
      <c r="I440" s="372"/>
      <c r="J440" s="361"/>
      <c r="K440" s="361"/>
      <c r="L440" s="361"/>
      <c r="M440" s="373"/>
      <c r="Y440" s="359"/>
    </row>
    <row r="441" spans="2:25" ht="20.149999999999999" customHeight="1">
      <c r="B441" s="359"/>
      <c r="C441" s="360"/>
      <c r="D441" s="360"/>
      <c r="E441" s="361"/>
      <c r="F441" s="361"/>
      <c r="G441" s="361"/>
      <c r="H441" s="361"/>
      <c r="I441" s="372"/>
      <c r="J441" s="361"/>
      <c r="K441" s="361"/>
      <c r="L441" s="361"/>
      <c r="M441" s="373"/>
      <c r="Y441" s="359"/>
    </row>
    <row r="442" spans="2:25" ht="20.149999999999999" customHeight="1">
      <c r="B442" s="359"/>
      <c r="C442" s="360"/>
      <c r="D442" s="360"/>
      <c r="E442" s="361"/>
      <c r="F442" s="361"/>
      <c r="G442" s="361"/>
      <c r="H442" s="361"/>
      <c r="I442" s="372"/>
      <c r="J442" s="361"/>
      <c r="K442" s="361"/>
      <c r="L442" s="361"/>
      <c r="M442" s="373"/>
      <c r="Y442" s="359"/>
    </row>
    <row r="443" spans="2:25" ht="20.149999999999999" customHeight="1">
      <c r="B443" s="359"/>
      <c r="C443" s="360"/>
      <c r="D443" s="360"/>
      <c r="E443" s="361"/>
      <c r="F443" s="361"/>
      <c r="G443" s="361"/>
      <c r="H443" s="361"/>
      <c r="I443" s="372"/>
      <c r="J443" s="361"/>
      <c r="K443" s="361"/>
      <c r="L443" s="361"/>
      <c r="M443" s="373"/>
      <c r="Y443" s="359"/>
    </row>
    <row r="444" spans="2:25" ht="20.149999999999999" customHeight="1">
      <c r="B444" s="359"/>
      <c r="C444" s="360"/>
      <c r="D444" s="360"/>
      <c r="E444" s="361"/>
      <c r="F444" s="361"/>
      <c r="G444" s="361"/>
      <c r="H444" s="361"/>
      <c r="I444" s="372"/>
      <c r="J444" s="361"/>
      <c r="K444" s="361"/>
      <c r="L444" s="361"/>
      <c r="M444" s="373"/>
      <c r="Y444" s="359"/>
    </row>
    <row r="445" spans="2:25" ht="20.149999999999999" customHeight="1">
      <c r="B445" s="359"/>
      <c r="C445" s="360"/>
      <c r="D445" s="360"/>
      <c r="E445" s="361"/>
      <c r="F445" s="361"/>
      <c r="G445" s="361"/>
      <c r="H445" s="361"/>
      <c r="I445" s="372"/>
      <c r="J445" s="361"/>
      <c r="K445" s="361"/>
      <c r="L445" s="361"/>
      <c r="M445" s="373"/>
      <c r="Y445" s="359"/>
    </row>
    <row r="446" spans="2:25" ht="20.149999999999999" customHeight="1">
      <c r="B446" s="359"/>
      <c r="C446" s="360"/>
      <c r="D446" s="360"/>
      <c r="E446" s="361"/>
      <c r="F446" s="361"/>
      <c r="G446" s="361"/>
      <c r="H446" s="361"/>
      <c r="I446" s="372"/>
      <c r="J446" s="361"/>
      <c r="K446" s="361"/>
      <c r="L446" s="361"/>
      <c r="M446" s="373"/>
      <c r="Y446" s="359"/>
    </row>
    <row r="447" spans="2:25" ht="20.149999999999999" customHeight="1">
      <c r="B447" s="359"/>
      <c r="C447" s="360"/>
      <c r="D447" s="360"/>
      <c r="E447" s="361"/>
      <c r="F447" s="361"/>
      <c r="G447" s="361"/>
      <c r="H447" s="361"/>
      <c r="I447" s="372"/>
      <c r="J447" s="361"/>
      <c r="K447" s="361"/>
      <c r="L447" s="361"/>
      <c r="M447" s="373"/>
      <c r="Y447" s="359"/>
    </row>
    <row r="448" spans="2:25" ht="20.149999999999999" customHeight="1">
      <c r="B448" s="359"/>
      <c r="C448" s="360"/>
      <c r="D448" s="360"/>
      <c r="E448" s="361"/>
      <c r="F448" s="361"/>
      <c r="G448" s="361"/>
      <c r="H448" s="361"/>
      <c r="I448" s="372"/>
      <c r="J448" s="361"/>
      <c r="K448" s="361"/>
      <c r="L448" s="361"/>
      <c r="M448" s="373"/>
      <c r="Y448" s="359"/>
    </row>
    <row r="449" spans="2:25" ht="20.149999999999999" customHeight="1">
      <c r="B449" s="359"/>
      <c r="C449" s="360"/>
      <c r="D449" s="360"/>
      <c r="E449" s="361"/>
      <c r="F449" s="361"/>
      <c r="G449" s="361"/>
      <c r="H449" s="361"/>
      <c r="I449" s="372"/>
      <c r="J449" s="361"/>
      <c r="K449" s="361"/>
      <c r="L449" s="361"/>
      <c r="M449" s="373"/>
      <c r="Y449" s="359"/>
    </row>
    <row r="450" spans="2:25" ht="20.149999999999999" customHeight="1">
      <c r="B450" s="359"/>
      <c r="C450" s="360"/>
      <c r="D450" s="360"/>
      <c r="E450" s="361"/>
      <c r="F450" s="361"/>
      <c r="G450" s="361"/>
      <c r="H450" s="361"/>
      <c r="I450" s="372"/>
      <c r="J450" s="361"/>
      <c r="K450" s="361"/>
      <c r="L450" s="361"/>
      <c r="M450" s="373"/>
      <c r="Y450" s="359"/>
    </row>
    <row r="451" spans="2:25" ht="20.149999999999999" customHeight="1">
      <c r="B451" s="359"/>
      <c r="C451" s="360"/>
      <c r="D451" s="360"/>
      <c r="E451" s="361"/>
      <c r="F451" s="361"/>
      <c r="G451" s="361"/>
      <c r="H451" s="361"/>
      <c r="I451" s="372"/>
      <c r="J451" s="361"/>
      <c r="K451" s="361"/>
      <c r="L451" s="361"/>
      <c r="M451" s="373"/>
      <c r="Y451" s="359"/>
    </row>
    <row r="452" spans="2:25" ht="20.149999999999999" customHeight="1">
      <c r="B452" s="359"/>
      <c r="C452" s="360"/>
      <c r="D452" s="360"/>
      <c r="E452" s="361"/>
      <c r="F452" s="361"/>
      <c r="G452" s="361"/>
      <c r="H452" s="361"/>
      <c r="I452" s="372"/>
      <c r="J452" s="361"/>
      <c r="K452" s="361"/>
      <c r="L452" s="361"/>
      <c r="M452" s="373"/>
      <c r="Y452" s="359"/>
    </row>
    <row r="453" spans="2:25" ht="20.149999999999999" customHeight="1">
      <c r="B453" s="359"/>
      <c r="C453" s="360"/>
      <c r="D453" s="360"/>
      <c r="E453" s="361"/>
      <c r="F453" s="361"/>
      <c r="G453" s="361"/>
      <c r="H453" s="361"/>
      <c r="I453" s="372"/>
      <c r="J453" s="361"/>
      <c r="K453" s="361"/>
      <c r="L453" s="361"/>
      <c r="M453" s="373"/>
      <c r="Y453" s="359"/>
    </row>
    <row r="454" spans="2:25" ht="20.149999999999999" customHeight="1">
      <c r="B454" s="359"/>
      <c r="C454" s="360"/>
      <c r="D454" s="360"/>
      <c r="E454" s="361"/>
      <c r="F454" s="361"/>
      <c r="G454" s="361"/>
      <c r="H454" s="361"/>
      <c r="I454" s="372"/>
      <c r="J454" s="361"/>
      <c r="K454" s="361"/>
      <c r="L454" s="361"/>
      <c r="M454" s="373"/>
      <c r="Y454" s="359"/>
    </row>
    <row r="455" spans="2:25" ht="20.149999999999999" customHeight="1">
      <c r="B455" s="359"/>
      <c r="C455" s="360"/>
      <c r="D455" s="360"/>
      <c r="E455" s="361"/>
      <c r="F455" s="361"/>
      <c r="G455" s="361"/>
      <c r="H455" s="361"/>
      <c r="I455" s="372"/>
      <c r="J455" s="361"/>
      <c r="K455" s="361"/>
      <c r="L455" s="361"/>
      <c r="M455" s="373"/>
      <c r="Y455" s="359"/>
    </row>
    <row r="456" spans="2:25" ht="20.149999999999999" customHeight="1">
      <c r="B456" s="359"/>
      <c r="C456" s="360"/>
      <c r="D456" s="360"/>
      <c r="E456" s="361"/>
      <c r="F456" s="361"/>
      <c r="G456" s="361"/>
      <c r="H456" s="361"/>
      <c r="I456" s="372"/>
      <c r="J456" s="361"/>
      <c r="K456" s="361"/>
      <c r="L456" s="361"/>
      <c r="M456" s="373"/>
      <c r="Y456" s="359"/>
    </row>
    <row r="457" spans="2:25" ht="20.149999999999999" customHeight="1">
      <c r="B457" s="359"/>
      <c r="C457" s="360"/>
      <c r="D457" s="360"/>
      <c r="E457" s="361"/>
      <c r="F457" s="361"/>
      <c r="G457" s="361"/>
      <c r="H457" s="361"/>
      <c r="I457" s="372"/>
      <c r="J457" s="361"/>
      <c r="K457" s="361"/>
      <c r="L457" s="361"/>
      <c r="M457" s="373"/>
      <c r="Y457" s="359"/>
    </row>
    <row r="458" spans="2:25" ht="20.149999999999999" customHeight="1">
      <c r="B458" s="359"/>
      <c r="C458" s="360"/>
      <c r="D458" s="360"/>
      <c r="E458" s="361"/>
      <c r="F458" s="361"/>
      <c r="G458" s="361"/>
      <c r="H458" s="361"/>
      <c r="I458" s="372"/>
      <c r="J458" s="361"/>
      <c r="K458" s="361"/>
      <c r="L458" s="361"/>
      <c r="M458" s="373"/>
      <c r="Y458" s="359"/>
    </row>
    <row r="459" spans="2:25" ht="20.149999999999999" customHeight="1">
      <c r="B459" s="359"/>
      <c r="C459" s="360"/>
      <c r="D459" s="360"/>
      <c r="E459" s="361"/>
      <c r="F459" s="361"/>
      <c r="G459" s="361"/>
      <c r="H459" s="361"/>
      <c r="I459" s="372"/>
      <c r="J459" s="361"/>
      <c r="K459" s="361"/>
      <c r="L459" s="361"/>
      <c r="M459" s="373"/>
      <c r="Y459" s="359"/>
    </row>
    <row r="460" spans="2:25" ht="20.149999999999999" customHeight="1">
      <c r="B460" s="359"/>
      <c r="C460" s="360"/>
      <c r="D460" s="360"/>
      <c r="E460" s="361"/>
      <c r="F460" s="361"/>
      <c r="G460" s="361"/>
      <c r="H460" s="361"/>
      <c r="I460" s="372"/>
      <c r="J460" s="361"/>
      <c r="K460" s="361"/>
      <c r="L460" s="361"/>
      <c r="M460" s="373"/>
      <c r="Y460" s="359"/>
    </row>
    <row r="461" spans="2:25" ht="20.149999999999999" customHeight="1">
      <c r="B461" s="359"/>
      <c r="C461" s="360"/>
      <c r="D461" s="360"/>
      <c r="E461" s="361"/>
      <c r="F461" s="361"/>
      <c r="G461" s="361"/>
      <c r="H461" s="361"/>
      <c r="I461" s="372"/>
      <c r="J461" s="361"/>
      <c r="K461" s="361"/>
      <c r="L461" s="361"/>
      <c r="M461" s="373"/>
      <c r="Y461" s="359"/>
    </row>
    <row r="462" spans="2:25" ht="20.149999999999999" customHeight="1">
      <c r="B462" s="359"/>
      <c r="C462" s="360"/>
      <c r="D462" s="360"/>
      <c r="E462" s="361"/>
      <c r="F462" s="361"/>
      <c r="G462" s="361"/>
      <c r="H462" s="361"/>
      <c r="I462" s="372"/>
      <c r="J462" s="361"/>
      <c r="K462" s="361"/>
      <c r="L462" s="361"/>
      <c r="M462" s="373"/>
      <c r="Y462" s="359"/>
    </row>
    <row r="463" spans="2:25" ht="20.149999999999999" customHeight="1">
      <c r="B463" s="359"/>
      <c r="C463" s="360"/>
      <c r="D463" s="360"/>
      <c r="E463" s="361"/>
      <c r="F463" s="361"/>
      <c r="G463" s="361"/>
      <c r="H463" s="361"/>
      <c r="I463" s="372"/>
      <c r="J463" s="361"/>
      <c r="K463" s="361"/>
      <c r="L463" s="361"/>
      <c r="M463" s="373"/>
      <c r="Y463" s="359"/>
    </row>
    <row r="464" spans="2:25" ht="20.149999999999999" customHeight="1">
      <c r="B464" s="359"/>
      <c r="C464" s="360"/>
      <c r="D464" s="360"/>
      <c r="E464" s="361"/>
      <c r="F464" s="361"/>
      <c r="G464" s="361"/>
      <c r="H464" s="361"/>
      <c r="I464" s="372"/>
      <c r="J464" s="361"/>
      <c r="K464" s="361"/>
      <c r="L464" s="361"/>
      <c r="M464" s="373"/>
      <c r="Y464" s="359"/>
    </row>
    <row r="465" spans="2:25" ht="20.149999999999999" customHeight="1">
      <c r="B465" s="359"/>
      <c r="C465" s="360"/>
      <c r="D465" s="360"/>
      <c r="E465" s="361"/>
      <c r="F465" s="361"/>
      <c r="G465" s="361"/>
      <c r="H465" s="361"/>
      <c r="I465" s="372"/>
      <c r="J465" s="361"/>
      <c r="K465" s="361"/>
      <c r="L465" s="361"/>
      <c r="M465" s="373"/>
      <c r="Y465" s="359"/>
    </row>
    <row r="466" spans="2:25" ht="20.149999999999999" customHeight="1">
      <c r="B466" s="359"/>
      <c r="C466" s="360"/>
      <c r="D466" s="360"/>
      <c r="E466" s="361"/>
      <c r="F466" s="361"/>
      <c r="G466" s="361"/>
      <c r="H466" s="361"/>
      <c r="I466" s="372"/>
      <c r="J466" s="361"/>
      <c r="K466" s="361"/>
      <c r="L466" s="361"/>
      <c r="M466" s="373"/>
      <c r="Y466" s="359"/>
    </row>
    <row r="467" spans="2:25" ht="20.149999999999999" customHeight="1">
      <c r="B467" s="359"/>
      <c r="C467" s="360"/>
      <c r="D467" s="360"/>
      <c r="E467" s="361"/>
      <c r="F467" s="361"/>
      <c r="G467" s="361"/>
      <c r="H467" s="361"/>
      <c r="I467" s="372"/>
      <c r="J467" s="361"/>
      <c r="K467" s="361"/>
      <c r="L467" s="361"/>
      <c r="M467" s="373"/>
      <c r="Y467" s="359"/>
    </row>
    <row r="468" spans="2:25" ht="20.149999999999999" customHeight="1">
      <c r="B468" s="359"/>
      <c r="C468" s="360"/>
      <c r="D468" s="360"/>
      <c r="E468" s="361"/>
      <c r="F468" s="361"/>
      <c r="G468" s="361"/>
      <c r="H468" s="361"/>
      <c r="I468" s="372"/>
      <c r="J468" s="361"/>
      <c r="K468" s="361"/>
      <c r="L468" s="361"/>
      <c r="M468" s="373"/>
      <c r="Y468" s="359"/>
    </row>
    <row r="469" spans="2:25" ht="20.149999999999999" customHeight="1">
      <c r="B469" s="359"/>
      <c r="C469" s="360"/>
      <c r="D469" s="360"/>
      <c r="E469" s="361"/>
      <c r="F469" s="361"/>
      <c r="G469" s="361"/>
      <c r="H469" s="361"/>
      <c r="I469" s="372"/>
      <c r="J469" s="361"/>
      <c r="K469" s="361"/>
      <c r="L469" s="361"/>
      <c r="M469" s="373"/>
      <c r="Y469" s="359"/>
    </row>
    <row r="470" spans="2:25" ht="20.149999999999999" customHeight="1">
      <c r="B470" s="359"/>
      <c r="C470" s="360"/>
      <c r="D470" s="360"/>
      <c r="E470" s="361"/>
      <c r="F470" s="361"/>
      <c r="G470" s="361"/>
      <c r="H470" s="361"/>
      <c r="I470" s="372"/>
      <c r="J470" s="361"/>
      <c r="K470" s="361"/>
      <c r="L470" s="361"/>
      <c r="M470" s="373"/>
      <c r="Y470" s="359"/>
    </row>
    <row r="471" spans="2:25" ht="20.149999999999999" customHeight="1">
      <c r="B471" s="359"/>
      <c r="C471" s="360"/>
      <c r="D471" s="360"/>
      <c r="E471" s="361"/>
      <c r="F471" s="361"/>
      <c r="G471" s="361"/>
      <c r="H471" s="361"/>
      <c r="I471" s="372"/>
      <c r="J471" s="361"/>
      <c r="K471" s="361"/>
      <c r="L471" s="361"/>
      <c r="M471" s="373"/>
      <c r="Y471" s="359"/>
    </row>
    <row r="472" spans="2:25" ht="20.149999999999999" customHeight="1">
      <c r="B472" s="359"/>
      <c r="C472" s="360"/>
      <c r="D472" s="360"/>
      <c r="E472" s="361"/>
      <c r="F472" s="361"/>
      <c r="G472" s="361"/>
      <c r="H472" s="361"/>
      <c r="I472" s="372"/>
      <c r="J472" s="361"/>
      <c r="K472" s="361"/>
      <c r="L472" s="361"/>
      <c r="M472" s="373"/>
      <c r="Y472" s="359"/>
    </row>
    <row r="473" spans="2:25" ht="20.149999999999999" customHeight="1">
      <c r="B473" s="359"/>
      <c r="C473" s="360"/>
      <c r="D473" s="360"/>
      <c r="E473" s="361"/>
      <c r="F473" s="361"/>
      <c r="G473" s="361"/>
      <c r="H473" s="361"/>
      <c r="I473" s="372"/>
      <c r="J473" s="361"/>
      <c r="K473" s="361"/>
      <c r="L473" s="361"/>
      <c r="M473" s="373"/>
      <c r="Y473" s="359"/>
    </row>
    <row r="474" spans="2:25" ht="20.149999999999999" customHeight="1">
      <c r="B474" s="359"/>
      <c r="C474" s="360"/>
      <c r="D474" s="360"/>
      <c r="E474" s="361"/>
      <c r="F474" s="361"/>
      <c r="G474" s="361"/>
      <c r="H474" s="361"/>
      <c r="I474" s="372"/>
      <c r="J474" s="361"/>
      <c r="K474" s="361"/>
      <c r="L474" s="361"/>
      <c r="M474" s="373"/>
      <c r="Y474" s="359"/>
    </row>
    <row r="475" spans="2:25" ht="20.149999999999999" customHeight="1">
      <c r="B475" s="359"/>
      <c r="C475" s="360"/>
      <c r="D475" s="360"/>
      <c r="E475" s="361"/>
      <c r="F475" s="361"/>
      <c r="G475" s="361"/>
      <c r="H475" s="361"/>
      <c r="I475" s="372"/>
      <c r="J475" s="361"/>
      <c r="K475" s="361"/>
      <c r="L475" s="361"/>
      <c r="M475" s="373"/>
      <c r="Y475" s="359"/>
    </row>
    <row r="476" spans="2:25" ht="20.149999999999999" customHeight="1">
      <c r="B476" s="359"/>
      <c r="C476" s="360"/>
      <c r="D476" s="360"/>
      <c r="E476" s="361"/>
      <c r="F476" s="361"/>
      <c r="G476" s="361"/>
      <c r="H476" s="361"/>
      <c r="I476" s="372"/>
      <c r="J476" s="361"/>
      <c r="K476" s="361"/>
      <c r="L476" s="361"/>
      <c r="M476" s="373"/>
      <c r="Y476" s="359"/>
    </row>
    <row r="477" spans="2:25" ht="20.149999999999999" customHeight="1">
      <c r="B477" s="359"/>
      <c r="C477" s="360"/>
      <c r="D477" s="360"/>
      <c r="E477" s="361"/>
      <c r="F477" s="361"/>
      <c r="G477" s="361"/>
      <c r="H477" s="361"/>
      <c r="I477" s="372"/>
      <c r="J477" s="361"/>
      <c r="K477" s="361"/>
      <c r="L477" s="361"/>
      <c r="M477" s="373"/>
      <c r="Y477" s="359"/>
    </row>
    <row r="478" spans="2:25" ht="20.149999999999999" customHeight="1">
      <c r="B478" s="359"/>
      <c r="C478" s="360"/>
      <c r="D478" s="360"/>
      <c r="E478" s="361"/>
      <c r="F478" s="361"/>
      <c r="G478" s="361"/>
      <c r="H478" s="361"/>
      <c r="I478" s="372"/>
      <c r="J478" s="361"/>
      <c r="K478" s="361"/>
      <c r="L478" s="361"/>
      <c r="M478" s="373"/>
      <c r="Y478" s="359"/>
    </row>
    <row r="479" spans="2:25" ht="20.149999999999999" customHeight="1">
      <c r="B479" s="359"/>
      <c r="C479" s="360"/>
      <c r="D479" s="360"/>
      <c r="E479" s="361"/>
      <c r="F479" s="361"/>
      <c r="G479" s="361"/>
      <c r="H479" s="361"/>
      <c r="I479" s="372"/>
      <c r="J479" s="361"/>
      <c r="K479" s="361"/>
      <c r="L479" s="361"/>
      <c r="M479" s="373"/>
      <c r="Y479" s="359"/>
    </row>
    <row r="480" spans="2:25" ht="20.149999999999999" customHeight="1">
      <c r="B480" s="359"/>
      <c r="C480" s="360"/>
      <c r="D480" s="360"/>
      <c r="E480" s="361"/>
      <c r="F480" s="361"/>
      <c r="G480" s="361"/>
      <c r="H480" s="361"/>
      <c r="I480" s="372"/>
      <c r="J480" s="361"/>
      <c r="K480" s="361"/>
      <c r="L480" s="361"/>
      <c r="M480" s="373"/>
      <c r="Y480" s="359"/>
    </row>
    <row r="481" spans="2:25" ht="20.149999999999999" customHeight="1">
      <c r="B481" s="359"/>
      <c r="C481" s="360"/>
      <c r="D481" s="360"/>
      <c r="E481" s="361"/>
      <c r="F481" s="361"/>
      <c r="G481" s="361"/>
      <c r="H481" s="361"/>
      <c r="I481" s="372"/>
      <c r="J481" s="361"/>
      <c r="K481" s="361"/>
      <c r="L481" s="361"/>
      <c r="M481" s="373"/>
      <c r="Y481" s="359"/>
    </row>
    <row r="482" spans="2:25" ht="20.149999999999999" customHeight="1">
      <c r="B482" s="359"/>
      <c r="C482" s="360"/>
      <c r="D482" s="360"/>
      <c r="E482" s="361"/>
      <c r="F482" s="361"/>
      <c r="G482" s="361"/>
      <c r="H482" s="361"/>
      <c r="I482" s="372"/>
      <c r="J482" s="361"/>
      <c r="K482" s="361"/>
      <c r="L482" s="361"/>
      <c r="M482" s="373"/>
      <c r="Y482" s="359"/>
    </row>
    <row r="483" spans="2:25" ht="20.149999999999999" customHeight="1">
      <c r="B483" s="359"/>
      <c r="C483" s="360"/>
      <c r="D483" s="360"/>
      <c r="E483" s="361"/>
      <c r="F483" s="361"/>
      <c r="G483" s="361"/>
      <c r="H483" s="361"/>
      <c r="I483" s="372"/>
      <c r="J483" s="361"/>
      <c r="K483" s="361"/>
      <c r="L483" s="361"/>
      <c r="M483" s="373"/>
      <c r="Y483" s="359"/>
    </row>
    <row r="484" spans="2:25" ht="20.149999999999999" customHeight="1">
      <c r="B484" s="359"/>
      <c r="C484" s="360"/>
      <c r="D484" s="360"/>
      <c r="E484" s="361"/>
      <c r="F484" s="361"/>
      <c r="G484" s="361"/>
      <c r="H484" s="361"/>
      <c r="I484" s="372"/>
      <c r="J484" s="361"/>
      <c r="K484" s="361"/>
      <c r="L484" s="361"/>
      <c r="M484" s="373"/>
      <c r="Y484" s="359"/>
    </row>
    <row r="485" spans="2:25" ht="20.149999999999999" customHeight="1">
      <c r="B485" s="359"/>
      <c r="C485" s="360"/>
      <c r="D485" s="360"/>
      <c r="E485" s="361"/>
      <c r="F485" s="361"/>
      <c r="G485" s="361"/>
      <c r="H485" s="361"/>
      <c r="I485" s="372"/>
      <c r="J485" s="361"/>
      <c r="K485" s="361"/>
      <c r="L485" s="361"/>
      <c r="M485" s="373"/>
      <c r="Y485" s="359"/>
    </row>
    <row r="486" spans="2:25" ht="20.149999999999999" customHeight="1">
      <c r="B486" s="359"/>
      <c r="C486" s="360"/>
      <c r="D486" s="360"/>
      <c r="E486" s="361"/>
      <c r="F486" s="361"/>
      <c r="G486" s="361"/>
      <c r="H486" s="361"/>
      <c r="I486" s="372"/>
      <c r="J486" s="361"/>
      <c r="K486" s="361"/>
      <c r="L486" s="361"/>
      <c r="M486" s="373"/>
      <c r="Y486" s="359"/>
    </row>
    <row r="487" spans="2:25" ht="20.149999999999999" customHeight="1">
      <c r="B487" s="359"/>
      <c r="C487" s="360"/>
      <c r="D487" s="360"/>
      <c r="E487" s="361"/>
      <c r="F487" s="361"/>
      <c r="G487" s="361"/>
      <c r="H487" s="361"/>
      <c r="I487" s="372"/>
      <c r="J487" s="361"/>
      <c r="K487" s="361"/>
      <c r="L487" s="361"/>
      <c r="M487" s="373"/>
      <c r="Y487" s="359"/>
    </row>
    <row r="488" spans="2:25" ht="20.149999999999999" customHeight="1">
      <c r="B488" s="359"/>
      <c r="C488" s="360"/>
      <c r="D488" s="360"/>
      <c r="E488" s="361"/>
      <c r="F488" s="361"/>
      <c r="G488" s="361"/>
      <c r="H488" s="361"/>
      <c r="I488" s="372"/>
      <c r="J488" s="361"/>
      <c r="K488" s="361"/>
      <c r="L488" s="361"/>
      <c r="M488" s="373"/>
      <c r="Y488" s="359"/>
    </row>
    <row r="489" spans="2:25" ht="20.149999999999999" customHeight="1">
      <c r="B489" s="359"/>
      <c r="C489" s="360"/>
      <c r="D489" s="360"/>
      <c r="E489" s="361"/>
      <c r="F489" s="361"/>
      <c r="G489" s="361"/>
      <c r="H489" s="361"/>
      <c r="I489" s="372"/>
      <c r="J489" s="361"/>
      <c r="K489" s="361"/>
      <c r="L489" s="361"/>
      <c r="M489" s="373"/>
      <c r="Y489" s="359"/>
    </row>
    <row r="490" spans="2:25" ht="20.149999999999999" customHeight="1">
      <c r="B490" s="359"/>
      <c r="C490" s="360"/>
      <c r="D490" s="360"/>
      <c r="E490" s="361"/>
      <c r="F490" s="361"/>
      <c r="G490" s="361"/>
      <c r="H490" s="361"/>
      <c r="I490" s="372"/>
      <c r="J490" s="361"/>
      <c r="K490" s="361"/>
      <c r="L490" s="361"/>
      <c r="M490" s="373"/>
      <c r="Y490" s="359"/>
    </row>
    <row r="491" spans="2:25" ht="20.149999999999999" customHeight="1">
      <c r="B491" s="359"/>
      <c r="C491" s="360"/>
      <c r="D491" s="360"/>
      <c r="E491" s="361"/>
      <c r="F491" s="361"/>
      <c r="G491" s="361"/>
      <c r="H491" s="361"/>
      <c r="I491" s="372"/>
      <c r="J491" s="361"/>
      <c r="K491" s="361"/>
      <c r="L491" s="361"/>
      <c r="M491" s="373"/>
      <c r="Y491" s="359"/>
    </row>
    <row r="492" spans="2:25" ht="20.149999999999999" customHeight="1">
      <c r="B492" s="359"/>
      <c r="C492" s="360"/>
      <c r="D492" s="360"/>
      <c r="E492" s="361"/>
      <c r="F492" s="361"/>
      <c r="G492" s="361"/>
      <c r="H492" s="361"/>
      <c r="I492" s="372"/>
      <c r="J492" s="361"/>
      <c r="K492" s="361"/>
      <c r="L492" s="361"/>
      <c r="M492" s="373"/>
      <c r="Y492" s="359"/>
    </row>
    <row r="493" spans="2:25" ht="20.149999999999999" customHeight="1">
      <c r="B493" s="359"/>
      <c r="C493" s="360"/>
      <c r="D493" s="360"/>
      <c r="E493" s="361"/>
      <c r="F493" s="361"/>
      <c r="G493" s="361"/>
      <c r="H493" s="361"/>
      <c r="I493" s="372"/>
      <c r="J493" s="361"/>
      <c r="K493" s="361"/>
      <c r="L493" s="361"/>
      <c r="M493" s="373"/>
      <c r="Y493" s="359"/>
    </row>
    <row r="494" spans="2:25" ht="20.149999999999999" customHeight="1">
      <c r="B494" s="359"/>
      <c r="C494" s="360"/>
      <c r="D494" s="360"/>
      <c r="E494" s="361"/>
      <c r="F494" s="361"/>
      <c r="G494" s="361"/>
      <c r="H494" s="361"/>
      <c r="I494" s="372"/>
      <c r="J494" s="361"/>
      <c r="K494" s="361"/>
      <c r="L494" s="361"/>
      <c r="M494" s="373"/>
      <c r="Y494" s="359"/>
    </row>
    <row r="495" spans="2:25" ht="20.149999999999999" customHeight="1">
      <c r="B495" s="359"/>
      <c r="C495" s="360"/>
      <c r="D495" s="360"/>
      <c r="E495" s="361"/>
      <c r="F495" s="361"/>
      <c r="G495" s="361"/>
      <c r="H495" s="361"/>
      <c r="I495" s="372"/>
      <c r="J495" s="361"/>
      <c r="K495" s="361"/>
      <c r="L495" s="361"/>
      <c r="M495" s="373"/>
      <c r="Y495" s="359"/>
    </row>
    <row r="496" spans="2:25" ht="20.149999999999999" customHeight="1">
      <c r="B496" s="359"/>
      <c r="C496" s="360"/>
      <c r="D496" s="360"/>
      <c r="E496" s="361"/>
      <c r="F496" s="361"/>
      <c r="G496" s="361"/>
      <c r="H496" s="361"/>
      <c r="I496" s="372"/>
      <c r="J496" s="361"/>
      <c r="K496" s="361"/>
      <c r="L496" s="361"/>
      <c r="M496" s="373"/>
      <c r="Y496" s="359"/>
    </row>
    <row r="497" spans="2:25" ht="20.149999999999999" customHeight="1">
      <c r="B497" s="359"/>
      <c r="C497" s="360"/>
      <c r="D497" s="360"/>
      <c r="E497" s="361"/>
      <c r="F497" s="361"/>
      <c r="G497" s="361"/>
      <c r="H497" s="361"/>
      <c r="I497" s="372"/>
      <c r="J497" s="361"/>
      <c r="K497" s="361"/>
      <c r="L497" s="361"/>
      <c r="M497" s="373"/>
      <c r="Y497" s="359"/>
    </row>
    <row r="498" spans="2:25" ht="20.149999999999999" customHeight="1">
      <c r="B498" s="359"/>
      <c r="C498" s="360"/>
      <c r="D498" s="360"/>
      <c r="E498" s="361"/>
      <c r="F498" s="361"/>
      <c r="G498" s="361"/>
      <c r="H498" s="361"/>
      <c r="I498" s="372"/>
      <c r="J498" s="361"/>
      <c r="K498" s="361"/>
      <c r="L498" s="361"/>
      <c r="M498" s="373"/>
      <c r="Y498" s="359"/>
    </row>
    <row r="499" spans="2:25" ht="20.149999999999999" customHeight="1">
      <c r="B499" s="359"/>
      <c r="C499" s="360"/>
      <c r="D499" s="360"/>
      <c r="E499" s="361"/>
      <c r="F499" s="361"/>
      <c r="G499" s="361"/>
      <c r="H499" s="361"/>
      <c r="I499" s="372"/>
      <c r="J499" s="361"/>
      <c r="K499" s="361"/>
      <c r="L499" s="361"/>
      <c r="M499" s="373"/>
      <c r="Y499" s="359"/>
    </row>
    <row r="500" spans="2:25" ht="20.149999999999999" customHeight="1">
      <c r="B500" s="359"/>
      <c r="C500" s="360"/>
      <c r="D500" s="360"/>
      <c r="E500" s="361"/>
      <c r="F500" s="361"/>
      <c r="G500" s="361"/>
      <c r="H500" s="361"/>
      <c r="I500" s="372"/>
      <c r="J500" s="361"/>
      <c r="K500" s="361"/>
      <c r="L500" s="361"/>
      <c r="M500" s="373"/>
      <c r="Y500" s="359"/>
    </row>
    <row r="501" spans="2:25" ht="20.149999999999999" customHeight="1">
      <c r="B501" s="359"/>
      <c r="C501" s="360"/>
      <c r="D501" s="360"/>
      <c r="E501" s="361"/>
      <c r="F501" s="361"/>
      <c r="G501" s="361"/>
      <c r="H501" s="361"/>
      <c r="I501" s="372"/>
      <c r="J501" s="361"/>
      <c r="K501" s="361"/>
      <c r="L501" s="361"/>
      <c r="M501" s="373"/>
      <c r="Y501" s="359"/>
    </row>
    <row r="502" spans="2:25" ht="20.149999999999999" customHeight="1">
      <c r="B502" s="359"/>
      <c r="C502" s="360"/>
      <c r="D502" s="360"/>
      <c r="E502" s="361"/>
      <c r="F502" s="361"/>
      <c r="G502" s="361"/>
      <c r="H502" s="361"/>
      <c r="I502" s="372"/>
      <c r="J502" s="361"/>
      <c r="K502" s="361"/>
      <c r="L502" s="361"/>
      <c r="M502" s="373"/>
      <c r="Y502" s="359"/>
    </row>
    <row r="503" spans="2:25" ht="20.149999999999999" customHeight="1">
      <c r="B503" s="359"/>
      <c r="C503" s="360"/>
      <c r="D503" s="360"/>
      <c r="E503" s="361"/>
      <c r="F503" s="361"/>
      <c r="G503" s="361"/>
      <c r="H503" s="361"/>
      <c r="I503" s="372"/>
      <c r="J503" s="361"/>
      <c r="K503" s="361"/>
      <c r="L503" s="361"/>
      <c r="M503" s="373"/>
      <c r="Y503" s="359"/>
    </row>
    <row r="504" spans="2:25" ht="20.149999999999999" customHeight="1">
      <c r="B504" s="359"/>
      <c r="C504" s="360"/>
      <c r="D504" s="360"/>
      <c r="E504" s="361"/>
      <c r="F504" s="361"/>
      <c r="G504" s="361"/>
      <c r="H504" s="361"/>
      <c r="I504" s="372"/>
      <c r="J504" s="361"/>
      <c r="K504" s="361"/>
      <c r="L504" s="361"/>
      <c r="M504" s="373"/>
      <c r="Y504" s="359"/>
    </row>
    <row r="505" spans="2:25" ht="20.149999999999999" customHeight="1">
      <c r="B505" s="359"/>
      <c r="C505" s="360"/>
      <c r="D505" s="360"/>
      <c r="E505" s="361"/>
      <c r="F505" s="361"/>
      <c r="G505" s="361"/>
      <c r="H505" s="361"/>
      <c r="I505" s="372"/>
      <c r="J505" s="361"/>
      <c r="K505" s="361"/>
      <c r="L505" s="361"/>
      <c r="M505" s="373"/>
      <c r="Y505" s="359"/>
    </row>
    <row r="506" spans="2:25" ht="20.149999999999999" customHeight="1">
      <c r="B506" s="359"/>
      <c r="C506" s="360"/>
      <c r="D506" s="360"/>
      <c r="E506" s="361"/>
      <c r="F506" s="361"/>
      <c r="G506" s="361"/>
      <c r="H506" s="361"/>
      <c r="I506" s="372"/>
      <c r="J506" s="361"/>
      <c r="K506" s="361"/>
      <c r="L506" s="361"/>
      <c r="M506" s="373"/>
      <c r="Y506" s="359"/>
    </row>
    <row r="507" spans="2:25" ht="20.149999999999999" customHeight="1">
      <c r="B507" s="359"/>
      <c r="C507" s="360"/>
      <c r="D507" s="360"/>
      <c r="E507" s="361"/>
      <c r="F507" s="361"/>
      <c r="G507" s="361"/>
      <c r="H507" s="361"/>
      <c r="I507" s="372"/>
      <c r="J507" s="361"/>
      <c r="K507" s="361"/>
      <c r="L507" s="361"/>
      <c r="M507" s="373"/>
      <c r="Y507" s="359"/>
    </row>
    <row r="508" spans="2:25" ht="20.149999999999999" customHeight="1">
      <c r="B508" s="359"/>
      <c r="C508" s="360"/>
      <c r="D508" s="360"/>
      <c r="E508" s="361"/>
      <c r="F508" s="361"/>
      <c r="G508" s="361"/>
      <c r="H508" s="361"/>
      <c r="I508" s="372"/>
      <c r="J508" s="361"/>
      <c r="K508" s="361"/>
      <c r="L508" s="361"/>
      <c r="M508" s="373"/>
      <c r="Y508" s="359"/>
    </row>
    <row r="509" spans="2:25" ht="20.149999999999999" customHeight="1">
      <c r="B509" s="359"/>
      <c r="C509" s="360"/>
      <c r="D509" s="360"/>
      <c r="E509" s="361"/>
      <c r="F509" s="361"/>
      <c r="G509" s="361"/>
      <c r="H509" s="361"/>
      <c r="I509" s="372"/>
      <c r="J509" s="361"/>
      <c r="K509" s="361"/>
      <c r="L509" s="361"/>
      <c r="M509" s="373"/>
      <c r="Y509" s="359"/>
    </row>
    <row r="510" spans="2:25" ht="20.149999999999999" customHeight="1">
      <c r="B510" s="359"/>
      <c r="C510" s="360"/>
      <c r="D510" s="360"/>
      <c r="E510" s="361"/>
      <c r="F510" s="361"/>
      <c r="G510" s="361"/>
      <c r="H510" s="361"/>
      <c r="I510" s="372"/>
      <c r="J510" s="361"/>
      <c r="K510" s="361"/>
      <c r="L510" s="361"/>
      <c r="M510" s="373"/>
      <c r="Y510" s="359"/>
    </row>
    <row r="511" spans="2:25" ht="20.149999999999999" customHeight="1">
      <c r="B511" s="359"/>
      <c r="C511" s="360"/>
      <c r="D511" s="360"/>
      <c r="E511" s="361"/>
      <c r="F511" s="361"/>
      <c r="G511" s="361"/>
      <c r="H511" s="361"/>
      <c r="I511" s="372"/>
      <c r="J511" s="361"/>
      <c r="K511" s="361"/>
      <c r="L511" s="361"/>
      <c r="M511" s="373"/>
      <c r="Y511" s="359"/>
    </row>
    <row r="512" spans="2:25" ht="20.149999999999999" customHeight="1">
      <c r="B512" s="359"/>
      <c r="C512" s="360"/>
      <c r="D512" s="360"/>
      <c r="E512" s="361"/>
      <c r="F512" s="361"/>
      <c r="G512" s="361"/>
      <c r="H512" s="361"/>
      <c r="I512" s="372"/>
      <c r="J512" s="361"/>
      <c r="K512" s="361"/>
      <c r="L512" s="361"/>
      <c r="M512" s="373"/>
      <c r="Y512" s="359"/>
    </row>
    <row r="513" spans="2:25" ht="20.149999999999999" customHeight="1">
      <c r="B513" s="359"/>
      <c r="C513" s="360"/>
      <c r="D513" s="360"/>
      <c r="E513" s="361"/>
      <c r="F513" s="361"/>
      <c r="G513" s="361"/>
      <c r="H513" s="361"/>
      <c r="I513" s="372"/>
      <c r="J513" s="361"/>
      <c r="K513" s="361"/>
      <c r="L513" s="361"/>
      <c r="M513" s="373"/>
      <c r="Y513" s="359"/>
    </row>
    <row r="514" spans="2:25" ht="20.149999999999999" customHeight="1">
      <c r="B514" s="359"/>
      <c r="C514" s="360"/>
      <c r="D514" s="360"/>
      <c r="E514" s="361"/>
      <c r="F514" s="361"/>
      <c r="G514" s="361"/>
      <c r="H514" s="361"/>
      <c r="I514" s="372"/>
      <c r="J514" s="361"/>
      <c r="K514" s="361"/>
      <c r="L514" s="361"/>
      <c r="M514" s="373"/>
      <c r="Y514" s="359"/>
    </row>
    <row r="515" spans="2:25" ht="20.149999999999999" customHeight="1">
      <c r="B515" s="359"/>
      <c r="C515" s="360"/>
      <c r="D515" s="360"/>
      <c r="E515" s="361"/>
      <c r="F515" s="361"/>
      <c r="G515" s="361"/>
      <c r="H515" s="361"/>
      <c r="I515" s="372"/>
      <c r="J515" s="361"/>
      <c r="K515" s="361"/>
      <c r="L515" s="361"/>
      <c r="M515" s="373"/>
      <c r="Y515" s="359"/>
    </row>
    <row r="516" spans="2:25" ht="20.149999999999999" customHeight="1">
      <c r="B516" s="359"/>
      <c r="C516" s="360"/>
      <c r="D516" s="360"/>
      <c r="E516" s="361"/>
      <c r="F516" s="361"/>
      <c r="G516" s="361"/>
      <c r="H516" s="361"/>
      <c r="I516" s="372"/>
      <c r="J516" s="361"/>
      <c r="K516" s="361"/>
      <c r="L516" s="361"/>
      <c r="M516" s="373"/>
      <c r="Y516" s="359"/>
    </row>
    <row r="517" spans="2:25" ht="20.149999999999999" customHeight="1">
      <c r="B517" s="359"/>
      <c r="C517" s="360"/>
      <c r="D517" s="360"/>
      <c r="E517" s="361"/>
      <c r="F517" s="361"/>
      <c r="G517" s="361"/>
      <c r="H517" s="361"/>
      <c r="I517" s="372"/>
      <c r="J517" s="361"/>
      <c r="K517" s="361"/>
      <c r="L517" s="361"/>
      <c r="M517" s="373"/>
      <c r="Y517" s="359"/>
    </row>
    <row r="518" spans="2:25" ht="20.149999999999999" customHeight="1">
      <c r="B518" s="359"/>
      <c r="C518" s="360"/>
      <c r="D518" s="360"/>
      <c r="E518" s="361"/>
      <c r="F518" s="361"/>
      <c r="G518" s="361"/>
      <c r="H518" s="361"/>
      <c r="I518" s="372"/>
      <c r="J518" s="361"/>
      <c r="K518" s="361"/>
      <c r="L518" s="361"/>
      <c r="M518" s="373"/>
      <c r="Y518" s="359"/>
    </row>
    <row r="519" spans="2:25" ht="20.149999999999999" customHeight="1">
      <c r="B519" s="359"/>
      <c r="C519" s="360"/>
      <c r="D519" s="360"/>
      <c r="E519" s="361"/>
      <c r="F519" s="361"/>
      <c r="G519" s="361"/>
      <c r="H519" s="361"/>
      <c r="I519" s="372"/>
      <c r="J519" s="361"/>
      <c r="K519" s="361"/>
      <c r="L519" s="361"/>
      <c r="M519" s="373"/>
      <c r="Y519" s="359"/>
    </row>
    <row r="520" spans="2:25" ht="20.149999999999999" customHeight="1">
      <c r="B520" s="359"/>
      <c r="C520" s="360"/>
      <c r="D520" s="360"/>
      <c r="E520" s="361"/>
      <c r="F520" s="361"/>
      <c r="G520" s="361"/>
      <c r="H520" s="361"/>
      <c r="I520" s="372"/>
      <c r="J520" s="361"/>
      <c r="K520" s="361"/>
      <c r="L520" s="361"/>
      <c r="M520" s="373"/>
      <c r="Y520" s="359"/>
    </row>
    <row r="521" spans="2:25" ht="20.149999999999999" customHeight="1">
      <c r="B521" s="359"/>
      <c r="C521" s="360"/>
      <c r="D521" s="360"/>
      <c r="E521" s="361"/>
      <c r="F521" s="361"/>
      <c r="G521" s="361"/>
      <c r="H521" s="361"/>
      <c r="I521" s="372"/>
      <c r="J521" s="361"/>
      <c r="K521" s="361"/>
      <c r="L521" s="361"/>
      <c r="M521" s="373"/>
      <c r="Y521" s="359"/>
    </row>
    <row r="522" spans="2:25" ht="20.149999999999999" customHeight="1">
      <c r="B522" s="359"/>
      <c r="C522" s="360"/>
      <c r="D522" s="360"/>
      <c r="E522" s="361"/>
      <c r="F522" s="361"/>
      <c r="G522" s="361"/>
      <c r="H522" s="361"/>
      <c r="I522" s="372"/>
      <c r="J522" s="361"/>
      <c r="K522" s="361"/>
      <c r="L522" s="361"/>
      <c r="M522" s="373"/>
      <c r="Y522" s="359"/>
    </row>
    <row r="523" spans="2:25" ht="20.149999999999999" customHeight="1">
      <c r="B523" s="359"/>
      <c r="C523" s="360"/>
      <c r="D523" s="360"/>
      <c r="E523" s="361"/>
      <c r="F523" s="361"/>
      <c r="G523" s="361"/>
      <c r="H523" s="361"/>
      <c r="I523" s="372"/>
      <c r="J523" s="361"/>
      <c r="K523" s="361"/>
      <c r="L523" s="361"/>
      <c r="M523" s="373"/>
      <c r="Y523" s="359"/>
    </row>
    <row r="524" spans="2:25" ht="20.149999999999999" customHeight="1">
      <c r="B524" s="359"/>
      <c r="C524" s="360"/>
      <c r="D524" s="360"/>
      <c r="E524" s="361"/>
      <c r="F524" s="361"/>
      <c r="G524" s="361"/>
      <c r="H524" s="361"/>
      <c r="I524" s="372"/>
      <c r="J524" s="361"/>
      <c r="K524" s="361"/>
      <c r="L524" s="361"/>
      <c r="M524" s="373"/>
      <c r="Y524" s="359"/>
    </row>
    <row r="525" spans="2:25" ht="20.149999999999999" customHeight="1">
      <c r="B525" s="359"/>
      <c r="C525" s="360"/>
      <c r="D525" s="360"/>
      <c r="E525" s="361"/>
      <c r="F525" s="361"/>
      <c r="G525" s="361"/>
      <c r="H525" s="361"/>
      <c r="I525" s="372"/>
      <c r="J525" s="361"/>
      <c r="K525" s="361"/>
      <c r="L525" s="361"/>
      <c r="M525" s="373"/>
      <c r="Y525" s="359"/>
    </row>
    <row r="526" spans="2:25" ht="20.149999999999999" customHeight="1">
      <c r="B526" s="359"/>
      <c r="C526" s="360"/>
      <c r="D526" s="360"/>
      <c r="E526" s="361"/>
      <c r="F526" s="361"/>
      <c r="G526" s="361"/>
      <c r="H526" s="361"/>
      <c r="I526" s="372"/>
      <c r="J526" s="361"/>
      <c r="K526" s="361"/>
      <c r="L526" s="361"/>
      <c r="M526" s="373"/>
      <c r="Y526" s="359"/>
    </row>
    <row r="527" spans="2:25" ht="20.149999999999999" customHeight="1">
      <c r="B527" s="359"/>
      <c r="C527" s="360"/>
      <c r="D527" s="360"/>
      <c r="E527" s="361"/>
      <c r="F527" s="361"/>
      <c r="G527" s="361"/>
      <c r="H527" s="361"/>
      <c r="I527" s="372"/>
      <c r="J527" s="361"/>
      <c r="K527" s="361"/>
      <c r="L527" s="361"/>
      <c r="M527" s="373"/>
      <c r="Y527" s="359"/>
    </row>
    <row r="528" spans="2:25" ht="20.149999999999999" customHeight="1">
      <c r="B528" s="359"/>
      <c r="C528" s="360"/>
      <c r="D528" s="360"/>
      <c r="E528" s="361"/>
      <c r="F528" s="361"/>
      <c r="G528" s="361"/>
      <c r="H528" s="361"/>
      <c r="I528" s="372"/>
      <c r="J528" s="361"/>
      <c r="K528" s="361"/>
      <c r="L528" s="361"/>
      <c r="M528" s="373"/>
      <c r="Y528" s="359"/>
    </row>
    <row r="529" spans="2:25" ht="20.149999999999999" customHeight="1">
      <c r="B529" s="359"/>
      <c r="C529" s="360"/>
      <c r="D529" s="360"/>
      <c r="E529" s="361"/>
      <c r="F529" s="361"/>
      <c r="G529" s="361"/>
      <c r="H529" s="361"/>
      <c r="I529" s="372"/>
      <c r="J529" s="361"/>
      <c r="K529" s="361"/>
      <c r="L529" s="361"/>
      <c r="M529" s="373"/>
      <c r="Y529" s="359"/>
    </row>
    <row r="530" spans="2:25" ht="20.149999999999999" customHeight="1">
      <c r="B530" s="359"/>
      <c r="C530" s="360"/>
      <c r="D530" s="360"/>
      <c r="E530" s="361"/>
      <c r="F530" s="361"/>
      <c r="G530" s="361"/>
      <c r="H530" s="361"/>
      <c r="I530" s="372"/>
      <c r="J530" s="361"/>
      <c r="K530" s="361"/>
      <c r="L530" s="361"/>
      <c r="M530" s="373"/>
      <c r="Y530" s="359"/>
    </row>
    <row r="531" spans="2:25" ht="20.149999999999999" customHeight="1">
      <c r="B531" s="359"/>
      <c r="C531" s="360"/>
      <c r="D531" s="360"/>
      <c r="E531" s="361"/>
      <c r="F531" s="361"/>
      <c r="G531" s="361"/>
      <c r="H531" s="361"/>
      <c r="I531" s="372"/>
      <c r="J531" s="361"/>
      <c r="K531" s="361"/>
      <c r="L531" s="361"/>
      <c r="M531" s="373"/>
      <c r="Y531" s="359"/>
    </row>
    <row r="532" spans="2:25" ht="20.149999999999999" customHeight="1">
      <c r="B532" s="359"/>
      <c r="C532" s="360"/>
      <c r="D532" s="360"/>
      <c r="E532" s="361"/>
      <c r="F532" s="361"/>
      <c r="G532" s="361"/>
      <c r="H532" s="361"/>
      <c r="I532" s="372"/>
      <c r="J532" s="361"/>
      <c r="K532" s="361"/>
      <c r="L532" s="361"/>
      <c r="M532" s="373"/>
      <c r="Y532" s="359"/>
    </row>
    <row r="533" spans="2:25" ht="20.149999999999999" customHeight="1">
      <c r="B533" s="359"/>
      <c r="C533" s="360"/>
      <c r="D533" s="360"/>
      <c r="E533" s="361"/>
      <c r="F533" s="361"/>
      <c r="G533" s="361"/>
      <c r="H533" s="361"/>
      <c r="I533" s="372"/>
      <c r="J533" s="361"/>
      <c r="K533" s="361"/>
      <c r="L533" s="361"/>
      <c r="M533" s="373"/>
      <c r="Y533" s="359"/>
    </row>
    <row r="534" spans="2:25" ht="20.149999999999999" customHeight="1">
      <c r="B534" s="359"/>
      <c r="C534" s="360"/>
      <c r="D534" s="360"/>
      <c r="E534" s="361"/>
      <c r="F534" s="361"/>
      <c r="G534" s="361"/>
      <c r="H534" s="361"/>
      <c r="I534" s="372"/>
      <c r="J534" s="361"/>
      <c r="K534" s="361"/>
      <c r="L534" s="361"/>
      <c r="M534" s="373"/>
      <c r="Y534" s="359"/>
    </row>
    <row r="535" spans="2:25" ht="20.149999999999999" customHeight="1">
      <c r="B535" s="359"/>
      <c r="C535" s="360"/>
      <c r="D535" s="360"/>
      <c r="E535" s="361"/>
      <c r="F535" s="361"/>
      <c r="G535" s="361"/>
      <c r="H535" s="361"/>
      <c r="I535" s="372"/>
      <c r="J535" s="361"/>
      <c r="K535" s="361"/>
      <c r="L535" s="361"/>
      <c r="M535" s="373"/>
      <c r="Y535" s="359"/>
    </row>
    <row r="536" spans="2:25" ht="20.149999999999999" customHeight="1">
      <c r="B536" s="359"/>
      <c r="C536" s="360"/>
      <c r="D536" s="360"/>
      <c r="E536" s="361"/>
      <c r="F536" s="361"/>
      <c r="G536" s="361"/>
      <c r="H536" s="361"/>
      <c r="I536" s="372"/>
      <c r="J536" s="361"/>
      <c r="K536" s="361"/>
      <c r="L536" s="361"/>
      <c r="M536" s="373"/>
      <c r="Y536" s="359"/>
    </row>
    <row r="537" spans="2:25" ht="20.149999999999999" customHeight="1">
      <c r="B537" s="359"/>
      <c r="C537" s="360"/>
      <c r="D537" s="360"/>
      <c r="E537" s="361"/>
      <c r="F537" s="361"/>
      <c r="G537" s="361"/>
      <c r="H537" s="361"/>
      <c r="I537" s="372"/>
      <c r="J537" s="361"/>
      <c r="K537" s="361"/>
      <c r="L537" s="361"/>
      <c r="M537" s="373"/>
      <c r="Y537" s="359"/>
    </row>
    <row r="538" spans="2:25" ht="20.149999999999999" customHeight="1">
      <c r="B538" s="359"/>
      <c r="C538" s="360"/>
      <c r="D538" s="360"/>
      <c r="E538" s="361"/>
      <c r="F538" s="361"/>
      <c r="G538" s="361"/>
      <c r="H538" s="361"/>
      <c r="I538" s="372"/>
      <c r="J538" s="361"/>
      <c r="K538" s="361"/>
      <c r="L538" s="361"/>
      <c r="M538" s="373"/>
      <c r="Y538" s="359"/>
    </row>
    <row r="539" spans="2:25" ht="20.149999999999999" customHeight="1">
      <c r="B539" s="359"/>
      <c r="C539" s="360"/>
      <c r="D539" s="360"/>
      <c r="E539" s="361"/>
      <c r="F539" s="361"/>
      <c r="G539" s="361"/>
      <c r="H539" s="361"/>
      <c r="I539" s="372"/>
      <c r="J539" s="361"/>
      <c r="K539" s="361"/>
      <c r="L539" s="361"/>
      <c r="M539" s="373"/>
      <c r="Y539" s="359"/>
    </row>
    <row r="540" spans="2:25" ht="20.149999999999999" customHeight="1">
      <c r="B540" s="359"/>
      <c r="C540" s="360"/>
      <c r="D540" s="360"/>
      <c r="E540" s="361"/>
      <c r="F540" s="361"/>
      <c r="G540" s="361"/>
      <c r="H540" s="361"/>
      <c r="I540" s="372"/>
      <c r="J540" s="361"/>
      <c r="K540" s="361"/>
      <c r="L540" s="361"/>
      <c r="M540" s="373"/>
      <c r="Y540" s="359"/>
    </row>
    <row r="541" spans="2:25" ht="20.149999999999999" customHeight="1">
      <c r="B541" s="359"/>
      <c r="C541" s="360"/>
      <c r="D541" s="360"/>
      <c r="E541" s="361"/>
      <c r="F541" s="361"/>
      <c r="G541" s="361"/>
      <c r="H541" s="361"/>
      <c r="I541" s="372"/>
      <c r="J541" s="361"/>
      <c r="K541" s="361"/>
      <c r="L541" s="361"/>
      <c r="M541" s="373"/>
      <c r="Y541" s="359"/>
    </row>
    <row r="542" spans="2:25" ht="20.149999999999999" customHeight="1">
      <c r="B542" s="359"/>
      <c r="C542" s="360"/>
      <c r="D542" s="360"/>
      <c r="E542" s="361"/>
      <c r="F542" s="361"/>
      <c r="G542" s="361"/>
      <c r="H542" s="361"/>
      <c r="I542" s="372"/>
      <c r="J542" s="361"/>
      <c r="K542" s="361"/>
      <c r="L542" s="361"/>
      <c r="M542" s="373"/>
      <c r="Y542" s="359"/>
    </row>
    <row r="543" spans="2:25" ht="20.149999999999999" customHeight="1">
      <c r="B543" s="359"/>
      <c r="C543" s="360"/>
      <c r="D543" s="360"/>
      <c r="E543" s="361"/>
      <c r="F543" s="361"/>
      <c r="G543" s="361"/>
      <c r="H543" s="361"/>
      <c r="I543" s="372"/>
      <c r="J543" s="361"/>
      <c r="K543" s="361"/>
      <c r="L543" s="361"/>
      <c r="M543" s="373"/>
      <c r="Y543" s="359"/>
    </row>
    <row r="544" spans="2:25" ht="20.149999999999999" customHeight="1">
      <c r="B544" s="359"/>
      <c r="C544" s="360"/>
      <c r="D544" s="360"/>
      <c r="E544" s="361"/>
      <c r="F544" s="361"/>
      <c r="G544" s="361"/>
      <c r="H544" s="361"/>
      <c r="I544" s="372"/>
      <c r="J544" s="361"/>
      <c r="K544" s="361"/>
      <c r="L544" s="361"/>
      <c r="M544" s="373"/>
      <c r="Y544" s="359"/>
    </row>
    <row r="545" spans="2:25" ht="20.149999999999999" customHeight="1">
      <c r="B545" s="359"/>
      <c r="C545" s="360"/>
      <c r="D545" s="360"/>
      <c r="E545" s="361"/>
      <c r="F545" s="361"/>
      <c r="G545" s="361"/>
      <c r="H545" s="361"/>
      <c r="I545" s="372"/>
      <c r="J545" s="361"/>
      <c r="K545" s="361"/>
      <c r="L545" s="361"/>
      <c r="M545" s="373"/>
      <c r="Y545" s="359"/>
    </row>
    <row r="546" spans="2:25" ht="20.149999999999999" customHeight="1">
      <c r="B546" s="359"/>
      <c r="C546" s="360"/>
      <c r="D546" s="360"/>
      <c r="E546" s="361"/>
      <c r="F546" s="361"/>
      <c r="G546" s="361"/>
      <c r="H546" s="361"/>
      <c r="I546" s="372"/>
      <c r="J546" s="361"/>
      <c r="K546" s="361"/>
      <c r="L546" s="361"/>
      <c r="M546" s="373"/>
      <c r="Y546" s="359"/>
    </row>
    <row r="547" spans="2:25" ht="20.149999999999999" customHeight="1">
      <c r="B547" s="359"/>
      <c r="C547" s="360"/>
      <c r="D547" s="360"/>
      <c r="E547" s="361"/>
      <c r="F547" s="361"/>
      <c r="G547" s="361"/>
      <c r="H547" s="361"/>
      <c r="I547" s="372"/>
      <c r="J547" s="361"/>
      <c r="K547" s="361"/>
      <c r="L547" s="361"/>
      <c r="M547" s="373"/>
      <c r="Y547" s="359"/>
    </row>
    <row r="548" spans="2:25" ht="20.149999999999999" customHeight="1">
      <c r="B548" s="359"/>
      <c r="C548" s="360"/>
      <c r="D548" s="360"/>
      <c r="E548" s="361"/>
      <c r="F548" s="361"/>
      <c r="G548" s="361"/>
      <c r="H548" s="361"/>
      <c r="I548" s="372"/>
      <c r="J548" s="361"/>
      <c r="K548" s="361"/>
      <c r="L548" s="361"/>
      <c r="M548" s="373"/>
      <c r="Y548" s="359"/>
    </row>
    <row r="549" spans="2:25" ht="20.149999999999999" customHeight="1">
      <c r="B549" s="359"/>
      <c r="C549" s="360"/>
      <c r="D549" s="360"/>
      <c r="E549" s="361"/>
      <c r="F549" s="361"/>
      <c r="G549" s="361"/>
      <c r="H549" s="361"/>
      <c r="I549" s="372"/>
      <c r="J549" s="361"/>
      <c r="K549" s="361"/>
      <c r="L549" s="361"/>
      <c r="M549" s="373"/>
      <c r="Y549" s="359"/>
    </row>
    <row r="550" spans="2:25" ht="20.149999999999999" customHeight="1">
      <c r="B550" s="359"/>
      <c r="C550" s="360"/>
      <c r="D550" s="360"/>
      <c r="E550" s="361"/>
      <c r="F550" s="361"/>
      <c r="G550" s="361"/>
      <c r="H550" s="361"/>
      <c r="I550" s="372"/>
      <c r="J550" s="361"/>
      <c r="K550" s="361"/>
      <c r="L550" s="361"/>
      <c r="M550" s="373"/>
      <c r="Y550" s="359"/>
    </row>
    <row r="551" spans="2:25" ht="20.149999999999999" customHeight="1">
      <c r="B551" s="359"/>
      <c r="C551" s="360"/>
      <c r="D551" s="360"/>
      <c r="E551" s="361"/>
      <c r="F551" s="361"/>
      <c r="G551" s="361"/>
      <c r="H551" s="361"/>
      <c r="I551" s="372"/>
      <c r="J551" s="361"/>
      <c r="K551" s="361"/>
      <c r="L551" s="361"/>
      <c r="M551" s="373"/>
      <c r="Y551" s="359"/>
    </row>
    <row r="552" spans="2:25" ht="20.149999999999999" customHeight="1">
      <c r="B552" s="359"/>
      <c r="C552" s="360"/>
      <c r="D552" s="360"/>
      <c r="E552" s="361"/>
      <c r="F552" s="361"/>
      <c r="G552" s="361"/>
      <c r="H552" s="361"/>
      <c r="I552" s="372"/>
      <c r="J552" s="361"/>
      <c r="K552" s="361"/>
      <c r="L552" s="361"/>
      <c r="M552" s="373"/>
      <c r="Y552" s="359"/>
    </row>
    <row r="553" spans="2:25" ht="20.149999999999999" customHeight="1">
      <c r="B553" s="359"/>
      <c r="C553" s="360"/>
      <c r="D553" s="360"/>
      <c r="E553" s="361"/>
      <c r="F553" s="361"/>
      <c r="G553" s="361"/>
      <c r="H553" s="361"/>
      <c r="I553" s="372"/>
      <c r="J553" s="361"/>
      <c r="K553" s="361"/>
      <c r="L553" s="361"/>
      <c r="M553" s="373"/>
      <c r="Y553" s="359"/>
    </row>
    <row r="554" spans="2:25" ht="20.149999999999999" customHeight="1">
      <c r="B554" s="359"/>
      <c r="C554" s="360"/>
      <c r="D554" s="360"/>
      <c r="E554" s="361"/>
      <c r="F554" s="361"/>
      <c r="G554" s="361"/>
      <c r="H554" s="361"/>
      <c r="I554" s="372"/>
      <c r="J554" s="361"/>
      <c r="K554" s="361"/>
      <c r="L554" s="361"/>
      <c r="M554" s="373"/>
      <c r="Y554" s="359"/>
    </row>
    <row r="555" spans="2:25" ht="20.149999999999999" customHeight="1">
      <c r="B555" s="359"/>
      <c r="C555" s="360"/>
      <c r="D555" s="360"/>
      <c r="E555" s="361"/>
      <c r="F555" s="361"/>
      <c r="G555" s="361"/>
      <c r="H555" s="361"/>
      <c r="I555" s="372"/>
      <c r="J555" s="361"/>
      <c r="K555" s="361"/>
      <c r="L555" s="361"/>
      <c r="M555" s="373"/>
      <c r="Y555" s="359"/>
    </row>
    <row r="556" spans="2:25" ht="20.149999999999999" customHeight="1">
      <c r="B556" s="359"/>
      <c r="C556" s="360"/>
      <c r="D556" s="360"/>
      <c r="E556" s="361"/>
      <c r="F556" s="361"/>
      <c r="G556" s="361"/>
      <c r="H556" s="361"/>
      <c r="I556" s="372"/>
      <c r="J556" s="361"/>
      <c r="K556" s="361"/>
      <c r="L556" s="361"/>
      <c r="M556" s="373"/>
      <c r="Y556" s="359"/>
    </row>
    <row r="557" spans="2:25" ht="20.149999999999999" customHeight="1">
      <c r="B557" s="359"/>
      <c r="C557" s="360"/>
      <c r="D557" s="360"/>
      <c r="E557" s="361"/>
      <c r="F557" s="361"/>
      <c r="G557" s="361"/>
      <c r="H557" s="361"/>
      <c r="I557" s="372"/>
      <c r="J557" s="361"/>
      <c r="K557" s="361"/>
      <c r="L557" s="361"/>
      <c r="M557" s="373"/>
      <c r="Y557" s="359"/>
    </row>
    <row r="558" spans="2:25" ht="20.149999999999999" customHeight="1">
      <c r="B558" s="359"/>
      <c r="C558" s="360"/>
      <c r="D558" s="360"/>
      <c r="E558" s="361"/>
      <c r="F558" s="361"/>
      <c r="G558" s="361"/>
      <c r="H558" s="361"/>
      <c r="I558" s="372"/>
      <c r="J558" s="361"/>
      <c r="K558" s="361"/>
      <c r="L558" s="361"/>
      <c r="M558" s="373"/>
      <c r="Y558" s="359"/>
    </row>
    <row r="559" spans="2:25" ht="20.149999999999999" customHeight="1">
      <c r="B559" s="359"/>
      <c r="C559" s="360"/>
      <c r="D559" s="360"/>
      <c r="E559" s="361"/>
      <c r="F559" s="361"/>
      <c r="G559" s="361"/>
      <c r="H559" s="361"/>
      <c r="I559" s="372"/>
      <c r="J559" s="361"/>
      <c r="K559" s="361"/>
      <c r="L559" s="361"/>
      <c r="M559" s="373"/>
      <c r="Y559" s="359"/>
    </row>
    <row r="560" spans="2:25" ht="20.149999999999999" customHeight="1">
      <c r="B560" s="359"/>
      <c r="C560" s="360"/>
      <c r="D560" s="360"/>
      <c r="E560" s="361"/>
      <c r="F560" s="361"/>
      <c r="G560" s="361"/>
      <c r="H560" s="361"/>
      <c r="I560" s="372"/>
      <c r="J560" s="361"/>
      <c r="K560" s="361"/>
      <c r="L560" s="361"/>
      <c r="M560" s="373"/>
      <c r="Y560" s="359"/>
    </row>
    <row r="561" spans="2:25" ht="20.149999999999999" customHeight="1">
      <c r="B561" s="359"/>
      <c r="C561" s="360"/>
      <c r="D561" s="360"/>
      <c r="E561" s="361"/>
      <c r="F561" s="361"/>
      <c r="G561" s="361"/>
      <c r="H561" s="361"/>
      <c r="I561" s="372"/>
      <c r="J561" s="361"/>
      <c r="K561" s="361"/>
      <c r="L561" s="361"/>
      <c r="M561" s="373"/>
      <c r="Y561" s="359"/>
    </row>
    <row r="562" spans="2:25" ht="20.149999999999999" customHeight="1">
      <c r="B562" s="359"/>
      <c r="C562" s="360"/>
      <c r="D562" s="360"/>
      <c r="E562" s="361"/>
      <c r="F562" s="361"/>
      <c r="G562" s="361"/>
      <c r="H562" s="361"/>
      <c r="I562" s="372"/>
      <c r="J562" s="361"/>
      <c r="K562" s="361"/>
      <c r="L562" s="361"/>
      <c r="M562" s="373"/>
      <c r="Y562" s="359"/>
    </row>
    <row r="563" spans="2:25" ht="20.149999999999999" customHeight="1">
      <c r="B563" s="359"/>
      <c r="C563" s="360"/>
      <c r="D563" s="360"/>
      <c r="E563" s="361"/>
      <c r="F563" s="361"/>
      <c r="G563" s="361"/>
      <c r="H563" s="361"/>
      <c r="I563" s="372"/>
      <c r="J563" s="361"/>
      <c r="K563" s="361"/>
      <c r="L563" s="361"/>
      <c r="M563" s="373"/>
      <c r="Y563" s="359"/>
    </row>
    <row r="564" spans="2:25" ht="20.149999999999999" customHeight="1">
      <c r="B564" s="359"/>
      <c r="C564" s="360"/>
      <c r="D564" s="360"/>
      <c r="E564" s="361"/>
      <c r="F564" s="361"/>
      <c r="G564" s="361"/>
      <c r="H564" s="361"/>
      <c r="I564" s="372"/>
      <c r="J564" s="361"/>
      <c r="K564" s="361"/>
      <c r="L564" s="361"/>
      <c r="M564" s="373"/>
      <c r="Y564" s="359"/>
    </row>
    <row r="565" spans="2:25" ht="20.149999999999999" customHeight="1">
      <c r="B565" s="359"/>
      <c r="C565" s="360"/>
      <c r="D565" s="360"/>
      <c r="E565" s="361"/>
      <c r="F565" s="361"/>
      <c r="G565" s="361"/>
      <c r="H565" s="361"/>
      <c r="I565" s="372"/>
      <c r="J565" s="361"/>
      <c r="K565" s="361"/>
      <c r="L565" s="361"/>
      <c r="M565" s="373"/>
      <c r="Y565" s="359"/>
    </row>
    <row r="566" spans="2:25" ht="20.149999999999999" customHeight="1">
      <c r="B566" s="359"/>
      <c r="C566" s="360"/>
      <c r="D566" s="360"/>
      <c r="E566" s="361"/>
      <c r="F566" s="361"/>
      <c r="G566" s="361"/>
      <c r="H566" s="361"/>
      <c r="I566" s="372"/>
      <c r="J566" s="361"/>
      <c r="K566" s="361"/>
      <c r="L566" s="361"/>
      <c r="M566" s="373"/>
      <c r="Y566" s="359"/>
    </row>
    <row r="567" spans="2:25" ht="20.149999999999999" customHeight="1">
      <c r="B567" s="359"/>
      <c r="C567" s="360"/>
      <c r="D567" s="360"/>
      <c r="E567" s="361"/>
      <c r="F567" s="361"/>
      <c r="G567" s="361"/>
      <c r="H567" s="361"/>
      <c r="I567" s="372"/>
      <c r="J567" s="361"/>
      <c r="K567" s="361"/>
      <c r="L567" s="361"/>
      <c r="M567" s="373"/>
      <c r="Y567" s="359"/>
    </row>
    <row r="568" spans="2:25" ht="20.149999999999999" customHeight="1">
      <c r="B568" s="359"/>
      <c r="C568" s="360"/>
      <c r="D568" s="360"/>
      <c r="E568" s="361"/>
      <c r="F568" s="361"/>
      <c r="G568" s="361"/>
      <c r="H568" s="361"/>
      <c r="I568" s="372"/>
      <c r="J568" s="361"/>
      <c r="K568" s="361"/>
      <c r="L568" s="361"/>
      <c r="M568" s="373"/>
      <c r="Y568" s="359"/>
    </row>
    <row r="569" spans="2:25" ht="20.149999999999999" customHeight="1">
      <c r="B569" s="359"/>
      <c r="C569" s="360"/>
      <c r="D569" s="360"/>
      <c r="E569" s="361"/>
      <c r="F569" s="361"/>
      <c r="G569" s="361"/>
      <c r="H569" s="361"/>
      <c r="I569" s="372"/>
      <c r="J569" s="361"/>
      <c r="K569" s="361"/>
      <c r="L569" s="361"/>
      <c r="M569" s="373"/>
      <c r="Y569" s="359"/>
    </row>
    <row r="570" spans="2:25" ht="20.149999999999999" customHeight="1">
      <c r="B570" s="359"/>
      <c r="C570" s="360"/>
      <c r="D570" s="360"/>
      <c r="E570" s="361"/>
      <c r="F570" s="361"/>
      <c r="G570" s="361"/>
      <c r="H570" s="361"/>
      <c r="I570" s="372"/>
      <c r="J570" s="361"/>
      <c r="K570" s="361"/>
      <c r="L570" s="361"/>
      <c r="M570" s="373"/>
      <c r="Y570" s="359"/>
    </row>
    <row r="571" spans="2:25" ht="20.149999999999999" customHeight="1">
      <c r="B571" s="359"/>
      <c r="C571" s="360"/>
      <c r="D571" s="360"/>
      <c r="E571" s="361"/>
      <c r="F571" s="361"/>
      <c r="G571" s="361"/>
      <c r="H571" s="361"/>
      <c r="I571" s="372"/>
      <c r="J571" s="361"/>
      <c r="K571" s="361"/>
      <c r="L571" s="361"/>
      <c r="M571" s="373"/>
      <c r="Y571" s="359"/>
    </row>
    <row r="572" spans="2:25" ht="20.149999999999999" customHeight="1">
      <c r="B572" s="359"/>
      <c r="C572" s="360"/>
      <c r="D572" s="360"/>
      <c r="E572" s="361"/>
      <c r="F572" s="361"/>
      <c r="G572" s="361"/>
      <c r="H572" s="361"/>
      <c r="I572" s="372"/>
      <c r="J572" s="361"/>
      <c r="K572" s="361"/>
      <c r="L572" s="361"/>
      <c r="M572" s="373"/>
      <c r="Y572" s="359"/>
    </row>
    <row r="573" spans="2:25" ht="20.149999999999999" customHeight="1">
      <c r="B573" s="359"/>
      <c r="C573" s="360"/>
      <c r="D573" s="360"/>
      <c r="E573" s="361"/>
      <c r="F573" s="361"/>
      <c r="G573" s="361"/>
      <c r="H573" s="361"/>
      <c r="I573" s="372"/>
      <c r="J573" s="361"/>
      <c r="K573" s="361"/>
      <c r="L573" s="361"/>
      <c r="M573" s="373"/>
      <c r="Y573" s="359"/>
    </row>
    <row r="574" spans="2:25" ht="20.149999999999999" customHeight="1">
      <c r="B574" s="359"/>
      <c r="C574" s="360"/>
      <c r="D574" s="360"/>
      <c r="E574" s="361"/>
      <c r="F574" s="361"/>
      <c r="G574" s="361"/>
      <c r="H574" s="361"/>
      <c r="I574" s="372"/>
      <c r="J574" s="361"/>
      <c r="K574" s="361"/>
      <c r="L574" s="361"/>
      <c r="M574" s="373"/>
      <c r="Y574" s="359"/>
    </row>
    <row r="575" spans="2:25" ht="20.149999999999999" customHeight="1">
      <c r="B575" s="359"/>
      <c r="C575" s="360"/>
      <c r="D575" s="360"/>
      <c r="E575" s="361"/>
      <c r="F575" s="361"/>
      <c r="G575" s="361"/>
      <c r="H575" s="361"/>
      <c r="I575" s="372"/>
      <c r="J575" s="361"/>
      <c r="K575" s="361"/>
      <c r="L575" s="361"/>
      <c r="M575" s="373"/>
      <c r="Y575" s="359"/>
    </row>
    <row r="576" spans="2:25" ht="20.149999999999999" customHeight="1">
      <c r="B576" s="359"/>
      <c r="C576" s="360"/>
      <c r="D576" s="360"/>
      <c r="E576" s="361"/>
      <c r="F576" s="361"/>
      <c r="G576" s="361"/>
      <c r="H576" s="361"/>
      <c r="I576" s="372"/>
      <c r="J576" s="361"/>
      <c r="K576" s="361"/>
      <c r="L576" s="361"/>
      <c r="M576" s="373"/>
      <c r="Y576" s="359"/>
    </row>
    <row r="577" spans="2:25" ht="20.149999999999999" customHeight="1">
      <c r="B577" s="359"/>
      <c r="C577" s="360"/>
      <c r="D577" s="360"/>
      <c r="E577" s="361"/>
      <c r="F577" s="361"/>
      <c r="G577" s="361"/>
      <c r="H577" s="361"/>
      <c r="I577" s="372"/>
      <c r="J577" s="361"/>
      <c r="K577" s="361"/>
      <c r="L577" s="361"/>
      <c r="M577" s="373"/>
      <c r="Y577" s="359"/>
    </row>
    <row r="578" spans="2:25" ht="20.149999999999999" customHeight="1">
      <c r="B578" s="359"/>
      <c r="C578" s="360"/>
      <c r="D578" s="360"/>
      <c r="E578" s="361"/>
      <c r="F578" s="361"/>
      <c r="G578" s="361"/>
      <c r="H578" s="361"/>
      <c r="I578" s="372"/>
      <c r="J578" s="361"/>
      <c r="K578" s="361"/>
      <c r="L578" s="361"/>
      <c r="M578" s="373"/>
      <c r="Y578" s="359"/>
    </row>
    <row r="579" spans="2:25" ht="20.149999999999999" customHeight="1">
      <c r="B579" s="359"/>
      <c r="C579" s="360"/>
      <c r="D579" s="360"/>
      <c r="E579" s="361"/>
      <c r="F579" s="361"/>
      <c r="G579" s="361"/>
      <c r="H579" s="361"/>
      <c r="I579" s="372"/>
      <c r="J579" s="361"/>
      <c r="K579" s="361"/>
      <c r="L579" s="361"/>
      <c r="M579" s="373"/>
      <c r="Y579" s="359"/>
    </row>
    <row r="580" spans="2:25" ht="20.149999999999999" customHeight="1">
      <c r="B580" s="359"/>
      <c r="C580" s="360"/>
      <c r="D580" s="360"/>
      <c r="E580" s="361"/>
      <c r="F580" s="361"/>
      <c r="G580" s="361"/>
      <c r="H580" s="361"/>
      <c r="I580" s="372"/>
      <c r="J580" s="361"/>
      <c r="K580" s="361"/>
      <c r="L580" s="361"/>
      <c r="M580" s="373"/>
      <c r="Y580" s="359"/>
    </row>
    <row r="581" spans="2:25" ht="20.149999999999999" customHeight="1">
      <c r="B581" s="359"/>
      <c r="C581" s="360"/>
      <c r="D581" s="360"/>
      <c r="E581" s="361"/>
      <c r="F581" s="361"/>
      <c r="G581" s="361"/>
      <c r="H581" s="361"/>
      <c r="I581" s="372"/>
      <c r="J581" s="361"/>
      <c r="K581" s="361"/>
      <c r="L581" s="361"/>
      <c r="M581" s="373"/>
      <c r="Y581" s="359"/>
    </row>
    <row r="582" spans="2:25" ht="20.149999999999999" customHeight="1">
      <c r="B582" s="359"/>
      <c r="C582" s="360"/>
      <c r="D582" s="360"/>
      <c r="E582" s="361"/>
      <c r="F582" s="361"/>
      <c r="G582" s="361"/>
      <c r="H582" s="361"/>
      <c r="I582" s="372"/>
      <c r="J582" s="361"/>
      <c r="K582" s="361"/>
      <c r="L582" s="361"/>
      <c r="M582" s="373"/>
      <c r="Y582" s="359"/>
    </row>
    <row r="583" spans="2:25" ht="20.149999999999999" customHeight="1">
      <c r="B583" s="359"/>
      <c r="C583" s="360"/>
      <c r="D583" s="360"/>
      <c r="E583" s="361"/>
      <c r="F583" s="361"/>
      <c r="G583" s="361"/>
      <c r="H583" s="361"/>
      <c r="I583" s="372"/>
      <c r="J583" s="361"/>
      <c r="K583" s="361"/>
      <c r="L583" s="361"/>
      <c r="M583" s="373"/>
      <c r="Y583" s="359"/>
    </row>
    <row r="584" spans="2:25" ht="20.149999999999999" customHeight="1">
      <c r="B584" s="359"/>
      <c r="C584" s="360"/>
      <c r="D584" s="360"/>
      <c r="E584" s="361"/>
      <c r="F584" s="361"/>
      <c r="G584" s="361"/>
      <c r="H584" s="361"/>
      <c r="I584" s="372"/>
      <c r="J584" s="361"/>
      <c r="K584" s="361"/>
      <c r="L584" s="361"/>
      <c r="M584" s="373"/>
      <c r="Y584" s="359"/>
    </row>
    <row r="585" spans="2:25" ht="20.149999999999999" customHeight="1">
      <c r="B585" s="359"/>
      <c r="C585" s="360"/>
      <c r="D585" s="360"/>
      <c r="E585" s="361"/>
      <c r="F585" s="361"/>
      <c r="G585" s="361"/>
      <c r="H585" s="361"/>
      <c r="I585" s="372"/>
      <c r="J585" s="361"/>
      <c r="K585" s="361"/>
      <c r="L585" s="361"/>
      <c r="M585" s="373"/>
      <c r="Y585" s="359"/>
    </row>
    <row r="586" spans="2:25" ht="20.149999999999999" customHeight="1">
      <c r="B586" s="359"/>
      <c r="C586" s="360"/>
      <c r="D586" s="360"/>
      <c r="E586" s="361"/>
      <c r="F586" s="361"/>
      <c r="G586" s="361"/>
      <c r="H586" s="361"/>
      <c r="I586" s="372"/>
      <c r="J586" s="361"/>
      <c r="K586" s="361"/>
      <c r="L586" s="361"/>
      <c r="M586" s="373"/>
      <c r="Y586" s="359"/>
    </row>
    <row r="587" spans="2:25" ht="20.149999999999999" customHeight="1">
      <c r="B587" s="359"/>
      <c r="C587" s="360"/>
      <c r="D587" s="360"/>
      <c r="E587" s="361"/>
      <c r="F587" s="361"/>
      <c r="G587" s="361"/>
      <c r="H587" s="361"/>
      <c r="I587" s="372"/>
      <c r="J587" s="361"/>
      <c r="K587" s="361"/>
      <c r="L587" s="361"/>
      <c r="M587" s="373"/>
      <c r="Y587" s="359"/>
    </row>
    <row r="588" spans="2:25" ht="20.149999999999999" customHeight="1">
      <c r="B588" s="359"/>
      <c r="C588" s="360"/>
      <c r="D588" s="360"/>
      <c r="E588" s="361"/>
      <c r="F588" s="361"/>
      <c r="G588" s="361"/>
      <c r="H588" s="361"/>
      <c r="I588" s="372"/>
      <c r="J588" s="361"/>
      <c r="K588" s="361"/>
      <c r="L588" s="361"/>
      <c r="M588" s="373"/>
      <c r="Y588" s="359"/>
    </row>
    <row r="589" spans="2:25" ht="20.149999999999999" customHeight="1">
      <c r="B589" s="359"/>
      <c r="C589" s="360"/>
      <c r="D589" s="360"/>
      <c r="E589" s="361"/>
      <c r="F589" s="361"/>
      <c r="G589" s="361"/>
      <c r="H589" s="361"/>
      <c r="I589" s="372"/>
      <c r="J589" s="361"/>
      <c r="K589" s="361"/>
      <c r="L589" s="361"/>
      <c r="M589" s="373"/>
      <c r="Y589" s="359"/>
    </row>
    <row r="590" spans="2:25" ht="20.149999999999999" customHeight="1">
      <c r="B590" s="359"/>
      <c r="C590" s="360"/>
      <c r="D590" s="360"/>
      <c r="E590" s="361"/>
      <c r="F590" s="361"/>
      <c r="G590" s="361"/>
      <c r="H590" s="361"/>
      <c r="I590" s="372"/>
      <c r="J590" s="361"/>
      <c r="K590" s="361"/>
      <c r="L590" s="361"/>
      <c r="M590" s="373"/>
      <c r="Y590" s="359"/>
    </row>
    <row r="591" spans="2:25" ht="20.149999999999999" customHeight="1">
      <c r="B591" s="359"/>
      <c r="C591" s="360"/>
      <c r="D591" s="360"/>
      <c r="E591" s="361"/>
      <c r="F591" s="361"/>
      <c r="G591" s="361"/>
      <c r="H591" s="361"/>
      <c r="I591" s="372"/>
      <c r="J591" s="361"/>
      <c r="K591" s="361"/>
      <c r="L591" s="361"/>
      <c r="M591" s="373"/>
      <c r="Y591" s="359"/>
    </row>
    <row r="592" spans="2:25" ht="20.149999999999999" customHeight="1">
      <c r="B592" s="359"/>
      <c r="C592" s="360"/>
      <c r="D592" s="360"/>
      <c r="E592" s="361"/>
      <c r="F592" s="361"/>
      <c r="G592" s="361"/>
      <c r="H592" s="361"/>
      <c r="I592" s="372"/>
      <c r="J592" s="361"/>
      <c r="K592" s="361"/>
      <c r="L592" s="361"/>
      <c r="M592" s="373"/>
      <c r="Y592" s="359"/>
    </row>
    <row r="593" spans="2:25" ht="20.149999999999999" customHeight="1">
      <c r="B593" s="359"/>
      <c r="C593" s="360"/>
      <c r="D593" s="360"/>
      <c r="E593" s="361"/>
      <c r="F593" s="361"/>
      <c r="G593" s="361"/>
      <c r="H593" s="361"/>
      <c r="I593" s="372"/>
      <c r="J593" s="361"/>
      <c r="K593" s="361"/>
      <c r="L593" s="361"/>
      <c r="M593" s="373"/>
      <c r="Y593" s="359"/>
    </row>
    <row r="594" spans="2:25" ht="20.149999999999999" customHeight="1">
      <c r="B594" s="359"/>
      <c r="C594" s="360"/>
      <c r="D594" s="360"/>
      <c r="E594" s="361"/>
      <c r="F594" s="361"/>
      <c r="G594" s="361"/>
      <c r="H594" s="361"/>
      <c r="I594" s="372"/>
      <c r="J594" s="361"/>
      <c r="K594" s="361"/>
      <c r="L594" s="361"/>
      <c r="M594" s="373"/>
      <c r="Y594" s="359"/>
    </row>
    <row r="595" spans="2:25" ht="20.149999999999999" customHeight="1">
      <c r="B595" s="359"/>
      <c r="C595" s="360"/>
      <c r="D595" s="360"/>
      <c r="E595" s="361"/>
      <c r="F595" s="361"/>
      <c r="G595" s="361"/>
      <c r="H595" s="361"/>
      <c r="I595" s="372"/>
      <c r="J595" s="361"/>
      <c r="K595" s="361"/>
      <c r="L595" s="361"/>
      <c r="M595" s="373"/>
      <c r="Y595" s="359"/>
    </row>
    <row r="596" spans="2:25" ht="20.149999999999999" customHeight="1">
      <c r="B596" s="359"/>
      <c r="C596" s="360"/>
      <c r="D596" s="360"/>
      <c r="E596" s="361"/>
      <c r="F596" s="361"/>
      <c r="G596" s="361"/>
      <c r="H596" s="361"/>
      <c r="I596" s="372"/>
      <c r="J596" s="361"/>
      <c r="K596" s="361"/>
      <c r="L596" s="361"/>
      <c r="M596" s="373"/>
      <c r="Y596" s="359"/>
    </row>
    <row r="597" spans="2:25" ht="20.149999999999999" customHeight="1">
      <c r="B597" s="359"/>
      <c r="C597" s="360"/>
      <c r="D597" s="360"/>
      <c r="E597" s="361"/>
      <c r="F597" s="361"/>
      <c r="G597" s="361"/>
      <c r="H597" s="361"/>
      <c r="I597" s="372"/>
      <c r="J597" s="361"/>
      <c r="K597" s="361"/>
      <c r="L597" s="361"/>
      <c r="M597" s="373"/>
      <c r="Y597" s="359"/>
    </row>
    <row r="598" spans="2:25" ht="20.149999999999999" customHeight="1">
      <c r="B598" s="359"/>
      <c r="C598" s="360"/>
      <c r="D598" s="360"/>
      <c r="E598" s="361"/>
      <c r="F598" s="361"/>
      <c r="G598" s="361"/>
      <c r="H598" s="361"/>
      <c r="I598" s="372"/>
      <c r="J598" s="361"/>
      <c r="K598" s="361"/>
      <c r="L598" s="361"/>
      <c r="M598" s="373"/>
      <c r="Y598" s="359"/>
    </row>
    <row r="599" spans="2:25" ht="20.149999999999999" customHeight="1">
      <c r="B599" s="359"/>
      <c r="C599" s="360"/>
      <c r="D599" s="360"/>
      <c r="E599" s="361"/>
      <c r="F599" s="361"/>
      <c r="G599" s="361"/>
      <c r="H599" s="361"/>
      <c r="I599" s="372"/>
      <c r="J599" s="361"/>
      <c r="K599" s="361"/>
      <c r="L599" s="361"/>
      <c r="M599" s="373"/>
      <c r="Y599" s="359"/>
    </row>
    <row r="600" spans="2:25" ht="20.149999999999999" customHeight="1">
      <c r="B600" s="359"/>
      <c r="C600" s="360"/>
      <c r="D600" s="360"/>
      <c r="E600" s="361"/>
      <c r="F600" s="361"/>
      <c r="G600" s="361"/>
      <c r="H600" s="361"/>
      <c r="I600" s="372"/>
      <c r="J600" s="361"/>
      <c r="K600" s="361"/>
      <c r="L600" s="361"/>
      <c r="M600" s="373"/>
      <c r="Y600" s="359"/>
    </row>
    <row r="601" spans="2:25" ht="20.149999999999999" customHeight="1">
      <c r="B601" s="359"/>
      <c r="C601" s="360"/>
      <c r="D601" s="360"/>
      <c r="E601" s="361"/>
      <c r="F601" s="361"/>
      <c r="G601" s="361"/>
      <c r="H601" s="361"/>
      <c r="I601" s="372"/>
      <c r="J601" s="361"/>
      <c r="K601" s="361"/>
      <c r="L601" s="361"/>
      <c r="M601" s="373"/>
      <c r="Y601" s="359"/>
    </row>
    <row r="602" spans="2:25" ht="20.149999999999999" customHeight="1">
      <c r="B602" s="359"/>
      <c r="C602" s="360"/>
      <c r="D602" s="360"/>
      <c r="E602" s="361"/>
      <c r="F602" s="361"/>
      <c r="G602" s="361"/>
      <c r="H602" s="361"/>
      <c r="I602" s="372"/>
      <c r="J602" s="361"/>
      <c r="K602" s="361"/>
      <c r="L602" s="361"/>
      <c r="M602" s="373"/>
      <c r="Y602" s="359"/>
    </row>
    <row r="603" spans="2:25" ht="20.149999999999999" customHeight="1">
      <c r="B603" s="359"/>
      <c r="C603" s="360"/>
      <c r="D603" s="360"/>
      <c r="E603" s="361"/>
      <c r="F603" s="361"/>
      <c r="G603" s="361"/>
      <c r="H603" s="361"/>
      <c r="I603" s="372"/>
      <c r="J603" s="361"/>
      <c r="K603" s="361"/>
      <c r="L603" s="361"/>
      <c r="M603" s="373"/>
      <c r="Y603" s="359"/>
    </row>
    <row r="604" spans="2:25" ht="20.149999999999999" customHeight="1">
      <c r="B604" s="359"/>
      <c r="C604" s="360"/>
      <c r="D604" s="360"/>
      <c r="E604" s="361"/>
      <c r="F604" s="361"/>
      <c r="G604" s="361"/>
      <c r="H604" s="361"/>
      <c r="I604" s="372"/>
      <c r="J604" s="361"/>
      <c r="K604" s="361"/>
      <c r="L604" s="361"/>
      <c r="M604" s="373"/>
      <c r="Y604" s="359"/>
    </row>
    <row r="605" spans="2:25" ht="20.149999999999999" customHeight="1">
      <c r="B605" s="359"/>
      <c r="C605" s="360"/>
      <c r="D605" s="360"/>
      <c r="E605" s="361"/>
      <c r="F605" s="361"/>
      <c r="G605" s="361"/>
      <c r="H605" s="361"/>
      <c r="I605" s="372"/>
      <c r="J605" s="361"/>
      <c r="K605" s="361"/>
      <c r="L605" s="361"/>
      <c r="M605" s="373"/>
      <c r="Y605" s="359"/>
    </row>
    <row r="606" spans="2:25" ht="20.149999999999999" customHeight="1">
      <c r="B606" s="359"/>
      <c r="C606" s="360"/>
      <c r="D606" s="360"/>
      <c r="E606" s="361"/>
      <c r="F606" s="361"/>
      <c r="G606" s="361"/>
      <c r="H606" s="361"/>
      <c r="I606" s="372"/>
      <c r="J606" s="361"/>
      <c r="K606" s="361"/>
      <c r="L606" s="361"/>
      <c r="M606" s="373"/>
      <c r="Y606" s="359"/>
    </row>
    <row r="607" spans="2:25" ht="20.149999999999999" customHeight="1">
      <c r="B607" s="359"/>
      <c r="C607" s="360"/>
      <c r="D607" s="360"/>
      <c r="E607" s="361"/>
      <c r="F607" s="361"/>
      <c r="G607" s="361"/>
      <c r="H607" s="361"/>
      <c r="I607" s="372"/>
      <c r="J607" s="361"/>
      <c r="K607" s="361"/>
      <c r="L607" s="361"/>
      <c r="M607" s="373"/>
      <c r="Y607" s="359"/>
    </row>
    <row r="608" spans="2:25" ht="20.149999999999999" customHeight="1">
      <c r="B608" s="359"/>
      <c r="C608" s="360"/>
      <c r="D608" s="360"/>
      <c r="E608" s="361"/>
      <c r="F608" s="361"/>
      <c r="G608" s="361"/>
      <c r="H608" s="361"/>
      <c r="I608" s="372"/>
      <c r="J608" s="361"/>
      <c r="K608" s="361"/>
      <c r="L608" s="361"/>
      <c r="M608" s="373"/>
      <c r="Y608" s="359"/>
    </row>
    <row r="609" spans="2:25" ht="20.149999999999999" customHeight="1">
      <c r="B609" s="359"/>
      <c r="C609" s="360"/>
      <c r="D609" s="360"/>
      <c r="E609" s="361"/>
      <c r="F609" s="361"/>
      <c r="G609" s="361"/>
      <c r="H609" s="361"/>
      <c r="I609" s="372"/>
      <c r="J609" s="361"/>
      <c r="K609" s="361"/>
      <c r="L609" s="361"/>
      <c r="M609" s="373"/>
      <c r="Y609" s="359"/>
    </row>
    <row r="610" spans="2:25" ht="20.149999999999999" customHeight="1">
      <c r="B610" s="359"/>
      <c r="C610" s="360"/>
      <c r="D610" s="360"/>
      <c r="E610" s="361"/>
      <c r="F610" s="361"/>
      <c r="G610" s="361"/>
      <c r="H610" s="361"/>
      <c r="I610" s="372"/>
      <c r="J610" s="361"/>
      <c r="K610" s="361"/>
      <c r="L610" s="361"/>
      <c r="M610" s="373"/>
      <c r="Y610" s="359"/>
    </row>
    <row r="611" spans="2:25" ht="20.149999999999999" customHeight="1">
      <c r="B611" s="359"/>
      <c r="C611" s="360"/>
      <c r="D611" s="360"/>
      <c r="E611" s="361"/>
      <c r="F611" s="361"/>
      <c r="G611" s="361"/>
      <c r="H611" s="361"/>
      <c r="I611" s="372"/>
      <c r="J611" s="361"/>
      <c r="K611" s="361"/>
      <c r="L611" s="361"/>
      <c r="M611" s="373"/>
      <c r="Y611" s="359"/>
    </row>
    <row r="612" spans="2:25" ht="20.149999999999999" customHeight="1">
      <c r="B612" s="359"/>
      <c r="C612" s="360"/>
      <c r="D612" s="360"/>
      <c r="E612" s="361"/>
      <c r="F612" s="361"/>
      <c r="G612" s="361"/>
      <c r="H612" s="361"/>
      <c r="I612" s="372"/>
      <c r="J612" s="361"/>
      <c r="K612" s="361"/>
      <c r="L612" s="361"/>
      <c r="M612" s="373"/>
      <c r="Y612" s="359"/>
    </row>
    <row r="613" spans="2:25" ht="20.149999999999999" customHeight="1">
      <c r="B613" s="359"/>
      <c r="C613" s="360"/>
      <c r="D613" s="360"/>
      <c r="E613" s="361"/>
      <c r="F613" s="361"/>
      <c r="G613" s="361"/>
      <c r="H613" s="361"/>
      <c r="I613" s="372"/>
      <c r="J613" s="361"/>
      <c r="K613" s="361"/>
      <c r="L613" s="361"/>
      <c r="M613" s="373"/>
      <c r="Y613" s="359"/>
    </row>
    <row r="614" spans="2:25" ht="20.149999999999999" customHeight="1">
      <c r="B614" s="359"/>
      <c r="C614" s="360"/>
      <c r="D614" s="360"/>
      <c r="E614" s="361"/>
      <c r="F614" s="361"/>
      <c r="G614" s="361"/>
      <c r="H614" s="361"/>
      <c r="I614" s="372"/>
      <c r="J614" s="361"/>
      <c r="K614" s="361"/>
      <c r="L614" s="361"/>
      <c r="M614" s="373"/>
      <c r="Y614" s="359"/>
    </row>
    <row r="615" spans="2:25" ht="20.149999999999999" customHeight="1">
      <c r="B615" s="359"/>
      <c r="C615" s="360"/>
      <c r="D615" s="360"/>
      <c r="E615" s="361"/>
      <c r="F615" s="361"/>
      <c r="G615" s="361"/>
      <c r="H615" s="361"/>
      <c r="I615" s="372"/>
      <c r="J615" s="361"/>
      <c r="K615" s="361"/>
      <c r="L615" s="361"/>
      <c r="M615" s="373"/>
      <c r="Y615" s="359"/>
    </row>
    <row r="616" spans="2:25" ht="20.149999999999999" customHeight="1">
      <c r="B616" s="359"/>
      <c r="C616" s="360"/>
      <c r="D616" s="360"/>
      <c r="E616" s="361"/>
      <c r="F616" s="361"/>
      <c r="G616" s="361"/>
      <c r="H616" s="361"/>
      <c r="I616" s="372"/>
      <c r="J616" s="361"/>
      <c r="K616" s="361"/>
      <c r="L616" s="361"/>
      <c r="M616" s="373"/>
      <c r="Y616" s="359"/>
    </row>
    <row r="617" spans="2:25" ht="20.149999999999999" customHeight="1">
      <c r="B617" s="359"/>
      <c r="C617" s="360"/>
      <c r="D617" s="360"/>
      <c r="E617" s="361"/>
      <c r="F617" s="361"/>
      <c r="G617" s="361"/>
      <c r="H617" s="361"/>
      <c r="I617" s="372"/>
      <c r="J617" s="361"/>
      <c r="K617" s="361"/>
      <c r="L617" s="361"/>
      <c r="M617" s="373"/>
      <c r="Y617" s="359"/>
    </row>
    <row r="618" spans="2:25" ht="20.149999999999999" customHeight="1">
      <c r="B618" s="359"/>
      <c r="C618" s="360"/>
      <c r="D618" s="360"/>
      <c r="E618" s="361"/>
      <c r="F618" s="361"/>
      <c r="G618" s="361"/>
      <c r="H618" s="361"/>
      <c r="I618" s="372"/>
      <c r="J618" s="361"/>
      <c r="K618" s="361"/>
      <c r="L618" s="361"/>
      <c r="M618" s="373"/>
      <c r="Y618" s="359"/>
    </row>
    <row r="619" spans="2:25" ht="20.149999999999999" customHeight="1">
      <c r="B619" s="359"/>
      <c r="C619" s="360"/>
      <c r="D619" s="360"/>
      <c r="E619" s="361"/>
      <c r="F619" s="361"/>
      <c r="G619" s="361"/>
      <c r="H619" s="361"/>
      <c r="I619" s="372"/>
      <c r="J619" s="361"/>
      <c r="K619" s="361"/>
      <c r="L619" s="361"/>
      <c r="M619" s="373"/>
      <c r="Y619" s="359"/>
    </row>
    <row r="620" spans="2:25" ht="20.149999999999999" customHeight="1">
      <c r="B620" s="359"/>
      <c r="C620" s="360"/>
      <c r="D620" s="360"/>
      <c r="E620" s="361"/>
      <c r="F620" s="361"/>
      <c r="G620" s="361"/>
      <c r="H620" s="361"/>
      <c r="I620" s="372"/>
      <c r="J620" s="361"/>
      <c r="K620" s="361"/>
      <c r="L620" s="361"/>
      <c r="M620" s="373"/>
      <c r="Y620" s="359"/>
    </row>
    <row r="621" spans="2:25" ht="20.149999999999999" customHeight="1">
      <c r="B621" s="359"/>
      <c r="C621" s="360"/>
      <c r="D621" s="360"/>
      <c r="E621" s="361"/>
      <c r="F621" s="361"/>
      <c r="G621" s="361"/>
      <c r="H621" s="361"/>
      <c r="I621" s="372"/>
      <c r="J621" s="361"/>
      <c r="K621" s="361"/>
      <c r="L621" s="361"/>
      <c r="M621" s="373"/>
      <c r="Y621" s="359"/>
    </row>
    <row r="622" spans="2:25" ht="20.149999999999999" customHeight="1">
      <c r="B622" s="359"/>
      <c r="C622" s="360"/>
      <c r="D622" s="360"/>
      <c r="E622" s="361"/>
      <c r="F622" s="361"/>
      <c r="G622" s="361"/>
      <c r="H622" s="361"/>
      <c r="I622" s="372"/>
      <c r="J622" s="361"/>
      <c r="K622" s="361"/>
      <c r="L622" s="361"/>
      <c r="M622" s="373"/>
      <c r="Y622" s="359"/>
    </row>
    <row r="623" spans="2:25" ht="20.149999999999999" customHeight="1">
      <c r="B623" s="359"/>
      <c r="C623" s="360"/>
      <c r="D623" s="360"/>
      <c r="E623" s="361"/>
      <c r="F623" s="361"/>
      <c r="G623" s="361"/>
      <c r="H623" s="361"/>
      <c r="I623" s="372"/>
      <c r="J623" s="361"/>
      <c r="K623" s="361"/>
      <c r="L623" s="361"/>
      <c r="M623" s="373"/>
      <c r="Y623" s="359"/>
    </row>
    <row r="624" spans="2:25" ht="20.149999999999999" customHeight="1">
      <c r="B624" s="359"/>
      <c r="C624" s="360"/>
      <c r="D624" s="360"/>
      <c r="E624" s="361"/>
      <c r="F624" s="361"/>
      <c r="G624" s="361"/>
      <c r="H624" s="361"/>
      <c r="I624" s="372"/>
      <c r="J624" s="361"/>
      <c r="K624" s="361"/>
      <c r="L624" s="361"/>
      <c r="M624" s="373"/>
      <c r="Y624" s="359"/>
    </row>
    <row r="625" spans="2:25" ht="20.149999999999999" customHeight="1">
      <c r="B625" s="359"/>
      <c r="C625" s="360"/>
      <c r="D625" s="360"/>
      <c r="E625" s="361"/>
      <c r="F625" s="361"/>
      <c r="G625" s="361"/>
      <c r="H625" s="361"/>
      <c r="I625" s="372"/>
      <c r="J625" s="361"/>
      <c r="K625" s="361"/>
      <c r="L625" s="361"/>
      <c r="M625" s="373"/>
      <c r="Y625" s="359"/>
    </row>
    <row r="626" spans="2:25" ht="20.149999999999999" customHeight="1">
      <c r="B626" s="359"/>
      <c r="C626" s="360"/>
      <c r="D626" s="360"/>
      <c r="E626" s="361"/>
      <c r="F626" s="361"/>
      <c r="G626" s="361"/>
      <c r="H626" s="361"/>
      <c r="I626" s="372"/>
      <c r="J626" s="361"/>
      <c r="K626" s="361"/>
      <c r="L626" s="361"/>
      <c r="M626" s="373"/>
      <c r="Y626" s="359"/>
    </row>
    <row r="627" spans="2:25" ht="20.149999999999999" customHeight="1">
      <c r="B627" s="359"/>
      <c r="C627" s="360"/>
      <c r="D627" s="360"/>
      <c r="E627" s="361"/>
      <c r="F627" s="361"/>
      <c r="G627" s="361"/>
      <c r="H627" s="361"/>
      <c r="I627" s="372"/>
      <c r="J627" s="361"/>
      <c r="K627" s="361"/>
      <c r="L627" s="361"/>
      <c r="M627" s="373"/>
      <c r="Y627" s="359"/>
    </row>
    <row r="628" spans="2:25" ht="20.149999999999999" customHeight="1">
      <c r="B628" s="359"/>
      <c r="C628" s="360"/>
      <c r="D628" s="360"/>
      <c r="E628" s="361"/>
      <c r="F628" s="361"/>
      <c r="G628" s="361"/>
      <c r="H628" s="361"/>
      <c r="I628" s="372"/>
      <c r="J628" s="361"/>
      <c r="K628" s="361"/>
      <c r="L628" s="361"/>
      <c r="M628" s="373"/>
      <c r="Y628" s="359"/>
    </row>
    <row r="629" spans="2:25" ht="20.149999999999999" customHeight="1">
      <c r="B629" s="359"/>
      <c r="C629" s="360"/>
      <c r="D629" s="360"/>
      <c r="E629" s="361"/>
      <c r="F629" s="361"/>
      <c r="G629" s="361"/>
      <c r="H629" s="361"/>
      <c r="I629" s="372"/>
      <c r="J629" s="361"/>
      <c r="K629" s="361"/>
      <c r="L629" s="361"/>
      <c r="M629" s="373"/>
      <c r="Y629" s="359"/>
    </row>
    <row r="630" spans="2:25" ht="20.149999999999999" customHeight="1">
      <c r="B630" s="359"/>
      <c r="C630" s="360"/>
      <c r="D630" s="360"/>
      <c r="E630" s="361"/>
      <c r="F630" s="361"/>
      <c r="G630" s="361"/>
      <c r="H630" s="361"/>
      <c r="I630" s="372"/>
      <c r="J630" s="361"/>
      <c r="K630" s="361"/>
      <c r="L630" s="361"/>
      <c r="M630" s="373"/>
      <c r="Y630" s="359"/>
    </row>
    <row r="631" spans="2:25" ht="20.149999999999999" customHeight="1">
      <c r="B631" s="359"/>
      <c r="C631" s="360"/>
      <c r="D631" s="360"/>
      <c r="E631" s="361"/>
      <c r="F631" s="361"/>
      <c r="G631" s="361"/>
      <c r="H631" s="361"/>
      <c r="I631" s="372"/>
      <c r="J631" s="361"/>
      <c r="K631" s="361"/>
      <c r="L631" s="361"/>
      <c r="M631" s="373"/>
      <c r="Y631" s="359"/>
    </row>
    <row r="632" spans="2:25" ht="20.149999999999999" customHeight="1">
      <c r="B632" s="359"/>
      <c r="C632" s="360"/>
      <c r="D632" s="360"/>
      <c r="E632" s="361"/>
      <c r="F632" s="361"/>
      <c r="G632" s="361"/>
      <c r="H632" s="361"/>
      <c r="I632" s="372"/>
      <c r="J632" s="361"/>
      <c r="K632" s="361"/>
      <c r="L632" s="361"/>
      <c r="M632" s="373"/>
      <c r="Y632" s="359"/>
    </row>
    <row r="633" spans="2:25" ht="20.149999999999999" customHeight="1">
      <c r="B633" s="359"/>
      <c r="C633" s="360"/>
      <c r="D633" s="360"/>
      <c r="E633" s="361"/>
      <c r="F633" s="361"/>
      <c r="G633" s="361"/>
      <c r="H633" s="361"/>
      <c r="I633" s="372"/>
      <c r="J633" s="361"/>
      <c r="K633" s="361"/>
      <c r="L633" s="361"/>
      <c r="M633" s="373"/>
      <c r="Y633" s="359"/>
    </row>
    <row r="634" spans="2:25" ht="20.149999999999999" customHeight="1">
      <c r="B634" s="359"/>
      <c r="C634" s="360"/>
      <c r="D634" s="360"/>
      <c r="E634" s="361"/>
      <c r="F634" s="361"/>
      <c r="G634" s="361"/>
      <c r="H634" s="361"/>
      <c r="I634" s="372"/>
      <c r="J634" s="361"/>
      <c r="K634" s="361"/>
      <c r="L634" s="361"/>
      <c r="M634" s="373"/>
      <c r="Y634" s="359"/>
    </row>
    <row r="635" spans="2:25" ht="20.149999999999999" customHeight="1">
      <c r="B635" s="359"/>
      <c r="C635" s="360"/>
      <c r="D635" s="360"/>
      <c r="E635" s="361"/>
      <c r="F635" s="361"/>
      <c r="G635" s="361"/>
      <c r="H635" s="361"/>
      <c r="I635" s="372"/>
      <c r="J635" s="361"/>
      <c r="K635" s="361"/>
      <c r="L635" s="361"/>
      <c r="M635" s="373"/>
      <c r="Y635" s="359"/>
    </row>
    <row r="636" spans="2:25" ht="20.149999999999999" customHeight="1">
      <c r="B636" s="359"/>
      <c r="C636" s="360"/>
      <c r="D636" s="360"/>
      <c r="E636" s="361"/>
      <c r="F636" s="361"/>
      <c r="G636" s="361"/>
      <c r="H636" s="361"/>
      <c r="I636" s="372"/>
      <c r="J636" s="361"/>
      <c r="K636" s="361"/>
      <c r="L636" s="361"/>
      <c r="M636" s="373"/>
      <c r="Y636" s="359"/>
    </row>
    <row r="637" spans="2:25" ht="20.149999999999999" customHeight="1">
      <c r="B637" s="359"/>
      <c r="C637" s="360"/>
      <c r="D637" s="360"/>
      <c r="E637" s="361"/>
      <c r="F637" s="361"/>
      <c r="G637" s="361"/>
      <c r="H637" s="361"/>
      <c r="I637" s="372"/>
      <c r="J637" s="361"/>
      <c r="K637" s="361"/>
      <c r="L637" s="361"/>
      <c r="M637" s="373"/>
      <c r="Y637" s="359"/>
    </row>
    <row r="638" spans="2:25" ht="20.149999999999999" customHeight="1">
      <c r="B638" s="359"/>
      <c r="C638" s="360"/>
      <c r="D638" s="360"/>
      <c r="E638" s="361"/>
      <c r="F638" s="361"/>
      <c r="G638" s="361"/>
      <c r="H638" s="361"/>
      <c r="I638" s="372"/>
      <c r="J638" s="361"/>
      <c r="K638" s="361"/>
      <c r="L638" s="361"/>
      <c r="M638" s="373"/>
      <c r="Y638" s="359"/>
    </row>
    <row r="639" spans="2:25" ht="20.149999999999999" customHeight="1">
      <c r="B639" s="359"/>
      <c r="C639" s="360"/>
      <c r="D639" s="360"/>
      <c r="E639" s="361"/>
      <c r="F639" s="361"/>
      <c r="G639" s="361"/>
      <c r="H639" s="361"/>
      <c r="I639" s="372"/>
      <c r="J639" s="361"/>
      <c r="K639" s="361"/>
      <c r="L639" s="361"/>
      <c r="M639" s="373"/>
      <c r="Y639" s="359"/>
    </row>
    <row r="640" spans="2:25" ht="20.149999999999999" customHeight="1">
      <c r="B640" s="359"/>
      <c r="C640" s="360"/>
      <c r="D640" s="360"/>
      <c r="E640" s="361"/>
      <c r="F640" s="361"/>
      <c r="G640" s="361"/>
      <c r="H640" s="361"/>
      <c r="I640" s="372"/>
      <c r="J640" s="361"/>
      <c r="K640" s="361"/>
      <c r="L640" s="361"/>
      <c r="M640" s="373"/>
      <c r="Y640" s="359"/>
    </row>
    <row r="641" spans="2:25" ht="20.149999999999999" customHeight="1">
      <c r="B641" s="359"/>
      <c r="C641" s="360"/>
      <c r="D641" s="360"/>
      <c r="E641" s="361"/>
      <c r="F641" s="361"/>
      <c r="G641" s="361"/>
      <c r="H641" s="361"/>
      <c r="I641" s="372"/>
      <c r="J641" s="361"/>
      <c r="K641" s="361"/>
      <c r="L641" s="361"/>
      <c r="M641" s="373"/>
      <c r="Y641" s="359"/>
    </row>
    <row r="642" spans="2:25" ht="20.149999999999999" customHeight="1">
      <c r="B642" s="359"/>
      <c r="C642" s="360"/>
      <c r="D642" s="360"/>
      <c r="E642" s="361"/>
      <c r="F642" s="361"/>
      <c r="G642" s="361"/>
      <c r="H642" s="361"/>
      <c r="I642" s="372"/>
      <c r="J642" s="361"/>
      <c r="K642" s="361"/>
      <c r="L642" s="361"/>
      <c r="M642" s="373"/>
      <c r="Y642" s="359"/>
    </row>
    <row r="643" spans="2:25" ht="20.149999999999999" customHeight="1">
      <c r="B643" s="359"/>
      <c r="C643" s="360"/>
      <c r="D643" s="360"/>
      <c r="E643" s="361"/>
      <c r="F643" s="361"/>
      <c r="G643" s="361"/>
      <c r="H643" s="361"/>
      <c r="I643" s="372"/>
      <c r="J643" s="361"/>
      <c r="K643" s="361"/>
      <c r="L643" s="361"/>
      <c r="M643" s="373"/>
      <c r="Y643" s="359"/>
    </row>
    <row r="644" spans="2:25" ht="20.149999999999999" customHeight="1">
      <c r="B644" s="359"/>
      <c r="C644" s="360"/>
      <c r="D644" s="360"/>
      <c r="E644" s="361"/>
      <c r="F644" s="361"/>
      <c r="G644" s="361"/>
      <c r="H644" s="361"/>
      <c r="I644" s="372"/>
      <c r="J644" s="361"/>
      <c r="K644" s="361"/>
      <c r="L644" s="361"/>
      <c r="M644" s="373"/>
      <c r="Y644" s="359"/>
    </row>
    <row r="645" spans="2:25" ht="20.149999999999999" customHeight="1">
      <c r="B645" s="359"/>
      <c r="C645" s="360"/>
      <c r="D645" s="360"/>
      <c r="E645" s="361"/>
      <c r="F645" s="361"/>
      <c r="G645" s="361"/>
      <c r="H645" s="361"/>
      <c r="I645" s="372"/>
      <c r="J645" s="361"/>
      <c r="K645" s="361"/>
      <c r="L645" s="361"/>
      <c r="M645" s="373"/>
      <c r="Y645" s="359"/>
    </row>
    <row r="646" spans="2:25" ht="20.149999999999999" customHeight="1">
      <c r="B646" s="359"/>
      <c r="C646" s="360"/>
      <c r="D646" s="360"/>
      <c r="E646" s="361"/>
      <c r="F646" s="361"/>
      <c r="G646" s="361"/>
      <c r="H646" s="361"/>
      <c r="I646" s="372"/>
      <c r="J646" s="361"/>
      <c r="K646" s="361"/>
      <c r="L646" s="361"/>
      <c r="M646" s="373"/>
      <c r="Y646" s="359"/>
    </row>
    <row r="647" spans="2:25" ht="20.149999999999999" customHeight="1">
      <c r="B647" s="359"/>
      <c r="C647" s="360"/>
      <c r="D647" s="360"/>
      <c r="E647" s="361"/>
      <c r="F647" s="361"/>
      <c r="G647" s="361"/>
      <c r="H647" s="361"/>
      <c r="I647" s="372"/>
      <c r="J647" s="361"/>
      <c r="K647" s="361"/>
      <c r="L647" s="361"/>
      <c r="M647" s="373"/>
      <c r="Y647" s="359"/>
    </row>
    <row r="648" spans="2:25" ht="20.149999999999999" customHeight="1">
      <c r="B648" s="359"/>
      <c r="C648" s="360"/>
      <c r="D648" s="360"/>
      <c r="E648" s="361"/>
      <c r="F648" s="361"/>
      <c r="G648" s="361"/>
      <c r="H648" s="361"/>
      <c r="I648" s="372"/>
      <c r="J648" s="361"/>
      <c r="K648" s="361"/>
      <c r="L648" s="361"/>
      <c r="M648" s="373"/>
      <c r="Y648" s="359"/>
    </row>
    <row r="649" spans="2:25" ht="20.149999999999999" customHeight="1">
      <c r="B649" s="359"/>
      <c r="C649" s="360"/>
      <c r="D649" s="360"/>
      <c r="E649" s="361"/>
      <c r="F649" s="361"/>
      <c r="G649" s="361"/>
      <c r="H649" s="361"/>
      <c r="I649" s="372"/>
      <c r="J649" s="361"/>
      <c r="K649" s="361"/>
      <c r="L649" s="361"/>
      <c r="M649" s="373"/>
      <c r="Y649" s="359"/>
    </row>
    <row r="650" spans="2:25" ht="20.149999999999999" customHeight="1">
      <c r="B650" s="359"/>
      <c r="C650" s="360"/>
      <c r="D650" s="360"/>
      <c r="E650" s="361"/>
      <c r="F650" s="361"/>
      <c r="G650" s="361"/>
      <c r="H650" s="361"/>
      <c r="I650" s="372"/>
      <c r="J650" s="361"/>
      <c r="K650" s="361"/>
      <c r="L650" s="361"/>
      <c r="M650" s="373"/>
      <c r="Y650" s="359"/>
    </row>
    <row r="651" spans="2:25" ht="20.149999999999999" customHeight="1">
      <c r="B651" s="359"/>
      <c r="C651" s="360"/>
      <c r="D651" s="360"/>
      <c r="E651" s="361"/>
      <c r="F651" s="361"/>
      <c r="G651" s="361"/>
      <c r="H651" s="361"/>
      <c r="I651" s="372"/>
      <c r="J651" s="361"/>
      <c r="K651" s="361"/>
      <c r="L651" s="361"/>
      <c r="M651" s="373"/>
      <c r="Y651" s="359"/>
    </row>
    <row r="652" spans="2:25" ht="20.149999999999999" customHeight="1">
      <c r="B652" s="359"/>
      <c r="C652" s="360"/>
      <c r="D652" s="360"/>
      <c r="E652" s="361"/>
      <c r="F652" s="361"/>
      <c r="G652" s="361"/>
      <c r="H652" s="361"/>
      <c r="I652" s="372"/>
      <c r="J652" s="361"/>
      <c r="K652" s="361"/>
      <c r="L652" s="361"/>
      <c r="M652" s="373"/>
      <c r="Y652" s="359"/>
    </row>
    <row r="653" spans="2:25" ht="20.149999999999999" customHeight="1">
      <c r="B653" s="359"/>
      <c r="C653" s="360"/>
      <c r="D653" s="360"/>
      <c r="E653" s="361"/>
      <c r="F653" s="361"/>
      <c r="G653" s="361"/>
      <c r="H653" s="361"/>
      <c r="I653" s="372"/>
      <c r="J653" s="361"/>
      <c r="K653" s="361"/>
      <c r="L653" s="361"/>
      <c r="M653" s="373"/>
      <c r="Y653" s="359"/>
    </row>
    <row r="654" spans="2:25" ht="20.149999999999999" customHeight="1">
      <c r="B654" s="359"/>
      <c r="C654" s="360"/>
      <c r="D654" s="360"/>
      <c r="E654" s="361"/>
      <c r="F654" s="361"/>
      <c r="G654" s="361"/>
      <c r="H654" s="361"/>
      <c r="I654" s="372"/>
      <c r="J654" s="361"/>
      <c r="K654" s="361"/>
      <c r="L654" s="361"/>
      <c r="M654" s="373"/>
      <c r="Y654" s="359"/>
    </row>
    <row r="655" spans="2:25" ht="20.149999999999999" customHeight="1">
      <c r="B655" s="359"/>
      <c r="C655" s="360"/>
      <c r="D655" s="360"/>
      <c r="E655" s="361"/>
      <c r="F655" s="361"/>
      <c r="G655" s="361"/>
      <c r="H655" s="361"/>
      <c r="I655" s="372"/>
      <c r="J655" s="361"/>
      <c r="K655" s="361"/>
      <c r="L655" s="361"/>
      <c r="M655" s="373"/>
      <c r="Y655" s="359"/>
    </row>
    <row r="656" spans="2:25" ht="20.149999999999999" customHeight="1">
      <c r="B656" s="359"/>
      <c r="C656" s="360"/>
      <c r="D656" s="360"/>
      <c r="E656" s="361"/>
      <c r="F656" s="361"/>
      <c r="G656" s="361"/>
      <c r="H656" s="361"/>
      <c r="I656" s="372"/>
      <c r="J656" s="361"/>
      <c r="K656" s="361"/>
      <c r="L656" s="361"/>
      <c r="M656" s="373"/>
      <c r="Y656" s="359"/>
    </row>
    <row r="657" spans="2:25" ht="20.149999999999999" customHeight="1">
      <c r="B657" s="359"/>
      <c r="C657" s="360"/>
      <c r="D657" s="360"/>
      <c r="E657" s="361"/>
      <c r="F657" s="361"/>
      <c r="G657" s="361"/>
      <c r="H657" s="361"/>
      <c r="I657" s="372"/>
      <c r="J657" s="361"/>
      <c r="K657" s="361"/>
      <c r="L657" s="361"/>
      <c r="M657" s="373"/>
      <c r="Y657" s="359"/>
    </row>
    <row r="658" spans="2:25" ht="20.149999999999999" customHeight="1">
      <c r="B658" s="359"/>
      <c r="C658" s="360"/>
      <c r="D658" s="360"/>
      <c r="E658" s="361"/>
      <c r="F658" s="361"/>
      <c r="G658" s="361"/>
      <c r="H658" s="361"/>
      <c r="I658" s="372"/>
      <c r="J658" s="361"/>
      <c r="K658" s="361"/>
      <c r="L658" s="361"/>
      <c r="M658" s="373"/>
      <c r="Y658" s="359"/>
    </row>
    <row r="659" spans="2:25" ht="20.149999999999999" customHeight="1">
      <c r="B659" s="359"/>
      <c r="C659" s="360"/>
      <c r="D659" s="360"/>
      <c r="E659" s="361"/>
      <c r="F659" s="361"/>
      <c r="G659" s="361"/>
      <c r="H659" s="361"/>
      <c r="I659" s="372"/>
      <c r="J659" s="361"/>
      <c r="K659" s="361"/>
      <c r="L659" s="361"/>
      <c r="M659" s="373"/>
      <c r="Y659" s="359"/>
    </row>
    <row r="660" spans="2:25" ht="20.149999999999999" customHeight="1">
      <c r="B660" s="359"/>
      <c r="C660" s="360"/>
      <c r="D660" s="360"/>
      <c r="E660" s="361"/>
      <c r="F660" s="361"/>
      <c r="G660" s="361"/>
      <c r="H660" s="361"/>
      <c r="I660" s="372"/>
      <c r="J660" s="361"/>
      <c r="K660" s="361"/>
      <c r="L660" s="361"/>
      <c r="M660" s="373"/>
      <c r="Y660" s="359"/>
    </row>
    <row r="661" spans="2:25" ht="20.149999999999999" customHeight="1">
      <c r="B661" s="359"/>
      <c r="C661" s="360"/>
      <c r="D661" s="360"/>
      <c r="E661" s="361"/>
      <c r="F661" s="361"/>
      <c r="G661" s="361"/>
      <c r="H661" s="361"/>
      <c r="I661" s="372"/>
      <c r="J661" s="361"/>
      <c r="K661" s="361"/>
      <c r="L661" s="361"/>
      <c r="M661" s="373"/>
      <c r="Y661" s="359"/>
    </row>
    <row r="662" spans="2:25" ht="20.149999999999999" customHeight="1">
      <c r="B662" s="359"/>
      <c r="C662" s="360"/>
      <c r="D662" s="360"/>
      <c r="E662" s="361"/>
      <c r="F662" s="361"/>
      <c r="G662" s="361"/>
      <c r="H662" s="361"/>
      <c r="I662" s="372"/>
      <c r="J662" s="361"/>
      <c r="K662" s="361"/>
      <c r="L662" s="361"/>
      <c r="M662" s="373"/>
      <c r="Y662" s="359"/>
    </row>
    <row r="663" spans="2:25" ht="20.149999999999999" customHeight="1">
      <c r="B663" s="359"/>
      <c r="C663" s="360"/>
      <c r="D663" s="360"/>
      <c r="E663" s="361"/>
      <c r="F663" s="361"/>
      <c r="G663" s="361"/>
      <c r="H663" s="361"/>
      <c r="I663" s="372"/>
      <c r="J663" s="361"/>
      <c r="K663" s="361"/>
      <c r="L663" s="361"/>
      <c r="M663" s="373"/>
      <c r="Y663" s="359"/>
    </row>
    <row r="664" spans="2:25" ht="20.149999999999999" customHeight="1">
      <c r="B664" s="359"/>
      <c r="C664" s="360"/>
      <c r="D664" s="360"/>
      <c r="E664" s="361"/>
      <c r="F664" s="361"/>
      <c r="G664" s="361"/>
      <c r="H664" s="361"/>
      <c r="I664" s="372"/>
      <c r="J664" s="361"/>
      <c r="K664" s="361"/>
      <c r="L664" s="361"/>
      <c r="M664" s="373"/>
      <c r="Y664" s="359"/>
    </row>
    <row r="665" spans="2:25" ht="20.149999999999999" customHeight="1">
      <c r="B665" s="359"/>
      <c r="C665" s="360"/>
      <c r="D665" s="360"/>
      <c r="E665" s="361"/>
      <c r="F665" s="361"/>
      <c r="G665" s="361"/>
      <c r="H665" s="361"/>
      <c r="I665" s="372"/>
      <c r="J665" s="361"/>
      <c r="K665" s="361"/>
      <c r="L665" s="361"/>
      <c r="M665" s="373"/>
      <c r="Y665" s="359"/>
    </row>
    <row r="666" spans="2:25" ht="20.149999999999999" customHeight="1">
      <c r="B666" s="359"/>
      <c r="C666" s="360"/>
      <c r="D666" s="360"/>
      <c r="E666" s="361"/>
      <c r="F666" s="361"/>
      <c r="G666" s="361"/>
      <c r="H666" s="361"/>
      <c r="I666" s="372"/>
      <c r="J666" s="361"/>
      <c r="K666" s="361"/>
      <c r="L666" s="361"/>
      <c r="M666" s="373"/>
      <c r="Y666" s="359"/>
    </row>
    <row r="667" spans="2:25" ht="20.149999999999999" customHeight="1">
      <c r="B667" s="359"/>
      <c r="C667" s="360"/>
      <c r="D667" s="360"/>
      <c r="E667" s="361"/>
      <c r="F667" s="361"/>
      <c r="G667" s="361"/>
      <c r="H667" s="361"/>
      <c r="I667" s="372"/>
      <c r="J667" s="361"/>
      <c r="K667" s="361"/>
      <c r="L667" s="361"/>
      <c r="M667" s="373"/>
      <c r="Y667" s="359"/>
    </row>
    <row r="668" spans="2:25" ht="20.149999999999999" customHeight="1">
      <c r="B668" s="359"/>
      <c r="C668" s="360"/>
      <c r="D668" s="360"/>
      <c r="E668" s="361"/>
      <c r="F668" s="361"/>
      <c r="G668" s="361"/>
      <c r="H668" s="361"/>
      <c r="I668" s="372"/>
      <c r="J668" s="361"/>
      <c r="K668" s="361"/>
      <c r="L668" s="361"/>
      <c r="M668" s="373"/>
      <c r="Y668" s="359"/>
    </row>
    <row r="669" spans="2:25" ht="20.149999999999999" customHeight="1">
      <c r="B669" s="359"/>
      <c r="C669" s="360"/>
      <c r="D669" s="360"/>
      <c r="E669" s="361"/>
      <c r="F669" s="361"/>
      <c r="G669" s="361"/>
      <c r="H669" s="361"/>
      <c r="I669" s="372"/>
      <c r="J669" s="361"/>
      <c r="K669" s="361"/>
      <c r="L669" s="361"/>
      <c r="M669" s="373"/>
      <c r="Y669" s="359"/>
    </row>
    <row r="670" spans="2:25" ht="20.149999999999999" customHeight="1">
      <c r="B670" s="359"/>
      <c r="C670" s="360"/>
      <c r="D670" s="360"/>
      <c r="E670" s="361"/>
      <c r="F670" s="361"/>
      <c r="G670" s="361"/>
      <c r="H670" s="361"/>
      <c r="I670" s="372"/>
      <c r="J670" s="361"/>
      <c r="K670" s="361"/>
      <c r="L670" s="361"/>
      <c r="M670" s="373"/>
      <c r="Y670" s="359"/>
    </row>
    <row r="671" spans="2:25" ht="20.149999999999999" customHeight="1">
      <c r="B671" s="359"/>
      <c r="C671" s="360"/>
      <c r="D671" s="360"/>
      <c r="E671" s="361"/>
      <c r="F671" s="361"/>
      <c r="G671" s="361"/>
      <c r="H671" s="361"/>
      <c r="I671" s="372"/>
      <c r="J671" s="361"/>
      <c r="K671" s="361"/>
      <c r="L671" s="361"/>
      <c r="M671" s="373"/>
      <c r="Y671" s="359"/>
    </row>
    <row r="672" spans="2:25" ht="20.149999999999999" customHeight="1">
      <c r="B672" s="359"/>
      <c r="C672" s="360"/>
      <c r="D672" s="360"/>
      <c r="E672" s="361"/>
      <c r="F672" s="361"/>
      <c r="G672" s="361"/>
      <c r="H672" s="361"/>
      <c r="I672" s="372"/>
      <c r="J672" s="361"/>
      <c r="K672" s="361"/>
      <c r="L672" s="361"/>
      <c r="M672" s="373"/>
      <c r="Y672" s="359"/>
    </row>
    <row r="673" spans="2:25" ht="20.149999999999999" customHeight="1">
      <c r="B673" s="359"/>
      <c r="C673" s="360"/>
      <c r="D673" s="360"/>
      <c r="E673" s="361"/>
      <c r="F673" s="361"/>
      <c r="G673" s="361"/>
      <c r="H673" s="361"/>
      <c r="I673" s="372"/>
      <c r="J673" s="361"/>
      <c r="K673" s="361"/>
      <c r="L673" s="361"/>
      <c r="M673" s="373"/>
      <c r="Y673" s="359"/>
    </row>
    <row r="674" spans="2:25" ht="20.149999999999999" customHeight="1">
      <c r="B674" s="359"/>
      <c r="C674" s="360"/>
      <c r="D674" s="360"/>
      <c r="E674" s="361"/>
      <c r="F674" s="361"/>
      <c r="G674" s="361"/>
      <c r="H674" s="361"/>
      <c r="I674" s="372"/>
      <c r="J674" s="361"/>
      <c r="K674" s="361"/>
      <c r="L674" s="361"/>
      <c r="M674" s="373"/>
      <c r="Y674" s="359"/>
    </row>
    <row r="675" spans="2:25" ht="20.149999999999999" customHeight="1">
      <c r="B675" s="359"/>
      <c r="C675" s="360"/>
      <c r="D675" s="360"/>
      <c r="E675" s="361"/>
      <c r="F675" s="361"/>
      <c r="G675" s="361"/>
      <c r="H675" s="361"/>
      <c r="I675" s="372"/>
      <c r="J675" s="361"/>
      <c r="K675" s="361"/>
      <c r="L675" s="361"/>
      <c r="M675" s="373"/>
      <c r="Y675" s="359"/>
    </row>
    <row r="676" spans="2:25" ht="20.149999999999999" customHeight="1">
      <c r="B676" s="359"/>
      <c r="C676" s="360"/>
      <c r="D676" s="360"/>
      <c r="E676" s="361"/>
      <c r="F676" s="361"/>
      <c r="G676" s="361"/>
      <c r="H676" s="361"/>
      <c r="I676" s="372"/>
      <c r="J676" s="361"/>
      <c r="K676" s="361"/>
      <c r="L676" s="361"/>
      <c r="M676" s="373"/>
      <c r="Y676" s="359"/>
    </row>
    <row r="677" spans="2:25" ht="20.149999999999999" customHeight="1">
      <c r="B677" s="359"/>
      <c r="C677" s="360"/>
      <c r="D677" s="360"/>
      <c r="E677" s="361"/>
      <c r="F677" s="361"/>
      <c r="G677" s="361"/>
      <c r="H677" s="361"/>
      <c r="I677" s="372"/>
      <c r="J677" s="361"/>
      <c r="K677" s="361"/>
      <c r="L677" s="361"/>
      <c r="M677" s="373"/>
      <c r="Y677" s="359"/>
    </row>
    <row r="678" spans="2:25" ht="20.149999999999999" customHeight="1">
      <c r="B678" s="359"/>
      <c r="C678" s="360"/>
      <c r="D678" s="360"/>
      <c r="E678" s="361"/>
      <c r="F678" s="361"/>
      <c r="G678" s="361"/>
      <c r="H678" s="361"/>
      <c r="I678" s="372"/>
      <c r="J678" s="361"/>
      <c r="K678" s="361"/>
      <c r="L678" s="361"/>
      <c r="M678" s="373"/>
      <c r="Y678" s="359"/>
    </row>
    <row r="679" spans="2:25" ht="20.149999999999999" customHeight="1">
      <c r="B679" s="359"/>
      <c r="C679" s="360"/>
      <c r="D679" s="360"/>
      <c r="E679" s="361"/>
      <c r="F679" s="361"/>
      <c r="G679" s="361"/>
      <c r="H679" s="361"/>
      <c r="I679" s="372"/>
      <c r="J679" s="361"/>
      <c r="K679" s="361"/>
      <c r="L679" s="361"/>
      <c r="M679" s="373"/>
      <c r="Y679" s="359"/>
    </row>
    <row r="680" spans="2:25" ht="20.149999999999999" customHeight="1">
      <c r="B680" s="359"/>
      <c r="C680" s="360"/>
      <c r="D680" s="360"/>
      <c r="E680" s="361"/>
      <c r="F680" s="361"/>
      <c r="G680" s="361"/>
      <c r="H680" s="361"/>
      <c r="I680" s="372"/>
      <c r="J680" s="361"/>
      <c r="K680" s="361"/>
      <c r="L680" s="361"/>
      <c r="M680" s="373"/>
      <c r="Y680" s="359"/>
    </row>
    <row r="681" spans="2:25" ht="20.149999999999999" customHeight="1">
      <c r="B681" s="359"/>
      <c r="C681" s="360"/>
      <c r="D681" s="360"/>
      <c r="E681" s="361"/>
      <c r="F681" s="361"/>
      <c r="G681" s="361"/>
      <c r="H681" s="361"/>
      <c r="I681" s="372"/>
      <c r="J681" s="361"/>
      <c r="K681" s="361"/>
      <c r="L681" s="361"/>
      <c r="M681" s="373"/>
      <c r="Y681" s="359"/>
    </row>
    <row r="682" spans="2:25" ht="20.149999999999999" customHeight="1">
      <c r="B682" s="359"/>
      <c r="C682" s="360"/>
      <c r="D682" s="360"/>
      <c r="E682" s="361"/>
      <c r="F682" s="361"/>
      <c r="G682" s="361"/>
      <c r="H682" s="361"/>
      <c r="I682" s="372"/>
      <c r="J682" s="361"/>
      <c r="K682" s="361"/>
      <c r="L682" s="361"/>
      <c r="M682" s="373"/>
      <c r="Y682" s="359"/>
    </row>
    <row r="683" spans="2:25" ht="20.149999999999999" customHeight="1">
      <c r="B683" s="359"/>
      <c r="C683" s="360"/>
      <c r="D683" s="360"/>
      <c r="E683" s="361"/>
      <c r="F683" s="361"/>
      <c r="G683" s="361"/>
      <c r="H683" s="361"/>
      <c r="I683" s="372"/>
      <c r="J683" s="361"/>
      <c r="K683" s="361"/>
      <c r="L683" s="361"/>
      <c r="M683" s="373"/>
      <c r="Y683" s="359"/>
    </row>
    <row r="684" spans="2:25" ht="20.149999999999999" customHeight="1">
      <c r="B684" s="359"/>
      <c r="C684" s="360"/>
      <c r="D684" s="360"/>
      <c r="E684" s="361"/>
      <c r="F684" s="361"/>
      <c r="G684" s="361"/>
      <c r="H684" s="361"/>
      <c r="I684" s="372"/>
      <c r="J684" s="361"/>
      <c r="K684" s="361"/>
      <c r="L684" s="361"/>
      <c r="M684" s="373"/>
      <c r="Y684" s="359"/>
    </row>
    <row r="685" spans="2:25" ht="20.149999999999999" customHeight="1">
      <c r="B685" s="359"/>
      <c r="C685" s="360"/>
      <c r="D685" s="360"/>
      <c r="E685" s="361"/>
      <c r="F685" s="361"/>
      <c r="G685" s="361"/>
      <c r="H685" s="361"/>
      <c r="I685" s="372"/>
      <c r="J685" s="361"/>
      <c r="K685" s="361"/>
      <c r="L685" s="361"/>
      <c r="M685" s="373"/>
      <c r="Y685" s="359"/>
    </row>
    <row r="686" spans="2:25" ht="20.149999999999999" customHeight="1">
      <c r="B686" s="359"/>
      <c r="C686" s="360"/>
      <c r="D686" s="360"/>
      <c r="E686" s="361"/>
      <c r="F686" s="361"/>
      <c r="G686" s="361"/>
      <c r="H686" s="361"/>
      <c r="I686" s="372"/>
      <c r="J686" s="361"/>
      <c r="K686" s="361"/>
      <c r="L686" s="361"/>
      <c r="M686" s="373"/>
      <c r="Y686" s="359"/>
    </row>
    <row r="687" spans="2:25" ht="20.149999999999999" customHeight="1">
      <c r="B687" s="359"/>
      <c r="C687" s="360"/>
      <c r="D687" s="360"/>
      <c r="E687" s="361"/>
      <c r="F687" s="361"/>
      <c r="G687" s="361"/>
      <c r="H687" s="361"/>
      <c r="I687" s="372"/>
      <c r="J687" s="361"/>
      <c r="K687" s="361"/>
      <c r="L687" s="361"/>
      <c r="M687" s="373"/>
      <c r="Y687" s="359"/>
    </row>
    <row r="688" spans="2:25" ht="20.149999999999999" customHeight="1">
      <c r="B688" s="359"/>
      <c r="C688" s="360"/>
      <c r="D688" s="360"/>
      <c r="E688" s="361"/>
      <c r="F688" s="361"/>
      <c r="G688" s="361"/>
      <c r="H688" s="361"/>
      <c r="I688" s="372"/>
      <c r="J688" s="361"/>
      <c r="K688" s="361"/>
      <c r="L688" s="361"/>
      <c r="M688" s="373"/>
      <c r="Y688" s="359"/>
    </row>
    <row r="689" spans="2:25" ht="20.149999999999999" customHeight="1">
      <c r="B689" s="359"/>
      <c r="C689" s="360"/>
      <c r="D689" s="360"/>
      <c r="E689" s="361"/>
      <c r="F689" s="361"/>
      <c r="G689" s="361"/>
      <c r="H689" s="361"/>
      <c r="I689" s="372"/>
      <c r="J689" s="361"/>
      <c r="K689" s="361"/>
      <c r="L689" s="361"/>
      <c r="M689" s="373"/>
      <c r="Y689" s="359"/>
    </row>
    <row r="690" spans="2:25" ht="20.149999999999999" customHeight="1">
      <c r="B690" s="359"/>
      <c r="C690" s="360"/>
      <c r="D690" s="360"/>
      <c r="E690" s="361"/>
      <c r="F690" s="361"/>
      <c r="G690" s="361"/>
      <c r="H690" s="361"/>
      <c r="I690" s="372"/>
      <c r="J690" s="361"/>
      <c r="K690" s="361"/>
      <c r="L690" s="361"/>
      <c r="M690" s="373"/>
      <c r="Y690" s="359"/>
    </row>
    <row r="691" spans="2:25" ht="20.149999999999999" customHeight="1">
      <c r="B691" s="359"/>
      <c r="C691" s="360"/>
      <c r="D691" s="360"/>
      <c r="E691" s="361"/>
      <c r="F691" s="361"/>
      <c r="G691" s="361"/>
      <c r="H691" s="361"/>
      <c r="I691" s="372"/>
      <c r="J691" s="361"/>
      <c r="K691" s="361"/>
      <c r="L691" s="361"/>
      <c r="M691" s="373"/>
      <c r="Y691" s="359"/>
    </row>
    <row r="692" spans="2:25" ht="20.149999999999999" customHeight="1">
      <c r="B692" s="359"/>
      <c r="C692" s="360"/>
      <c r="D692" s="360"/>
      <c r="E692" s="361"/>
      <c r="F692" s="361"/>
      <c r="G692" s="361"/>
      <c r="H692" s="361"/>
      <c r="I692" s="372"/>
      <c r="J692" s="361"/>
      <c r="K692" s="361"/>
      <c r="L692" s="361"/>
      <c r="M692" s="373"/>
      <c r="Y692" s="359"/>
    </row>
    <row r="693" spans="2:25" ht="20.149999999999999" customHeight="1">
      <c r="B693" s="359"/>
      <c r="C693" s="360"/>
      <c r="D693" s="360"/>
      <c r="E693" s="361"/>
      <c r="F693" s="361"/>
      <c r="G693" s="361"/>
      <c r="H693" s="361"/>
      <c r="I693" s="372"/>
      <c r="J693" s="361"/>
      <c r="K693" s="361"/>
      <c r="L693" s="361"/>
      <c r="M693" s="373"/>
      <c r="Y693" s="359"/>
    </row>
    <row r="694" spans="2:25" ht="20.149999999999999" customHeight="1">
      <c r="B694" s="359"/>
      <c r="C694" s="360"/>
      <c r="D694" s="360"/>
      <c r="E694" s="361"/>
      <c r="F694" s="361"/>
      <c r="G694" s="361"/>
      <c r="H694" s="361"/>
      <c r="I694" s="372"/>
      <c r="J694" s="361"/>
      <c r="K694" s="361"/>
      <c r="L694" s="361"/>
      <c r="M694" s="373"/>
      <c r="Y694" s="359"/>
    </row>
    <row r="695" spans="2:25" ht="20.149999999999999" customHeight="1">
      <c r="B695" s="359"/>
      <c r="C695" s="360"/>
      <c r="D695" s="360"/>
      <c r="E695" s="361"/>
      <c r="F695" s="361"/>
      <c r="G695" s="361"/>
      <c r="H695" s="361"/>
      <c r="I695" s="372"/>
      <c r="J695" s="361"/>
      <c r="K695" s="361"/>
      <c r="L695" s="361"/>
      <c r="M695" s="373"/>
      <c r="Y695" s="359"/>
    </row>
    <row r="696" spans="2:25" ht="20.149999999999999" customHeight="1">
      <c r="B696" s="359"/>
      <c r="C696" s="360"/>
      <c r="D696" s="360"/>
      <c r="E696" s="361"/>
      <c r="F696" s="361"/>
      <c r="G696" s="361"/>
      <c r="H696" s="361"/>
      <c r="I696" s="372"/>
      <c r="J696" s="361"/>
      <c r="K696" s="361"/>
      <c r="L696" s="361"/>
      <c r="M696" s="373"/>
      <c r="Y696" s="359"/>
    </row>
    <row r="697" spans="2:25" ht="20.149999999999999" customHeight="1">
      <c r="B697" s="359"/>
      <c r="C697" s="360"/>
      <c r="D697" s="360"/>
      <c r="E697" s="361"/>
      <c r="F697" s="361"/>
      <c r="G697" s="361"/>
      <c r="H697" s="361"/>
      <c r="I697" s="372"/>
      <c r="J697" s="361"/>
      <c r="K697" s="361"/>
      <c r="L697" s="361"/>
      <c r="M697" s="373"/>
      <c r="Y697" s="359"/>
    </row>
    <row r="698" spans="2:25" ht="20.149999999999999" customHeight="1">
      <c r="B698" s="359"/>
      <c r="C698" s="360"/>
      <c r="D698" s="360"/>
      <c r="E698" s="361"/>
      <c r="F698" s="361"/>
      <c r="G698" s="361"/>
      <c r="H698" s="361"/>
      <c r="I698" s="372"/>
      <c r="J698" s="361"/>
      <c r="K698" s="361"/>
      <c r="L698" s="361"/>
      <c r="M698" s="373"/>
      <c r="Y698" s="359"/>
    </row>
    <row r="699" spans="2:25" ht="20.149999999999999" customHeight="1">
      <c r="B699" s="359"/>
      <c r="C699" s="360"/>
      <c r="D699" s="360"/>
      <c r="E699" s="361"/>
      <c r="F699" s="361"/>
      <c r="G699" s="361"/>
      <c r="H699" s="361"/>
      <c r="I699" s="372"/>
      <c r="J699" s="361"/>
      <c r="K699" s="361"/>
      <c r="L699" s="361"/>
      <c r="M699" s="373"/>
      <c r="Y699" s="359"/>
    </row>
    <row r="700" spans="2:25" ht="20.149999999999999" customHeight="1">
      <c r="B700" s="359"/>
      <c r="C700" s="360"/>
      <c r="D700" s="360"/>
      <c r="E700" s="361"/>
      <c r="F700" s="361"/>
      <c r="G700" s="361"/>
      <c r="H700" s="361"/>
      <c r="I700" s="372"/>
      <c r="J700" s="361"/>
      <c r="K700" s="361"/>
      <c r="L700" s="361"/>
      <c r="M700" s="373"/>
      <c r="Y700" s="359"/>
    </row>
    <row r="701" spans="2:25" ht="20.149999999999999" customHeight="1">
      <c r="B701" s="359"/>
      <c r="C701" s="360"/>
      <c r="D701" s="360"/>
      <c r="E701" s="361"/>
      <c r="F701" s="361"/>
      <c r="G701" s="361"/>
      <c r="H701" s="361"/>
      <c r="I701" s="372"/>
      <c r="J701" s="361"/>
      <c r="K701" s="361"/>
      <c r="L701" s="361"/>
      <c r="M701" s="373"/>
      <c r="Y701" s="359"/>
    </row>
    <row r="702" spans="2:25" ht="20.149999999999999" customHeight="1">
      <c r="B702" s="359"/>
      <c r="C702" s="360"/>
      <c r="D702" s="360"/>
      <c r="E702" s="361"/>
      <c r="F702" s="361"/>
      <c r="G702" s="361"/>
      <c r="H702" s="361"/>
      <c r="I702" s="372"/>
      <c r="J702" s="361"/>
      <c r="K702" s="361"/>
      <c r="L702" s="361"/>
      <c r="M702" s="373"/>
      <c r="Y702" s="359"/>
    </row>
    <row r="703" spans="2:25" ht="20.149999999999999" customHeight="1">
      <c r="B703" s="359"/>
      <c r="C703" s="360"/>
      <c r="D703" s="360"/>
      <c r="E703" s="361"/>
      <c r="F703" s="361"/>
      <c r="G703" s="361"/>
      <c r="H703" s="361"/>
      <c r="I703" s="372"/>
      <c r="J703" s="361"/>
      <c r="K703" s="361"/>
      <c r="L703" s="361"/>
      <c r="M703" s="373"/>
      <c r="Y703" s="359"/>
    </row>
    <row r="704" spans="2:25" ht="20.149999999999999" customHeight="1">
      <c r="B704" s="359"/>
      <c r="C704" s="360"/>
      <c r="D704" s="360"/>
      <c r="E704" s="361"/>
      <c r="F704" s="361"/>
      <c r="G704" s="361"/>
      <c r="H704" s="361"/>
      <c r="I704" s="372"/>
      <c r="J704" s="361"/>
      <c r="K704" s="361"/>
      <c r="L704" s="361"/>
      <c r="M704" s="373"/>
      <c r="Y704" s="359"/>
    </row>
    <row r="705" spans="2:25" ht="20.149999999999999" customHeight="1">
      <c r="B705" s="359"/>
      <c r="C705" s="360"/>
      <c r="D705" s="360"/>
      <c r="E705" s="361"/>
      <c r="F705" s="361"/>
      <c r="G705" s="361"/>
      <c r="H705" s="361"/>
      <c r="I705" s="372"/>
      <c r="J705" s="361"/>
      <c r="K705" s="361"/>
      <c r="L705" s="361"/>
      <c r="M705" s="373"/>
      <c r="Y705" s="359"/>
    </row>
    <row r="706" spans="2:25" ht="20.149999999999999" customHeight="1">
      <c r="B706" s="359"/>
      <c r="C706" s="360"/>
      <c r="D706" s="360"/>
      <c r="E706" s="361"/>
      <c r="F706" s="361"/>
      <c r="G706" s="361"/>
      <c r="H706" s="361"/>
      <c r="I706" s="372"/>
      <c r="J706" s="361"/>
      <c r="K706" s="361"/>
      <c r="L706" s="361"/>
      <c r="M706" s="373"/>
      <c r="Y706" s="359"/>
    </row>
    <row r="707" spans="2:25" ht="20.149999999999999" customHeight="1">
      <c r="B707" s="359"/>
      <c r="C707" s="360"/>
      <c r="D707" s="360"/>
      <c r="E707" s="361"/>
      <c r="F707" s="361"/>
      <c r="G707" s="361"/>
      <c r="H707" s="361"/>
      <c r="I707" s="372"/>
      <c r="J707" s="361"/>
      <c r="K707" s="361"/>
      <c r="L707" s="361"/>
      <c r="M707" s="373"/>
      <c r="Y707" s="359"/>
    </row>
    <row r="708" spans="2:25" ht="20.149999999999999" customHeight="1">
      <c r="B708" s="359"/>
      <c r="C708" s="360"/>
      <c r="D708" s="360"/>
      <c r="E708" s="361"/>
      <c r="F708" s="361"/>
      <c r="G708" s="361"/>
      <c r="H708" s="361"/>
      <c r="I708" s="372"/>
      <c r="J708" s="361"/>
      <c r="K708" s="361"/>
      <c r="L708" s="361"/>
      <c r="M708" s="373"/>
      <c r="Y708" s="359"/>
    </row>
    <row r="709" spans="2:25" ht="20.149999999999999" customHeight="1">
      <c r="B709" s="359"/>
      <c r="C709" s="360"/>
      <c r="D709" s="360"/>
      <c r="E709" s="361"/>
      <c r="F709" s="361"/>
      <c r="G709" s="361"/>
      <c r="H709" s="361"/>
      <c r="I709" s="372"/>
      <c r="J709" s="361"/>
      <c r="K709" s="361"/>
      <c r="L709" s="361"/>
      <c r="M709" s="373"/>
      <c r="Y709" s="359"/>
    </row>
    <row r="710" spans="2:25" ht="20.149999999999999" customHeight="1">
      <c r="B710" s="359"/>
      <c r="C710" s="360"/>
      <c r="D710" s="360"/>
      <c r="E710" s="361"/>
      <c r="F710" s="361"/>
      <c r="G710" s="361"/>
      <c r="H710" s="361"/>
      <c r="I710" s="372"/>
      <c r="J710" s="361"/>
      <c r="K710" s="361"/>
      <c r="L710" s="361"/>
      <c r="M710" s="373"/>
      <c r="Y710" s="359"/>
    </row>
    <row r="711" spans="2:25" ht="20.149999999999999" customHeight="1">
      <c r="B711" s="359"/>
      <c r="C711" s="360"/>
      <c r="D711" s="360"/>
      <c r="E711" s="361"/>
      <c r="F711" s="361"/>
      <c r="G711" s="361"/>
      <c r="H711" s="361"/>
      <c r="I711" s="372"/>
      <c r="J711" s="361"/>
      <c r="K711" s="361"/>
      <c r="L711" s="361"/>
      <c r="M711" s="373"/>
      <c r="Y711" s="359"/>
    </row>
    <row r="712" spans="2:25" ht="20.149999999999999" customHeight="1">
      <c r="B712" s="359"/>
      <c r="C712" s="360"/>
      <c r="D712" s="360"/>
      <c r="E712" s="361"/>
      <c r="F712" s="361"/>
      <c r="G712" s="361"/>
      <c r="H712" s="361"/>
      <c r="I712" s="372"/>
      <c r="J712" s="361"/>
      <c r="K712" s="361"/>
      <c r="L712" s="361"/>
      <c r="M712" s="373"/>
      <c r="Y712" s="359"/>
    </row>
    <row r="713" spans="2:25" ht="20.149999999999999" customHeight="1">
      <c r="B713" s="359"/>
      <c r="C713" s="360"/>
      <c r="D713" s="360"/>
      <c r="E713" s="361"/>
      <c r="F713" s="361"/>
      <c r="G713" s="361"/>
      <c r="H713" s="361"/>
      <c r="I713" s="372"/>
      <c r="J713" s="361"/>
      <c r="K713" s="361"/>
      <c r="L713" s="361"/>
      <c r="M713" s="373"/>
      <c r="Y713" s="359"/>
    </row>
    <row r="714" spans="2:25" ht="20.149999999999999" customHeight="1">
      <c r="B714" s="359"/>
      <c r="C714" s="360"/>
      <c r="D714" s="360"/>
      <c r="E714" s="361"/>
      <c r="F714" s="361"/>
      <c r="G714" s="361"/>
      <c r="H714" s="361"/>
      <c r="I714" s="372"/>
      <c r="J714" s="361"/>
      <c r="K714" s="361"/>
      <c r="L714" s="361"/>
      <c r="M714" s="373"/>
      <c r="Y714" s="359"/>
    </row>
    <row r="715" spans="2:25" ht="20.149999999999999" customHeight="1">
      <c r="B715" s="359"/>
      <c r="C715" s="360"/>
      <c r="D715" s="360"/>
      <c r="E715" s="361"/>
      <c r="F715" s="361"/>
      <c r="G715" s="361"/>
      <c r="H715" s="361"/>
      <c r="I715" s="372"/>
      <c r="J715" s="361"/>
      <c r="K715" s="361"/>
      <c r="L715" s="361"/>
      <c r="M715" s="373"/>
      <c r="Y715" s="359"/>
    </row>
    <row r="716" spans="2:25" ht="20.149999999999999" customHeight="1">
      <c r="B716" s="359"/>
      <c r="C716" s="360"/>
      <c r="D716" s="360"/>
      <c r="E716" s="361"/>
      <c r="F716" s="361"/>
      <c r="G716" s="361"/>
      <c r="H716" s="361"/>
      <c r="I716" s="372"/>
      <c r="J716" s="361"/>
      <c r="K716" s="361"/>
      <c r="L716" s="361"/>
      <c r="M716" s="373"/>
      <c r="Y716" s="359"/>
    </row>
    <row r="717" spans="2:25" ht="20.149999999999999" customHeight="1">
      <c r="B717" s="359"/>
      <c r="C717" s="360"/>
      <c r="D717" s="360"/>
      <c r="E717" s="361"/>
      <c r="F717" s="361"/>
      <c r="G717" s="361"/>
      <c r="H717" s="361"/>
      <c r="I717" s="372"/>
      <c r="J717" s="361"/>
      <c r="K717" s="361"/>
      <c r="L717" s="361"/>
      <c r="M717" s="373"/>
      <c r="Y717" s="359"/>
    </row>
    <row r="718" spans="2:25" ht="20.149999999999999" customHeight="1">
      <c r="B718" s="359"/>
      <c r="C718" s="360"/>
      <c r="D718" s="360"/>
      <c r="E718" s="361"/>
      <c r="F718" s="361"/>
      <c r="G718" s="361"/>
      <c r="H718" s="361"/>
      <c r="I718" s="372"/>
      <c r="J718" s="361"/>
      <c r="K718" s="361"/>
      <c r="L718" s="361"/>
      <c r="M718" s="373"/>
      <c r="Y718" s="359"/>
    </row>
    <row r="719" spans="2:25" ht="20.149999999999999" customHeight="1">
      <c r="B719" s="359"/>
      <c r="C719" s="360"/>
      <c r="D719" s="360"/>
      <c r="E719" s="361"/>
      <c r="F719" s="361"/>
      <c r="G719" s="361"/>
      <c r="H719" s="361"/>
      <c r="I719" s="372"/>
      <c r="J719" s="361"/>
      <c r="K719" s="361"/>
      <c r="L719" s="361"/>
      <c r="M719" s="373"/>
      <c r="Y719" s="359"/>
    </row>
    <row r="720" spans="2:25" ht="20.149999999999999" customHeight="1">
      <c r="B720" s="359"/>
      <c r="C720" s="360"/>
      <c r="D720" s="360"/>
      <c r="E720" s="361"/>
      <c r="F720" s="361"/>
      <c r="G720" s="361"/>
      <c r="H720" s="361"/>
      <c r="I720" s="372"/>
      <c r="J720" s="361"/>
      <c r="K720" s="361"/>
      <c r="L720" s="361"/>
      <c r="M720" s="373"/>
      <c r="Y720" s="359"/>
    </row>
    <row r="721" spans="2:25" ht="20.149999999999999" customHeight="1">
      <c r="B721" s="359"/>
      <c r="C721" s="360"/>
      <c r="D721" s="360"/>
      <c r="E721" s="361"/>
      <c r="F721" s="361"/>
      <c r="G721" s="361"/>
      <c r="H721" s="361"/>
      <c r="I721" s="372"/>
      <c r="J721" s="361"/>
      <c r="K721" s="361"/>
      <c r="L721" s="361"/>
      <c r="M721" s="373"/>
      <c r="Y721" s="359"/>
    </row>
    <row r="722" spans="2:25" ht="20.149999999999999" customHeight="1">
      <c r="B722" s="359"/>
      <c r="C722" s="360"/>
      <c r="D722" s="360"/>
      <c r="E722" s="361"/>
      <c r="F722" s="361"/>
      <c r="G722" s="361"/>
      <c r="H722" s="361"/>
      <c r="I722" s="372"/>
      <c r="J722" s="361"/>
      <c r="K722" s="361"/>
      <c r="L722" s="361"/>
      <c r="M722" s="373"/>
      <c r="Y722" s="359"/>
    </row>
    <row r="723" spans="2:25" ht="20.149999999999999" customHeight="1">
      <c r="B723" s="359"/>
      <c r="C723" s="360"/>
      <c r="D723" s="360"/>
      <c r="E723" s="361"/>
      <c r="F723" s="361"/>
      <c r="G723" s="361"/>
      <c r="H723" s="361"/>
      <c r="I723" s="372"/>
      <c r="J723" s="361"/>
      <c r="K723" s="361"/>
      <c r="L723" s="361"/>
      <c r="M723" s="373"/>
      <c r="Y723" s="359"/>
    </row>
    <row r="724" spans="2:25" ht="20.149999999999999" customHeight="1">
      <c r="B724" s="359"/>
      <c r="C724" s="360"/>
      <c r="D724" s="360"/>
      <c r="E724" s="361"/>
      <c r="F724" s="361"/>
      <c r="G724" s="361"/>
      <c r="H724" s="361"/>
      <c r="I724" s="372"/>
      <c r="J724" s="361"/>
      <c r="K724" s="361"/>
      <c r="L724" s="361"/>
      <c r="M724" s="373"/>
      <c r="Y724" s="359"/>
    </row>
    <row r="725" spans="2:25" ht="20.149999999999999" customHeight="1">
      <c r="B725" s="359"/>
      <c r="C725" s="360"/>
      <c r="D725" s="360"/>
      <c r="E725" s="361"/>
      <c r="F725" s="361"/>
      <c r="G725" s="361"/>
      <c r="H725" s="361"/>
      <c r="I725" s="372"/>
      <c r="J725" s="361"/>
      <c r="K725" s="361"/>
      <c r="L725" s="361"/>
      <c r="M725" s="373"/>
      <c r="Y725" s="359"/>
    </row>
    <row r="726" spans="2:25" ht="20.149999999999999" customHeight="1">
      <c r="B726" s="359"/>
      <c r="C726" s="360"/>
      <c r="D726" s="360"/>
      <c r="E726" s="361"/>
      <c r="F726" s="361"/>
      <c r="G726" s="361"/>
      <c r="H726" s="361"/>
      <c r="I726" s="372"/>
      <c r="J726" s="361"/>
      <c r="K726" s="361"/>
      <c r="L726" s="361"/>
      <c r="M726" s="373"/>
      <c r="Y726" s="359"/>
    </row>
    <row r="727" spans="2:25" ht="20.149999999999999" customHeight="1">
      <c r="B727" s="359"/>
      <c r="C727" s="360"/>
      <c r="D727" s="360"/>
      <c r="E727" s="361"/>
      <c r="F727" s="361"/>
      <c r="G727" s="361"/>
      <c r="H727" s="361"/>
      <c r="I727" s="372"/>
      <c r="J727" s="361"/>
      <c r="K727" s="361"/>
      <c r="L727" s="361"/>
      <c r="M727" s="373"/>
      <c r="Y727" s="359"/>
    </row>
    <row r="728" spans="2:25" ht="20.149999999999999" customHeight="1">
      <c r="B728" s="359"/>
      <c r="C728" s="360"/>
      <c r="D728" s="360"/>
      <c r="E728" s="361"/>
      <c r="F728" s="361"/>
      <c r="G728" s="361"/>
      <c r="H728" s="361"/>
      <c r="I728" s="372"/>
      <c r="J728" s="361"/>
      <c r="K728" s="361"/>
      <c r="L728" s="361"/>
      <c r="M728" s="373"/>
      <c r="Y728" s="359"/>
    </row>
    <row r="729" spans="2:25" ht="20.149999999999999" customHeight="1">
      <c r="B729" s="359"/>
      <c r="C729" s="360"/>
      <c r="D729" s="360"/>
      <c r="E729" s="361"/>
      <c r="F729" s="361"/>
      <c r="G729" s="361"/>
      <c r="H729" s="361"/>
      <c r="I729" s="372"/>
      <c r="J729" s="361"/>
      <c r="K729" s="361"/>
      <c r="L729" s="361"/>
      <c r="M729" s="373"/>
      <c r="Y729" s="359"/>
    </row>
    <row r="730" spans="2:25" ht="20.149999999999999" customHeight="1">
      <c r="B730" s="359"/>
      <c r="C730" s="360"/>
      <c r="D730" s="360"/>
      <c r="E730" s="361"/>
      <c r="F730" s="361"/>
      <c r="G730" s="361"/>
      <c r="H730" s="361"/>
      <c r="I730" s="372"/>
      <c r="J730" s="361"/>
      <c r="K730" s="361"/>
      <c r="L730" s="361"/>
      <c r="M730" s="373"/>
      <c r="Y730" s="359"/>
    </row>
    <row r="731" spans="2:25" ht="20.149999999999999" customHeight="1">
      <c r="B731" s="359"/>
      <c r="C731" s="360"/>
      <c r="D731" s="360"/>
      <c r="E731" s="361"/>
      <c r="F731" s="361"/>
      <c r="G731" s="361"/>
      <c r="H731" s="361"/>
      <c r="I731" s="372"/>
      <c r="J731" s="361"/>
      <c r="K731" s="361"/>
      <c r="L731" s="361"/>
      <c r="M731" s="373"/>
      <c r="Y731" s="359"/>
    </row>
    <row r="732" spans="2:25" ht="20.149999999999999" customHeight="1">
      <c r="B732" s="359"/>
      <c r="C732" s="360"/>
      <c r="D732" s="360"/>
      <c r="E732" s="361"/>
      <c r="F732" s="361"/>
      <c r="G732" s="361"/>
      <c r="H732" s="361"/>
      <c r="I732" s="372"/>
      <c r="J732" s="361"/>
      <c r="K732" s="361"/>
      <c r="L732" s="361"/>
      <c r="M732" s="373"/>
      <c r="Y732" s="359"/>
    </row>
    <row r="733" spans="2:25" ht="20.149999999999999" customHeight="1">
      <c r="B733" s="359"/>
      <c r="C733" s="360"/>
      <c r="D733" s="360"/>
      <c r="E733" s="361"/>
      <c r="F733" s="361"/>
      <c r="G733" s="361"/>
      <c r="H733" s="361"/>
      <c r="I733" s="372"/>
      <c r="J733" s="361"/>
      <c r="K733" s="361"/>
      <c r="L733" s="361"/>
      <c r="M733" s="373"/>
      <c r="Y733" s="359"/>
    </row>
    <row r="734" spans="2:25" ht="20.149999999999999" customHeight="1">
      <c r="B734" s="359"/>
      <c r="C734" s="360"/>
      <c r="D734" s="360"/>
      <c r="E734" s="361"/>
      <c r="F734" s="361"/>
      <c r="G734" s="361"/>
      <c r="H734" s="361"/>
      <c r="I734" s="372"/>
      <c r="J734" s="361"/>
      <c r="K734" s="361"/>
      <c r="L734" s="361"/>
      <c r="M734" s="373"/>
      <c r="Y734" s="359"/>
    </row>
    <row r="735" spans="2:25" ht="20.149999999999999" customHeight="1">
      <c r="B735" s="359"/>
      <c r="C735" s="360"/>
      <c r="D735" s="360"/>
      <c r="E735" s="361"/>
      <c r="F735" s="361"/>
      <c r="G735" s="361"/>
      <c r="H735" s="361"/>
      <c r="I735" s="372"/>
      <c r="J735" s="361"/>
      <c r="K735" s="361"/>
      <c r="L735" s="361"/>
      <c r="M735" s="373"/>
      <c r="Y735" s="359"/>
    </row>
    <row r="736" spans="2:25" ht="20.149999999999999" customHeight="1">
      <c r="B736" s="359"/>
      <c r="C736" s="360"/>
      <c r="D736" s="360"/>
      <c r="E736" s="361"/>
      <c r="F736" s="361"/>
      <c r="G736" s="361"/>
      <c r="H736" s="361"/>
      <c r="I736" s="372"/>
      <c r="J736" s="361"/>
      <c r="K736" s="361"/>
      <c r="L736" s="361"/>
      <c r="M736" s="373"/>
      <c r="Y736" s="359"/>
    </row>
    <row r="737" spans="2:25" ht="20.149999999999999" customHeight="1">
      <c r="B737" s="359"/>
      <c r="C737" s="360"/>
      <c r="D737" s="360"/>
      <c r="E737" s="361"/>
      <c r="F737" s="361"/>
      <c r="G737" s="361"/>
      <c r="H737" s="361"/>
      <c r="I737" s="372"/>
      <c r="J737" s="361"/>
      <c r="K737" s="361"/>
      <c r="L737" s="361"/>
      <c r="M737" s="373"/>
      <c r="Y737" s="359"/>
    </row>
    <row r="738" spans="2:25" ht="20.149999999999999" customHeight="1">
      <c r="B738" s="359"/>
      <c r="C738" s="360"/>
      <c r="D738" s="360"/>
      <c r="E738" s="361"/>
      <c r="F738" s="361"/>
      <c r="G738" s="361"/>
      <c r="H738" s="361"/>
      <c r="I738" s="372"/>
      <c r="J738" s="361"/>
      <c r="K738" s="361"/>
      <c r="L738" s="361"/>
      <c r="M738" s="373"/>
      <c r="Y738" s="359"/>
    </row>
    <row r="739" spans="2:25" ht="20.149999999999999" customHeight="1">
      <c r="B739" s="359"/>
      <c r="C739" s="360"/>
      <c r="D739" s="360"/>
      <c r="E739" s="361"/>
      <c r="F739" s="361"/>
      <c r="G739" s="361"/>
      <c r="H739" s="361"/>
      <c r="I739" s="372"/>
      <c r="J739" s="361"/>
      <c r="K739" s="361"/>
      <c r="L739" s="361"/>
      <c r="M739" s="373"/>
      <c r="Y739" s="359"/>
    </row>
    <row r="740" spans="2:25" ht="20.149999999999999" customHeight="1">
      <c r="B740" s="359"/>
      <c r="C740" s="360"/>
      <c r="D740" s="360"/>
      <c r="E740" s="361"/>
      <c r="F740" s="361"/>
      <c r="G740" s="361"/>
      <c r="H740" s="361"/>
      <c r="I740" s="372"/>
      <c r="J740" s="361"/>
      <c r="K740" s="361"/>
      <c r="L740" s="361"/>
      <c r="M740" s="373"/>
      <c r="Y740" s="359"/>
    </row>
    <row r="741" spans="2:25" ht="20.149999999999999" customHeight="1">
      <c r="B741" s="359"/>
      <c r="C741" s="360"/>
      <c r="D741" s="360"/>
      <c r="E741" s="361"/>
      <c r="F741" s="361"/>
      <c r="G741" s="361"/>
      <c r="H741" s="361"/>
      <c r="I741" s="372"/>
      <c r="J741" s="361"/>
      <c r="K741" s="361"/>
      <c r="L741" s="361"/>
      <c r="M741" s="373"/>
      <c r="Y741" s="359"/>
    </row>
    <row r="742" spans="2:25" ht="20.149999999999999" customHeight="1">
      <c r="B742" s="359"/>
      <c r="C742" s="360"/>
      <c r="D742" s="360"/>
      <c r="E742" s="361"/>
      <c r="F742" s="361"/>
      <c r="G742" s="361"/>
      <c r="H742" s="361"/>
      <c r="I742" s="372"/>
      <c r="J742" s="361"/>
      <c r="K742" s="361"/>
      <c r="L742" s="361"/>
      <c r="M742" s="373"/>
      <c r="Y742" s="359"/>
    </row>
    <row r="743" spans="2:25" ht="20.149999999999999" customHeight="1">
      <c r="B743" s="359"/>
      <c r="C743" s="360"/>
      <c r="D743" s="360"/>
      <c r="E743" s="361"/>
      <c r="F743" s="361"/>
      <c r="G743" s="361"/>
      <c r="H743" s="361"/>
      <c r="I743" s="372"/>
      <c r="J743" s="361"/>
      <c r="K743" s="361"/>
      <c r="L743" s="361"/>
      <c r="M743" s="373"/>
      <c r="Y743" s="359"/>
    </row>
    <row r="744" spans="2:25" ht="20.149999999999999" customHeight="1">
      <c r="B744" s="359"/>
      <c r="C744" s="360"/>
      <c r="D744" s="360"/>
      <c r="E744" s="361"/>
      <c r="F744" s="361"/>
      <c r="G744" s="361"/>
      <c r="H744" s="361"/>
      <c r="I744" s="372"/>
      <c r="J744" s="361"/>
      <c r="K744" s="361"/>
      <c r="L744" s="361"/>
      <c r="M744" s="373"/>
      <c r="Y744" s="359"/>
    </row>
    <row r="745" spans="2:25" ht="20.149999999999999" customHeight="1">
      <c r="B745" s="359"/>
      <c r="C745" s="360"/>
      <c r="D745" s="360"/>
      <c r="E745" s="361"/>
      <c r="F745" s="361"/>
      <c r="G745" s="361"/>
      <c r="H745" s="361"/>
      <c r="I745" s="372"/>
      <c r="J745" s="361"/>
      <c r="K745" s="361"/>
      <c r="L745" s="361"/>
      <c r="M745" s="373"/>
      <c r="Y745" s="359"/>
    </row>
    <row r="746" spans="2:25" ht="20.149999999999999" customHeight="1">
      <c r="B746" s="359"/>
      <c r="C746" s="360"/>
      <c r="D746" s="360"/>
      <c r="E746" s="361"/>
      <c r="F746" s="361"/>
      <c r="G746" s="361"/>
      <c r="H746" s="361"/>
      <c r="I746" s="372"/>
      <c r="J746" s="361"/>
      <c r="K746" s="361"/>
      <c r="L746" s="361"/>
      <c r="M746" s="373"/>
      <c r="Y746" s="359"/>
    </row>
    <row r="747" spans="2:25" ht="20.149999999999999" customHeight="1">
      <c r="B747" s="359"/>
      <c r="C747" s="360"/>
      <c r="D747" s="360"/>
      <c r="E747" s="361"/>
      <c r="F747" s="361"/>
      <c r="G747" s="361"/>
      <c r="H747" s="361"/>
      <c r="I747" s="372"/>
      <c r="J747" s="361"/>
      <c r="K747" s="361"/>
      <c r="L747" s="361"/>
      <c r="M747" s="373"/>
      <c r="Y747" s="359"/>
    </row>
    <row r="748" spans="2:25" ht="20.149999999999999" customHeight="1">
      <c r="B748" s="359"/>
      <c r="C748" s="360"/>
      <c r="D748" s="360"/>
      <c r="E748" s="361"/>
      <c r="F748" s="361"/>
      <c r="G748" s="361"/>
      <c r="H748" s="361"/>
      <c r="I748" s="372"/>
      <c r="J748" s="361"/>
      <c r="K748" s="361"/>
      <c r="L748" s="361"/>
      <c r="M748" s="373"/>
      <c r="Y748" s="359"/>
    </row>
    <row r="749" spans="2:25" ht="20.149999999999999" customHeight="1">
      <c r="B749" s="359"/>
      <c r="C749" s="360"/>
      <c r="D749" s="360"/>
      <c r="E749" s="361"/>
      <c r="F749" s="361"/>
      <c r="G749" s="361"/>
      <c r="H749" s="361"/>
      <c r="I749" s="372"/>
      <c r="J749" s="361"/>
      <c r="K749" s="361"/>
      <c r="L749" s="361"/>
      <c r="M749" s="373"/>
      <c r="Y749" s="359"/>
    </row>
    <row r="750" spans="2:25" ht="20.149999999999999" customHeight="1">
      <c r="B750" s="359"/>
      <c r="C750" s="360"/>
      <c r="D750" s="360"/>
      <c r="E750" s="361"/>
      <c r="F750" s="361"/>
      <c r="G750" s="361"/>
      <c r="H750" s="361"/>
      <c r="I750" s="372"/>
      <c r="J750" s="361"/>
      <c r="K750" s="361"/>
      <c r="L750" s="361"/>
      <c r="M750" s="373"/>
      <c r="Y750" s="359"/>
    </row>
    <row r="751" spans="2:25" ht="20.149999999999999" customHeight="1">
      <c r="B751" s="359"/>
      <c r="C751" s="360"/>
      <c r="D751" s="360"/>
      <c r="E751" s="361"/>
      <c r="F751" s="361"/>
      <c r="G751" s="361"/>
      <c r="H751" s="361"/>
      <c r="I751" s="372"/>
      <c r="J751" s="361"/>
      <c r="K751" s="361"/>
      <c r="L751" s="361"/>
      <c r="M751" s="373"/>
      <c r="Y751" s="359"/>
    </row>
    <row r="752" spans="2:25" ht="20.149999999999999" customHeight="1">
      <c r="B752" s="359"/>
      <c r="C752" s="360"/>
      <c r="D752" s="360"/>
      <c r="E752" s="361"/>
      <c r="F752" s="361"/>
      <c r="G752" s="361"/>
      <c r="H752" s="361"/>
      <c r="I752" s="372"/>
      <c r="J752" s="361"/>
      <c r="K752" s="361"/>
      <c r="L752" s="361"/>
      <c r="M752" s="373"/>
      <c r="Y752" s="359"/>
    </row>
    <row r="753" spans="2:25" ht="20.149999999999999" customHeight="1">
      <c r="B753" s="359"/>
      <c r="C753" s="360"/>
      <c r="D753" s="360"/>
      <c r="E753" s="361"/>
      <c r="F753" s="361"/>
      <c r="G753" s="361"/>
      <c r="H753" s="361"/>
      <c r="I753" s="372"/>
      <c r="J753" s="361"/>
      <c r="K753" s="361"/>
      <c r="L753" s="361"/>
      <c r="M753" s="373"/>
      <c r="Y753" s="359"/>
    </row>
    <row r="754" spans="2:25" ht="20.149999999999999" customHeight="1">
      <c r="B754" s="359"/>
      <c r="C754" s="360"/>
      <c r="D754" s="360"/>
      <c r="E754" s="361"/>
      <c r="F754" s="361"/>
      <c r="G754" s="361"/>
      <c r="H754" s="361"/>
      <c r="I754" s="372"/>
      <c r="J754" s="361"/>
      <c r="K754" s="361"/>
      <c r="L754" s="361"/>
      <c r="M754" s="373"/>
      <c r="Y754" s="359"/>
    </row>
    <row r="755" spans="2:25" ht="20.149999999999999" customHeight="1">
      <c r="B755" s="359"/>
      <c r="C755" s="360"/>
      <c r="D755" s="360"/>
      <c r="E755" s="361"/>
      <c r="F755" s="361"/>
      <c r="G755" s="361"/>
      <c r="H755" s="361"/>
      <c r="I755" s="372"/>
      <c r="J755" s="361"/>
      <c r="K755" s="361"/>
      <c r="L755" s="361"/>
      <c r="M755" s="373"/>
      <c r="Y755" s="359"/>
    </row>
    <row r="756" spans="2:25" ht="20.149999999999999" customHeight="1">
      <c r="B756" s="359"/>
      <c r="C756" s="360"/>
      <c r="D756" s="360"/>
      <c r="E756" s="361"/>
      <c r="F756" s="361"/>
      <c r="G756" s="361"/>
      <c r="H756" s="361"/>
      <c r="I756" s="372"/>
      <c r="J756" s="361"/>
      <c r="K756" s="361"/>
      <c r="L756" s="361"/>
      <c r="M756" s="373"/>
      <c r="Y756" s="359"/>
    </row>
    <row r="757" spans="2:25" ht="20.149999999999999" customHeight="1">
      <c r="B757" s="359"/>
      <c r="C757" s="360"/>
      <c r="D757" s="360"/>
      <c r="E757" s="361"/>
      <c r="F757" s="361"/>
      <c r="G757" s="361"/>
      <c r="H757" s="361"/>
      <c r="I757" s="372"/>
      <c r="J757" s="361"/>
      <c r="K757" s="361"/>
      <c r="L757" s="361"/>
      <c r="M757" s="373"/>
      <c r="Y757" s="359"/>
    </row>
  </sheetData>
  <sheetProtection sheet="1" objects="1" scenarios="1"/>
  <mergeCells count="25">
    <mergeCell ref="B1:H1"/>
    <mergeCell ref="E3:L3"/>
    <mergeCell ref="M3:X3"/>
    <mergeCell ref="M4:X4"/>
    <mergeCell ref="C5:E5"/>
    <mergeCell ref="F5:J5"/>
    <mergeCell ref="M5:X6"/>
    <mergeCell ref="C7:E7"/>
    <mergeCell ref="F7:J7"/>
    <mergeCell ref="M7:X7"/>
    <mergeCell ref="C9:E9"/>
    <mergeCell ref="F9:J9"/>
    <mergeCell ref="M8:X10"/>
    <mergeCell ref="C11:E11"/>
    <mergeCell ref="F11:J11"/>
    <mergeCell ref="C13:E13"/>
    <mergeCell ref="F13:J13"/>
    <mergeCell ref="S13:U13"/>
    <mergeCell ref="V13:W13"/>
    <mergeCell ref="C15:E15"/>
    <mergeCell ref="F15:J15"/>
    <mergeCell ref="S16:W16"/>
    <mergeCell ref="C17:E17"/>
    <mergeCell ref="F17:J17"/>
    <mergeCell ref="S17:W17"/>
  </mergeCells>
  <printOptions horizontalCentered="1"/>
  <pageMargins left="0.59055118110236204" right="0.39370078740157499" top="0.59055118110236204" bottom="0.78740157480314998" header="0.196850393700787" footer="0.196850393700787"/>
  <pageSetup paperSize="9" fitToHeight="2" orientation="portrait" useFirstPageNumber="1"/>
  <headerFooter differentFirst="1">
    <oddFooter>&amp;L&amp;"-,Italic"&amp;K01+024&amp;F&amp;R&amp;"-,Italic"&amp;K01+024Page &amp;P of &amp;N</oddFooter>
    <firstFooter>&amp;C&amp;"-,Italic"&amp;10&amp;K01+024Regd. Office Address: Door No. 11/3337, Manama Tower, Opp. to Court Complex,Thoppumpady,  Kochi-682005.
Contact Details:+91 7907018428 +91 9495182690
Email:sanjayofficial2@gmail.com&amp;R&amp;"-,Italic"&amp;10&amp;K01+024Page &amp;P of &amp;N</first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49534" r:id="rId3" name="Button 30">
              <controlPr defaultSize="0" print="0" autoPict="0" macro="[0]!Sheet26.CreateFolderAndSaveFileAPP">
                <anchor moveWithCells="1" sizeWithCells="1">
                  <from>
                    <xdr:col>12</xdr:col>
                    <xdr:colOff>38100</xdr:colOff>
                    <xdr:row>11</xdr:row>
                    <xdr:rowOff>95250</xdr:rowOff>
                  </from>
                  <to>
                    <xdr:col>16</xdr:col>
                    <xdr:colOff>76200</xdr:colOff>
                    <xdr:row>13</xdr:row>
                    <xdr:rowOff>209550</xdr:rowOff>
                  </to>
                </anchor>
              </controlPr>
            </control>
          </mc:Choice>
        </mc:AlternateContent>
        <mc:AlternateContent xmlns:mc="http://schemas.openxmlformats.org/markup-compatibility/2006">
          <mc:Choice Requires="x14">
            <control shapeId="149539" r:id="rId4" name="Button 35">
              <controlPr defaultSize="0" print="0" autoPict="0" macro="[0]!Sheet26.ClearCellValues_AppFilenameclear_02">
                <anchor moveWithCells="1" sizeWithCells="1">
                  <from>
                    <xdr:col>12</xdr:col>
                    <xdr:colOff>69850</xdr:colOff>
                    <xdr:row>14</xdr:row>
                    <xdr:rowOff>171450</xdr:rowOff>
                  </from>
                  <to>
                    <xdr:col>16</xdr:col>
                    <xdr:colOff>57150</xdr:colOff>
                    <xdr:row>16</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AppDropdown!$F$2:$F$12</xm:f>
          </x14:formula1>
          <xm:sqref>F9:J9</xm:sqref>
        </x14:dataValidation>
        <x14:dataValidation type="list" allowBlank="1" showInputMessage="1" showErrorMessage="1" xr:uid="{00000000-0002-0000-0100-000001000000}">
          <x14:formula1>
            <xm:f>'101.Vlook Up'!$A$112:$A$125</xm:f>
          </x14:formula1>
          <xm:sqref>F11:J11</xm:sqref>
        </x14:dataValidation>
        <x14:dataValidation type="list" allowBlank="1" showInputMessage="1" showErrorMessage="1" xr:uid="{00000000-0002-0000-0100-000002000000}">
          <x14:formula1>
            <xm:f>AppDropdown!$AQ$2:$AQ$26</xm:f>
          </x14:formula1>
          <xm:sqref>F13:J13</xm:sqref>
        </x14:dataValidation>
        <x14:dataValidation type="list" allowBlank="1" showInputMessage="1" showErrorMessage="1" xr:uid="{00000000-0002-0000-0100-000003000000}">
          <x14:formula1>
            <xm:f>AppDropdown!$B$2:$B$13</xm:f>
          </x14:formula1>
          <xm:sqref>F15:J15</xm:sqref>
        </x14:dataValidation>
        <x14:dataValidation type="list" allowBlank="1" showInputMessage="1" showErrorMessage="1" xr:uid="{00000000-0002-0000-0100-000004000000}">
          <x14:formula1>
            <xm:f>AppDropdown!$A$2:$A$7</xm:f>
          </x14:formula1>
          <xm:sqref>F17:J17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2:AB51"/>
  <sheetViews>
    <sheetView workbookViewId="0">
      <selection activeCell="B1" sqref="B1"/>
    </sheetView>
  </sheetViews>
  <sheetFormatPr defaultColWidth="20.7265625" defaultRowHeight="14.5"/>
  <cols>
    <col min="1" max="1" width="3" customWidth="1"/>
    <col min="2" max="2" width="32.54296875" customWidth="1"/>
    <col min="3" max="3" width="34.7265625" customWidth="1"/>
    <col min="4" max="4" width="21.7265625" customWidth="1"/>
    <col min="5" max="6" width="20.26953125" customWidth="1"/>
    <col min="7" max="8" width="18.453125" customWidth="1"/>
    <col min="9" max="10" width="16.26953125" customWidth="1"/>
    <col min="11" max="11" width="24.54296875" customWidth="1"/>
    <col min="12" max="12" width="15.1796875" customWidth="1"/>
    <col min="13" max="13" width="14.1796875" customWidth="1"/>
    <col min="14" max="25" width="9.26953125" customWidth="1"/>
  </cols>
  <sheetData>
    <row r="2" spans="1:28" s="316" customFormat="1" ht="15.5">
      <c r="A2" s="318"/>
      <c r="B2" s="318" t="s">
        <v>42</v>
      </c>
      <c r="C2" s="319" t="s">
        <v>43</v>
      </c>
      <c r="D2" s="319" t="s">
        <v>44</v>
      </c>
      <c r="E2" s="319" t="s">
        <v>45</v>
      </c>
      <c r="F2" s="319" t="s">
        <v>46</v>
      </c>
      <c r="G2" s="319"/>
      <c r="H2" s="319"/>
      <c r="I2" s="319"/>
      <c r="J2" s="319"/>
      <c r="K2" s="319"/>
      <c r="L2" s="319"/>
      <c r="M2" s="319"/>
      <c r="N2" s="319"/>
      <c r="O2" s="319"/>
      <c r="P2" s="319"/>
      <c r="Q2" s="319"/>
      <c r="R2" s="319"/>
      <c r="S2" s="319"/>
      <c r="T2" s="319"/>
      <c r="U2" s="319"/>
      <c r="V2" s="319"/>
      <c r="W2" s="319"/>
      <c r="X2" s="319"/>
      <c r="Y2" s="319"/>
      <c r="Z2" s="336"/>
      <c r="AA2" s="316" t="s">
        <v>47</v>
      </c>
    </row>
    <row r="3" spans="1:28" ht="15.5">
      <c r="A3" s="320">
        <v>1</v>
      </c>
      <c r="B3" s="320" t="s">
        <v>48</v>
      </c>
      <c r="C3" s="311" t="s">
        <v>49</v>
      </c>
      <c r="D3" s="311" t="s">
        <v>49</v>
      </c>
      <c r="E3" s="311" t="s">
        <v>49</v>
      </c>
      <c r="F3" s="311" t="s">
        <v>49</v>
      </c>
      <c r="G3" s="311"/>
      <c r="H3" s="311"/>
      <c r="I3" s="311" t="s">
        <v>50</v>
      </c>
      <c r="J3" s="311" t="s">
        <v>50</v>
      </c>
      <c r="K3" s="311" t="s">
        <v>50</v>
      </c>
      <c r="L3" s="311"/>
      <c r="M3" s="311"/>
      <c r="N3" s="311"/>
      <c r="O3" s="311"/>
      <c r="P3" s="311"/>
      <c r="Q3" s="311"/>
      <c r="R3" s="311"/>
      <c r="S3" s="311"/>
      <c r="T3" s="311"/>
      <c r="U3" s="311"/>
      <c r="V3" s="311"/>
      <c r="W3" s="311"/>
      <c r="X3" s="311"/>
      <c r="Y3" s="311"/>
    </row>
    <row r="4" spans="1:28" ht="15.5">
      <c r="A4" s="320">
        <v>2</v>
      </c>
      <c r="B4" s="320" t="s">
        <v>51</v>
      </c>
      <c r="C4" s="311"/>
      <c r="D4" s="311"/>
      <c r="E4" s="311"/>
      <c r="F4" s="311">
        <v>1</v>
      </c>
      <c r="G4" s="311">
        <v>2</v>
      </c>
      <c r="H4" s="311">
        <v>3</v>
      </c>
      <c r="I4" s="311"/>
      <c r="J4" s="311"/>
      <c r="K4" s="311"/>
      <c r="L4" s="311"/>
      <c r="M4" s="311"/>
      <c r="N4" s="311"/>
      <c r="O4" s="311"/>
      <c r="P4" s="311"/>
      <c r="Q4" s="311"/>
      <c r="R4" s="311"/>
      <c r="S4" s="311"/>
      <c r="T4" s="311"/>
      <c r="U4" s="311"/>
      <c r="V4" s="311"/>
      <c r="W4" s="311"/>
      <c r="X4" s="311"/>
      <c r="Y4" s="311"/>
    </row>
    <row r="5" spans="1:28" ht="15.5">
      <c r="A5" s="320">
        <v>3</v>
      </c>
      <c r="B5" s="320" t="s">
        <v>52</v>
      </c>
      <c r="C5" s="311"/>
      <c r="D5" s="321"/>
      <c r="E5" s="311"/>
      <c r="F5" s="321">
        <v>44588</v>
      </c>
      <c r="G5" s="311"/>
      <c r="H5" s="311"/>
      <c r="I5" s="311"/>
      <c r="J5" s="311"/>
      <c r="K5" s="311"/>
      <c r="L5" s="311"/>
      <c r="M5" s="311"/>
      <c r="N5" s="311"/>
      <c r="O5" s="311"/>
      <c r="P5" s="311"/>
      <c r="Q5" s="311"/>
      <c r="R5" s="311"/>
      <c r="S5" s="311"/>
      <c r="T5" s="311"/>
      <c r="U5" s="311"/>
      <c r="V5" s="311"/>
      <c r="W5" s="311"/>
      <c r="X5" s="311"/>
      <c r="Y5" s="311"/>
    </row>
    <row r="6" spans="1:28" ht="15.5">
      <c r="A6" s="320">
        <v>4</v>
      </c>
      <c r="B6" s="320" t="s">
        <v>53</v>
      </c>
      <c r="C6" s="311" t="s">
        <v>54</v>
      </c>
      <c r="D6" s="311" t="s">
        <v>54</v>
      </c>
      <c r="E6" s="311" t="s">
        <v>54</v>
      </c>
      <c r="F6" s="311" t="s">
        <v>55</v>
      </c>
      <c r="G6" s="311" t="s">
        <v>55</v>
      </c>
      <c r="H6" s="311" t="s">
        <v>55</v>
      </c>
      <c r="I6" s="311"/>
      <c r="J6" s="311"/>
      <c r="K6" s="311"/>
      <c r="L6" s="311"/>
      <c r="M6" s="311"/>
      <c r="N6" s="311"/>
      <c r="O6" s="311"/>
      <c r="P6" s="311"/>
      <c r="Q6" s="311"/>
      <c r="R6" s="311"/>
      <c r="S6" s="311"/>
      <c r="T6" s="311"/>
      <c r="U6" s="311"/>
      <c r="V6" s="311"/>
      <c r="W6" s="311"/>
      <c r="X6" s="311"/>
      <c r="Y6" s="311"/>
    </row>
    <row r="7" spans="1:28" ht="15.5">
      <c r="A7" s="320">
        <v>5</v>
      </c>
      <c r="B7" s="320" t="s">
        <v>56</v>
      </c>
      <c r="C7" s="311" t="s">
        <v>57</v>
      </c>
      <c r="D7" s="311" t="s">
        <v>57</v>
      </c>
      <c r="E7" s="311" t="s">
        <v>57</v>
      </c>
      <c r="F7" s="311" t="s">
        <v>54</v>
      </c>
      <c r="G7" s="322" t="s">
        <v>54</v>
      </c>
      <c r="H7" s="311" t="s">
        <v>54</v>
      </c>
      <c r="I7" s="311"/>
      <c r="J7" s="311"/>
      <c r="K7" s="311"/>
      <c r="L7" s="311"/>
      <c r="M7" s="311"/>
      <c r="N7" s="311"/>
      <c r="O7" s="311"/>
      <c r="P7" s="311"/>
      <c r="Q7" s="311"/>
      <c r="R7" s="311"/>
      <c r="S7" s="311"/>
      <c r="T7" s="311"/>
      <c r="U7" s="311"/>
      <c r="V7" s="311"/>
      <c r="W7" s="311"/>
      <c r="X7" s="311"/>
      <c r="Y7" s="311"/>
    </row>
    <row r="8" spans="1:28" ht="15.5">
      <c r="A8" s="320">
        <v>6</v>
      </c>
      <c r="B8" s="320" t="s">
        <v>31</v>
      </c>
      <c r="C8" s="311" t="s">
        <v>58</v>
      </c>
      <c r="D8" s="311"/>
      <c r="E8" s="311"/>
      <c r="F8" s="311" t="s">
        <v>58</v>
      </c>
      <c r="G8" s="311"/>
      <c r="H8" s="311"/>
      <c r="I8" s="311"/>
      <c r="J8" s="311"/>
      <c r="K8" s="311"/>
      <c r="L8" s="311"/>
      <c r="M8" s="311"/>
      <c r="N8" s="311"/>
      <c r="O8" s="311"/>
      <c r="P8" s="311"/>
      <c r="Q8" s="311"/>
      <c r="R8" s="311"/>
      <c r="S8" s="311"/>
      <c r="T8" s="311"/>
      <c r="U8" s="311"/>
      <c r="V8" s="311"/>
      <c r="W8" s="311"/>
      <c r="X8" s="311"/>
      <c r="Y8" s="311"/>
    </row>
    <row r="9" spans="1:28" ht="15.5">
      <c r="A9" s="320">
        <v>7</v>
      </c>
      <c r="B9" s="320" t="s">
        <v>59</v>
      </c>
      <c r="C9" s="311" t="s">
        <v>60</v>
      </c>
      <c r="D9" s="311"/>
      <c r="E9" s="311"/>
      <c r="F9" s="311" t="s">
        <v>60</v>
      </c>
      <c r="G9" s="311"/>
      <c r="H9" s="311"/>
      <c r="I9" s="311"/>
      <c r="J9" s="311"/>
      <c r="K9" s="311"/>
      <c r="L9" s="311"/>
      <c r="M9" s="311"/>
      <c r="N9" s="311"/>
      <c r="O9" s="311"/>
      <c r="P9" s="311"/>
      <c r="Q9" s="311"/>
      <c r="R9" s="311"/>
      <c r="S9" s="311"/>
      <c r="T9" s="311"/>
      <c r="U9" s="311"/>
      <c r="V9" s="311"/>
      <c r="W9" s="311"/>
      <c r="X9" s="311"/>
      <c r="Y9" s="311"/>
    </row>
    <row r="10" spans="1:28" ht="15.5">
      <c r="A10" s="320">
        <v>8</v>
      </c>
      <c r="B10" s="320" t="s">
        <v>61</v>
      </c>
      <c r="C10" s="311" t="s">
        <v>62</v>
      </c>
      <c r="D10" s="311"/>
      <c r="E10" s="311"/>
      <c r="F10" s="311" t="s">
        <v>62</v>
      </c>
      <c r="G10" s="311"/>
      <c r="H10" s="311"/>
      <c r="I10" s="311"/>
      <c r="J10" s="311"/>
      <c r="K10" s="311"/>
      <c r="L10" s="311"/>
      <c r="M10" s="311"/>
      <c r="N10" s="311"/>
      <c r="O10" s="311"/>
      <c r="P10" s="311"/>
      <c r="Q10" s="311"/>
      <c r="R10" s="311"/>
      <c r="S10" s="311"/>
      <c r="T10" s="311"/>
      <c r="U10" s="311"/>
      <c r="V10" s="311"/>
      <c r="W10" s="311"/>
      <c r="X10" s="311"/>
      <c r="Y10" s="311"/>
    </row>
    <row r="11" spans="1:28" ht="15.5">
      <c r="A11" s="320">
        <v>9</v>
      </c>
      <c r="B11" s="320" t="s">
        <v>63</v>
      </c>
      <c r="C11" s="311" t="s">
        <v>64</v>
      </c>
      <c r="D11" s="311"/>
      <c r="E11" s="311"/>
      <c r="F11" s="311" t="s">
        <v>64</v>
      </c>
      <c r="G11" s="311"/>
      <c r="H11" s="311"/>
      <c r="I11" s="311"/>
      <c r="J11" s="311"/>
      <c r="K11" s="311"/>
      <c r="L11" s="311"/>
      <c r="M11" s="311"/>
      <c r="N11" s="311"/>
      <c r="O11" s="311"/>
      <c r="P11" s="311"/>
      <c r="Q11" s="311"/>
      <c r="R11" s="311"/>
      <c r="S11" s="311"/>
      <c r="T11" s="311"/>
      <c r="U11" s="311"/>
      <c r="V11" s="311"/>
      <c r="W11" s="311"/>
      <c r="X11" s="311"/>
      <c r="Y11" s="311"/>
    </row>
    <row r="12" spans="1:28" ht="15.5">
      <c r="A12" s="320">
        <v>10</v>
      </c>
      <c r="B12" s="320" t="s">
        <v>65</v>
      </c>
      <c r="C12" s="323" t="s">
        <v>66</v>
      </c>
      <c r="D12" s="323"/>
      <c r="E12" s="323"/>
      <c r="F12" s="323" t="s">
        <v>66</v>
      </c>
      <c r="G12" s="323"/>
      <c r="H12" s="323"/>
      <c r="I12" s="323"/>
      <c r="J12" s="323"/>
      <c r="K12" s="323"/>
      <c r="L12" s="323"/>
      <c r="M12" s="323"/>
      <c r="N12" s="323"/>
      <c r="O12" s="323"/>
      <c r="P12" s="323"/>
      <c r="Q12" s="323"/>
      <c r="R12" s="323"/>
      <c r="S12" s="323"/>
      <c r="T12" s="323"/>
      <c r="U12" s="323"/>
      <c r="V12" s="323"/>
      <c r="W12" s="323"/>
      <c r="X12" s="323"/>
      <c r="Y12" s="323"/>
      <c r="AA12" t="str" cm="1">
        <f t="array" ref="AA12:AB12">_xlfn.UNIQUE(C12:Y12,TRUE,FALSE)</f>
        <v>Grama Panchayat</v>
      </c>
      <c r="AB12">
        <v>0</v>
      </c>
    </row>
    <row r="13" spans="1:28" ht="15.5">
      <c r="A13" s="320">
        <v>11</v>
      </c>
      <c r="B13" s="320" t="s">
        <v>67</v>
      </c>
      <c r="C13" s="311" t="s">
        <v>68</v>
      </c>
      <c r="D13" s="311"/>
      <c r="E13" s="311"/>
      <c r="F13" s="311" t="s">
        <v>68</v>
      </c>
      <c r="G13" s="311"/>
      <c r="H13" s="311"/>
      <c r="I13" s="311"/>
      <c r="J13" s="311"/>
      <c r="K13" s="311"/>
      <c r="L13" s="311"/>
      <c r="M13" s="311"/>
      <c r="N13" s="311"/>
      <c r="O13" s="311"/>
      <c r="P13" s="311"/>
      <c r="Q13" s="311"/>
      <c r="R13" s="311"/>
      <c r="S13" s="311"/>
      <c r="T13" s="311"/>
      <c r="U13" s="311"/>
      <c r="V13" s="311"/>
      <c r="W13" s="311"/>
      <c r="X13" s="311"/>
      <c r="Y13" s="311"/>
    </row>
    <row r="14" spans="1:28" ht="15.5">
      <c r="A14" s="320">
        <v>12</v>
      </c>
      <c r="B14" s="320" t="s">
        <v>69</v>
      </c>
      <c r="C14" s="324"/>
      <c r="D14" s="324">
        <v>3</v>
      </c>
      <c r="E14" s="324">
        <v>3</v>
      </c>
      <c r="F14" s="324">
        <v>3</v>
      </c>
      <c r="G14" s="324">
        <v>3</v>
      </c>
      <c r="H14" s="324">
        <v>3</v>
      </c>
      <c r="I14" s="324">
        <v>3</v>
      </c>
      <c r="J14" s="324">
        <v>3</v>
      </c>
      <c r="K14" s="324">
        <v>3</v>
      </c>
      <c r="L14" s="324"/>
      <c r="M14" s="324"/>
      <c r="N14" s="324"/>
      <c r="O14" s="324"/>
      <c r="P14" s="324"/>
      <c r="Q14" s="324"/>
      <c r="R14" s="324"/>
      <c r="S14" s="324"/>
      <c r="T14" s="324"/>
      <c r="U14" s="324"/>
      <c r="V14" s="324"/>
      <c r="W14" s="324"/>
      <c r="X14" s="324"/>
      <c r="Y14" s="324"/>
    </row>
    <row r="15" spans="1:28" ht="15.5">
      <c r="A15" s="320">
        <v>13</v>
      </c>
      <c r="B15" s="320" t="s">
        <v>70</v>
      </c>
      <c r="C15" s="324">
        <v>254</v>
      </c>
      <c r="D15" s="324">
        <v>254</v>
      </c>
      <c r="E15" s="324">
        <v>254</v>
      </c>
      <c r="F15" s="324">
        <v>254</v>
      </c>
      <c r="G15" s="324">
        <v>254</v>
      </c>
      <c r="H15" s="324">
        <v>254</v>
      </c>
      <c r="I15" s="324">
        <v>254</v>
      </c>
      <c r="J15" s="324">
        <v>254</v>
      </c>
      <c r="K15" s="324">
        <v>254</v>
      </c>
      <c r="L15" s="324"/>
      <c r="M15" s="324"/>
      <c r="N15" s="324"/>
      <c r="O15" s="324"/>
      <c r="P15" s="324"/>
      <c r="Q15" s="324"/>
      <c r="R15" s="324"/>
      <c r="S15" s="324"/>
      <c r="T15" s="324"/>
      <c r="U15" s="324"/>
      <c r="V15" s="324"/>
      <c r="W15" s="324"/>
      <c r="X15" s="324"/>
      <c r="Y15" s="324"/>
    </row>
    <row r="16" spans="1:28" s="317" customFormat="1" ht="15.5">
      <c r="A16" s="325">
        <v>14</v>
      </c>
      <c r="B16" s="325" t="s">
        <v>71</v>
      </c>
      <c r="C16" s="326" t="s">
        <v>72</v>
      </c>
      <c r="D16" s="326" t="s">
        <v>73</v>
      </c>
      <c r="E16" s="326" t="s">
        <v>74</v>
      </c>
      <c r="F16" s="326" t="s">
        <v>75</v>
      </c>
      <c r="G16" s="326" t="s">
        <v>76</v>
      </c>
      <c r="H16" s="326" t="s">
        <v>74</v>
      </c>
      <c r="I16" s="326" t="s">
        <v>74</v>
      </c>
      <c r="J16" s="326" t="s">
        <v>76</v>
      </c>
      <c r="K16" s="326" t="s">
        <v>72</v>
      </c>
      <c r="L16" s="326"/>
      <c r="M16" s="326"/>
      <c r="N16" s="326"/>
      <c r="O16" s="326"/>
      <c r="P16" s="326"/>
      <c r="Q16" s="326"/>
      <c r="R16" s="326"/>
      <c r="S16" s="326"/>
      <c r="T16" s="326"/>
      <c r="U16" s="326"/>
      <c r="V16" s="326"/>
      <c r="W16" s="326"/>
      <c r="X16" s="326"/>
      <c r="Y16" s="326"/>
    </row>
    <row r="17" spans="1:25" ht="15.5">
      <c r="A17" s="320">
        <v>15</v>
      </c>
      <c r="B17" s="320" t="s">
        <v>77</v>
      </c>
      <c r="C17" s="324"/>
      <c r="D17" s="324"/>
      <c r="E17" s="324"/>
      <c r="F17" s="324"/>
      <c r="G17" s="324"/>
      <c r="H17" s="324"/>
      <c r="I17" s="324"/>
      <c r="J17" s="324"/>
      <c r="K17" s="324"/>
      <c r="L17" s="324"/>
      <c r="M17" s="324"/>
      <c r="N17" s="324"/>
      <c r="O17" s="324"/>
      <c r="P17" s="324"/>
      <c r="Q17" s="324"/>
      <c r="R17" s="324"/>
      <c r="S17" s="324"/>
      <c r="T17" s="324"/>
      <c r="U17" s="324"/>
      <c r="V17" s="324"/>
      <c r="W17" s="324"/>
      <c r="X17" s="324"/>
      <c r="Y17" s="324"/>
    </row>
    <row r="18" spans="1:25" ht="15.5">
      <c r="A18" s="320">
        <v>16</v>
      </c>
      <c r="B18" s="320" t="s">
        <v>78</v>
      </c>
      <c r="C18" s="324"/>
      <c r="D18" s="324"/>
      <c r="E18" s="324"/>
      <c r="F18" s="324"/>
      <c r="G18" s="324"/>
      <c r="H18" s="324"/>
      <c r="I18" s="324"/>
      <c r="J18" s="324"/>
      <c r="K18" s="324"/>
      <c r="L18" s="324"/>
      <c r="M18" s="324"/>
      <c r="N18" s="324"/>
      <c r="O18" s="324"/>
      <c r="P18" s="324"/>
      <c r="Q18" s="324"/>
      <c r="R18" s="324"/>
      <c r="S18" s="324"/>
      <c r="T18" s="324"/>
      <c r="U18" s="324"/>
      <c r="V18" s="324"/>
      <c r="W18" s="324"/>
      <c r="X18" s="324"/>
      <c r="Y18" s="324"/>
    </row>
    <row r="19" spans="1:25" ht="15.5">
      <c r="A19" s="320">
        <v>17</v>
      </c>
      <c r="B19" s="320" t="s">
        <v>79</v>
      </c>
      <c r="C19" s="324"/>
      <c r="D19" s="324"/>
      <c r="E19" s="324"/>
      <c r="F19" s="324"/>
      <c r="G19" s="324"/>
      <c r="H19" s="324"/>
      <c r="I19" s="324"/>
      <c r="J19" s="324"/>
      <c r="K19" s="324"/>
      <c r="L19" s="324"/>
      <c r="M19" s="324"/>
      <c r="N19" s="324"/>
      <c r="O19" s="324"/>
      <c r="P19" s="324"/>
      <c r="Q19" s="324"/>
      <c r="R19" s="324"/>
      <c r="S19" s="324"/>
      <c r="T19" s="324"/>
      <c r="U19" s="324"/>
      <c r="V19" s="324"/>
      <c r="W19" s="324"/>
      <c r="X19" s="324"/>
      <c r="Y19" s="324"/>
    </row>
    <row r="20" spans="1:25" ht="15.5">
      <c r="A20" s="320">
        <v>18</v>
      </c>
      <c r="B20" s="320" t="s">
        <v>80</v>
      </c>
      <c r="C20" s="324"/>
      <c r="D20" s="324"/>
      <c r="E20" s="324"/>
      <c r="F20" s="324"/>
      <c r="G20" s="324"/>
      <c r="H20" s="324"/>
      <c r="I20" s="324"/>
      <c r="J20" s="324"/>
      <c r="K20" s="324"/>
      <c r="L20" s="324"/>
      <c r="M20" s="324"/>
      <c r="N20" s="324"/>
      <c r="O20" s="324"/>
      <c r="P20" s="324"/>
      <c r="Q20" s="324"/>
      <c r="R20" s="324"/>
      <c r="S20" s="324"/>
      <c r="T20" s="324"/>
      <c r="U20" s="324"/>
      <c r="V20" s="324"/>
      <c r="W20" s="324"/>
      <c r="X20" s="324"/>
      <c r="Y20" s="324"/>
    </row>
    <row r="21" spans="1:25" ht="15.5">
      <c r="A21" s="320">
        <v>19</v>
      </c>
      <c r="B21" s="320" t="s">
        <v>81</v>
      </c>
      <c r="C21" s="324"/>
      <c r="D21" s="324"/>
      <c r="E21" s="324"/>
      <c r="F21" s="324"/>
      <c r="G21" s="324"/>
      <c r="H21" s="324"/>
      <c r="I21" s="324"/>
      <c r="J21" s="324"/>
      <c r="K21" s="324"/>
      <c r="L21" s="324"/>
      <c r="M21" s="324"/>
      <c r="N21" s="324"/>
      <c r="O21" s="324"/>
      <c r="P21" s="324"/>
      <c r="Q21" s="324"/>
      <c r="R21" s="324"/>
      <c r="S21" s="324"/>
      <c r="T21" s="324"/>
      <c r="U21" s="324"/>
      <c r="V21" s="324"/>
      <c r="W21" s="324"/>
      <c r="X21" s="324"/>
      <c r="Y21" s="324"/>
    </row>
    <row r="22" spans="1:25" ht="15.5">
      <c r="A22" s="320">
        <v>20</v>
      </c>
      <c r="B22" s="320" t="s">
        <v>82</v>
      </c>
      <c r="C22" s="324"/>
      <c r="D22" s="324"/>
      <c r="E22" s="324"/>
      <c r="F22" s="324"/>
      <c r="G22" s="324"/>
      <c r="H22" s="324"/>
      <c r="I22" s="324"/>
      <c r="J22" s="324"/>
      <c r="K22" s="324"/>
      <c r="L22" s="324"/>
      <c r="M22" s="324"/>
      <c r="N22" s="324"/>
      <c r="O22" s="324"/>
      <c r="P22" s="324"/>
      <c r="Q22" s="324"/>
      <c r="R22" s="324"/>
      <c r="S22" s="324"/>
      <c r="T22" s="324"/>
      <c r="U22" s="324"/>
      <c r="V22" s="324"/>
      <c r="W22" s="324"/>
      <c r="X22" s="324"/>
      <c r="Y22" s="324"/>
    </row>
    <row r="23" spans="1:25" ht="15.5">
      <c r="A23" s="320">
        <v>21</v>
      </c>
      <c r="B23" s="320" t="s">
        <v>83</v>
      </c>
      <c r="C23" s="327">
        <v>2.0699999999999998</v>
      </c>
      <c r="D23" s="327">
        <v>2.1</v>
      </c>
      <c r="E23" s="327">
        <v>0.79</v>
      </c>
      <c r="F23" s="327">
        <v>4.1500000000000004</v>
      </c>
      <c r="G23" s="327">
        <v>4.1500000000000004</v>
      </c>
      <c r="H23" s="327">
        <v>4.1500000000000004</v>
      </c>
      <c r="I23" s="327">
        <v>3.22</v>
      </c>
      <c r="J23" s="327">
        <v>2.41</v>
      </c>
      <c r="K23" s="327">
        <v>2.5499999999999998</v>
      </c>
      <c r="L23" s="327"/>
      <c r="M23" s="327"/>
      <c r="N23" s="327"/>
      <c r="O23" s="327"/>
      <c r="P23" s="327"/>
      <c r="Q23" s="327"/>
      <c r="R23" s="327"/>
      <c r="S23" s="327"/>
      <c r="T23" s="327"/>
      <c r="U23" s="327"/>
      <c r="V23" s="327"/>
      <c r="W23" s="327"/>
      <c r="X23" s="327"/>
      <c r="Y23" s="327"/>
    </row>
    <row r="24" spans="1:25" ht="15.5">
      <c r="A24" s="320">
        <v>22</v>
      </c>
      <c r="B24" s="320" t="s">
        <v>84</v>
      </c>
      <c r="C24" s="323"/>
      <c r="D24" s="323"/>
      <c r="E24" s="323"/>
      <c r="F24" s="323" t="s">
        <v>85</v>
      </c>
      <c r="G24" s="323" t="s">
        <v>85</v>
      </c>
      <c r="H24" s="323" t="s">
        <v>86</v>
      </c>
      <c r="I24" s="323" t="s">
        <v>87</v>
      </c>
      <c r="J24" s="323"/>
      <c r="K24" s="323"/>
      <c r="L24" s="323"/>
      <c r="M24" s="323"/>
      <c r="N24" s="323"/>
      <c r="O24" s="323"/>
      <c r="P24" s="323"/>
      <c r="Q24" s="323"/>
      <c r="R24" s="323"/>
      <c r="S24" s="323"/>
      <c r="T24" s="323"/>
      <c r="U24" s="323"/>
      <c r="V24" s="323"/>
      <c r="W24" s="323"/>
      <c r="X24" s="323"/>
      <c r="Y24" s="323"/>
    </row>
    <row r="25" spans="1:25" ht="15.5">
      <c r="A25" s="320"/>
      <c r="B25" s="328" t="s">
        <v>88</v>
      </c>
      <c r="C25" s="311"/>
      <c r="D25" s="311"/>
      <c r="E25" s="311"/>
      <c r="F25" s="311" t="s">
        <v>89</v>
      </c>
      <c r="G25" s="311" t="s">
        <v>89</v>
      </c>
      <c r="H25" s="311" t="s">
        <v>89</v>
      </c>
      <c r="I25" s="311" t="s">
        <v>90</v>
      </c>
      <c r="J25" s="311" t="s">
        <v>90</v>
      </c>
      <c r="K25" s="311" t="s">
        <v>90</v>
      </c>
      <c r="L25" s="311" t="s">
        <v>90</v>
      </c>
      <c r="M25" s="311"/>
      <c r="N25" s="311"/>
      <c r="O25" s="311"/>
      <c r="P25" s="311"/>
      <c r="Q25" s="311"/>
      <c r="R25" s="311"/>
      <c r="S25" s="311"/>
      <c r="T25" s="311"/>
      <c r="U25" s="311"/>
      <c r="V25" s="311"/>
      <c r="W25" s="311"/>
      <c r="X25" s="311"/>
      <c r="Y25" s="311"/>
    </row>
    <row r="26" spans="1:25" ht="15.5">
      <c r="A26" s="320">
        <v>24</v>
      </c>
      <c r="B26" s="320" t="s">
        <v>91</v>
      </c>
      <c r="C26" s="311"/>
      <c r="D26" s="311"/>
      <c r="E26" s="311"/>
      <c r="F26" s="311" t="s">
        <v>92</v>
      </c>
      <c r="G26" s="311" t="s">
        <v>92</v>
      </c>
      <c r="H26" s="311" t="s">
        <v>92</v>
      </c>
      <c r="I26" s="311" t="s">
        <v>93</v>
      </c>
      <c r="J26" s="311" t="s">
        <v>93</v>
      </c>
      <c r="K26" s="311" t="s">
        <v>93</v>
      </c>
      <c r="L26" s="311" t="s">
        <v>93</v>
      </c>
      <c r="M26" s="311"/>
      <c r="N26" s="311"/>
      <c r="O26" s="311"/>
      <c r="P26" s="311"/>
      <c r="Q26" s="311"/>
      <c r="R26" s="311"/>
      <c r="S26" s="311"/>
      <c r="T26" s="311"/>
      <c r="U26" s="311"/>
      <c r="V26" s="311"/>
      <c r="W26" s="311"/>
      <c r="X26" s="311"/>
      <c r="Y26" s="311"/>
    </row>
    <row r="27" spans="1:25" ht="15.5">
      <c r="A27" s="320">
        <v>25</v>
      </c>
      <c r="B27" s="320" t="s">
        <v>94</v>
      </c>
      <c r="C27" s="311"/>
      <c r="D27" s="311"/>
      <c r="E27" s="311"/>
      <c r="F27" s="311" t="s">
        <v>95</v>
      </c>
      <c r="G27" s="311" t="s">
        <v>95</v>
      </c>
      <c r="H27" s="311" t="s">
        <v>95</v>
      </c>
      <c r="I27" s="311" t="s">
        <v>96</v>
      </c>
      <c r="J27" s="311" t="s">
        <v>96</v>
      </c>
      <c r="K27" s="311" t="s">
        <v>96</v>
      </c>
      <c r="L27" s="311" t="s">
        <v>96</v>
      </c>
      <c r="M27" s="311"/>
      <c r="N27" s="311"/>
      <c r="O27" s="311"/>
      <c r="P27" s="311"/>
      <c r="Q27" s="311"/>
      <c r="R27" s="311"/>
      <c r="S27" s="311"/>
      <c r="T27" s="311"/>
      <c r="U27" s="311"/>
      <c r="V27" s="311"/>
      <c r="W27" s="311"/>
      <c r="X27" s="311"/>
      <c r="Y27" s="311"/>
    </row>
    <row r="28" spans="1:25" ht="15.5">
      <c r="A28" s="320">
        <v>26</v>
      </c>
      <c r="B28" s="320" t="s">
        <v>97</v>
      </c>
      <c r="C28" s="311"/>
      <c r="D28" s="311"/>
      <c r="E28" s="311"/>
      <c r="F28" s="311" t="s">
        <v>98</v>
      </c>
      <c r="G28" s="311" t="s">
        <v>98</v>
      </c>
      <c r="H28" s="311" t="s">
        <v>98</v>
      </c>
      <c r="I28" s="311" t="s">
        <v>99</v>
      </c>
      <c r="J28" s="311" t="s">
        <v>99</v>
      </c>
      <c r="K28" s="311" t="s">
        <v>99</v>
      </c>
      <c r="L28" s="311" t="s">
        <v>99</v>
      </c>
      <c r="M28" s="311"/>
      <c r="N28" s="311"/>
      <c r="O28" s="311"/>
      <c r="P28" s="311"/>
      <c r="Q28" s="311"/>
      <c r="R28" s="311"/>
      <c r="S28" s="311"/>
      <c r="T28" s="311"/>
      <c r="U28" s="311"/>
      <c r="V28" s="311"/>
      <c r="W28" s="311"/>
      <c r="X28" s="311"/>
      <c r="Y28" s="311"/>
    </row>
    <row r="29" spans="1:25" ht="15.5">
      <c r="A29" s="320">
        <v>27</v>
      </c>
      <c r="B29" s="320" t="s">
        <v>100</v>
      </c>
      <c r="C29" s="311"/>
      <c r="D29" s="311"/>
      <c r="E29" s="311"/>
      <c r="F29" s="311"/>
      <c r="G29" s="311"/>
      <c r="H29" s="311"/>
      <c r="I29" s="311"/>
      <c r="J29" s="311"/>
      <c r="K29" s="311"/>
      <c r="L29" s="311"/>
      <c r="M29" s="311"/>
      <c r="N29" s="311"/>
      <c r="O29" s="311"/>
      <c r="P29" s="311"/>
      <c r="Q29" s="311"/>
      <c r="R29" s="311"/>
      <c r="S29" s="311"/>
      <c r="T29" s="311"/>
      <c r="U29" s="311"/>
      <c r="V29" s="311"/>
      <c r="W29" s="311"/>
      <c r="X29" s="311"/>
      <c r="Y29" s="311"/>
    </row>
    <row r="30" spans="1:25" ht="15.5">
      <c r="A30" s="320">
        <v>28</v>
      </c>
      <c r="B30" s="320" t="s">
        <v>101</v>
      </c>
      <c r="C30" s="323"/>
      <c r="D30" s="323"/>
      <c r="E30" s="323" t="s">
        <v>102</v>
      </c>
      <c r="F30" s="323" t="s">
        <v>103</v>
      </c>
      <c r="G30" s="323" t="s">
        <v>102</v>
      </c>
      <c r="H30" s="323" t="s">
        <v>102</v>
      </c>
      <c r="I30" s="323" t="s">
        <v>104</v>
      </c>
      <c r="J30" s="323" t="s">
        <v>104</v>
      </c>
      <c r="K30" s="323" t="s">
        <v>104</v>
      </c>
      <c r="L30" s="323" t="s">
        <v>102</v>
      </c>
      <c r="M30" s="323" t="s">
        <v>102</v>
      </c>
      <c r="N30" s="323"/>
      <c r="O30" s="323"/>
      <c r="P30" s="323"/>
      <c r="Q30" s="323"/>
      <c r="R30" s="323"/>
      <c r="S30" s="323"/>
      <c r="T30" s="323"/>
      <c r="U30" s="323"/>
      <c r="V30" s="323"/>
      <c r="W30" s="323"/>
      <c r="X30" s="323"/>
      <c r="Y30" s="323"/>
    </row>
    <row r="31" spans="1:25" ht="15.5">
      <c r="A31" s="320">
        <v>29</v>
      </c>
      <c r="B31" s="320" t="s">
        <v>105</v>
      </c>
      <c r="C31" s="323"/>
      <c r="D31" s="323"/>
      <c r="E31" s="323"/>
      <c r="F31" s="323" t="s">
        <v>106</v>
      </c>
      <c r="G31" s="323"/>
      <c r="H31" s="323"/>
      <c r="I31" s="323"/>
      <c r="J31" s="323"/>
      <c r="K31" s="323"/>
      <c r="L31" s="323" t="s">
        <v>107</v>
      </c>
      <c r="M31" s="323"/>
      <c r="N31" s="323"/>
      <c r="O31" s="323"/>
      <c r="P31" s="323"/>
      <c r="Q31" s="323"/>
      <c r="R31" s="323"/>
      <c r="S31" s="323"/>
      <c r="T31" s="323"/>
      <c r="U31" s="323"/>
      <c r="V31" s="323"/>
      <c r="W31" s="323"/>
      <c r="X31" s="323"/>
      <c r="Y31" s="323"/>
    </row>
    <row r="32" spans="1:25" ht="15.5">
      <c r="A32" s="320">
        <v>30</v>
      </c>
      <c r="B32" s="320" t="s">
        <v>108</v>
      </c>
      <c r="C32" s="327"/>
      <c r="D32" s="311"/>
      <c r="E32" s="311"/>
      <c r="F32" s="311"/>
      <c r="G32" s="311"/>
      <c r="H32" s="311">
        <v>4</v>
      </c>
      <c r="I32" s="311">
        <v>4</v>
      </c>
      <c r="J32" s="311"/>
      <c r="K32" s="311"/>
      <c r="L32" s="311">
        <v>4</v>
      </c>
      <c r="M32" s="311">
        <v>14</v>
      </c>
      <c r="N32" s="311"/>
      <c r="O32" s="311"/>
      <c r="P32" s="311"/>
      <c r="Q32" s="311"/>
      <c r="R32" s="311"/>
      <c r="S32" s="311"/>
      <c r="T32" s="311"/>
      <c r="U32" s="311"/>
      <c r="V32" s="311"/>
      <c r="W32" s="311"/>
      <c r="X32" s="311"/>
      <c r="Y32" s="311"/>
    </row>
    <row r="33" spans="1:25" ht="15.5">
      <c r="A33" s="320">
        <v>31</v>
      </c>
      <c r="B33" s="320" t="s">
        <v>109</v>
      </c>
      <c r="C33" s="311"/>
      <c r="D33" s="311"/>
      <c r="E33" s="311"/>
      <c r="F33" s="311"/>
      <c r="G33" s="311"/>
      <c r="H33" s="311"/>
      <c r="I33" s="311"/>
      <c r="J33" s="311"/>
      <c r="K33" s="311"/>
      <c r="L33" s="311"/>
      <c r="M33" s="311"/>
      <c r="N33" s="311"/>
      <c r="O33" s="311"/>
      <c r="P33" s="311"/>
      <c r="Q33" s="311"/>
      <c r="R33" s="311"/>
      <c r="S33" s="311"/>
      <c r="T33" s="311"/>
      <c r="U33" s="311"/>
      <c r="V33" s="311"/>
      <c r="W33" s="311"/>
      <c r="X33" s="311"/>
      <c r="Y33" s="311"/>
    </row>
    <row r="34" spans="1:25" ht="15.5">
      <c r="A34" s="329"/>
      <c r="B34" s="330" t="s">
        <v>110</v>
      </c>
      <c r="C34" s="331"/>
      <c r="D34" s="331"/>
      <c r="E34" s="331"/>
      <c r="F34" s="331"/>
      <c r="G34" s="331"/>
      <c r="H34" s="331"/>
      <c r="I34" s="331"/>
      <c r="J34" s="331"/>
      <c r="K34" s="331"/>
      <c r="L34" s="331"/>
      <c r="M34" s="331"/>
      <c r="N34" s="331"/>
      <c r="O34" s="331"/>
      <c r="P34" s="331"/>
      <c r="Q34" s="331"/>
      <c r="R34" s="331"/>
      <c r="S34" s="331"/>
      <c r="T34" s="331"/>
      <c r="U34" s="331"/>
      <c r="V34" s="331"/>
      <c r="W34" s="331"/>
      <c r="X34" s="331"/>
      <c r="Y34" s="331"/>
    </row>
    <row r="35" spans="1:25" ht="15.5">
      <c r="A35" s="329">
        <v>1</v>
      </c>
      <c r="B35" s="329" t="s">
        <v>111</v>
      </c>
      <c r="C35" s="331"/>
      <c r="D35" s="331"/>
      <c r="E35" s="331"/>
      <c r="F35" s="331"/>
      <c r="G35" s="331"/>
      <c r="H35" s="331"/>
      <c r="I35" s="331"/>
      <c r="J35" s="331"/>
      <c r="K35" s="331"/>
      <c r="L35" s="331"/>
      <c r="M35" s="331"/>
      <c r="N35" s="331"/>
      <c r="O35" s="331"/>
      <c r="P35" s="331"/>
      <c r="Q35" s="331"/>
      <c r="R35" s="331"/>
      <c r="S35" s="331"/>
      <c r="T35" s="331"/>
      <c r="U35" s="331"/>
      <c r="V35" s="331"/>
      <c r="W35" s="331"/>
      <c r="X35" s="331"/>
      <c r="Y35" s="331"/>
    </row>
    <row r="36" spans="1:25">
      <c r="A36" s="332">
        <v>2</v>
      </c>
      <c r="B36" s="332" t="s">
        <v>112</v>
      </c>
      <c r="C36" s="333"/>
      <c r="D36" s="333"/>
      <c r="E36" s="333"/>
      <c r="F36" s="333"/>
      <c r="G36" s="333"/>
      <c r="H36" s="333"/>
      <c r="I36" s="333"/>
      <c r="J36" s="333"/>
      <c r="K36" s="333"/>
      <c r="L36" s="333"/>
      <c r="M36" s="333"/>
      <c r="N36" s="333"/>
      <c r="O36" s="333"/>
      <c r="P36" s="333"/>
      <c r="Q36" s="333"/>
      <c r="R36" s="333"/>
      <c r="S36" s="333"/>
      <c r="T36" s="333"/>
      <c r="U36" s="333"/>
      <c r="V36" s="333"/>
      <c r="W36" s="333"/>
      <c r="X36" s="333"/>
      <c r="Y36" s="333"/>
    </row>
    <row r="37" spans="1:25">
      <c r="A37" s="332">
        <v>3</v>
      </c>
      <c r="B37" s="332" t="s">
        <v>113</v>
      </c>
      <c r="C37" s="333"/>
      <c r="D37" s="333"/>
      <c r="E37" s="333"/>
      <c r="F37" s="333"/>
      <c r="G37" s="333"/>
      <c r="H37" s="333"/>
      <c r="I37" s="333"/>
      <c r="J37" s="333"/>
      <c r="K37" s="333"/>
      <c r="L37" s="333"/>
      <c r="M37" s="333"/>
      <c r="N37" s="333"/>
      <c r="O37" s="333"/>
      <c r="P37" s="333"/>
      <c r="Q37" s="333"/>
      <c r="R37" s="333"/>
      <c r="S37" s="333"/>
      <c r="T37" s="333"/>
      <c r="U37" s="333"/>
      <c r="V37" s="333"/>
      <c r="W37" s="333"/>
      <c r="X37" s="333"/>
      <c r="Y37" s="333"/>
    </row>
    <row r="38" spans="1:25">
      <c r="A38" s="332">
        <v>4</v>
      </c>
      <c r="B38" s="332" t="s">
        <v>114</v>
      </c>
      <c r="C38" s="333"/>
      <c r="D38" s="333"/>
      <c r="E38" s="333"/>
      <c r="F38" s="333"/>
      <c r="G38" s="333"/>
      <c r="H38" s="333"/>
      <c r="I38" s="333"/>
      <c r="J38" s="333"/>
      <c r="K38" s="333"/>
      <c r="L38" s="333"/>
      <c r="M38" s="333"/>
      <c r="N38" s="333"/>
      <c r="O38" s="333"/>
      <c r="P38" s="333"/>
      <c r="Q38" s="333"/>
      <c r="R38" s="333"/>
      <c r="S38" s="333"/>
      <c r="T38" s="333"/>
      <c r="U38" s="333"/>
      <c r="V38" s="333"/>
      <c r="W38" s="333"/>
      <c r="X38" s="333"/>
      <c r="Y38" s="333"/>
    </row>
    <row r="39" spans="1:25">
      <c r="A39" s="332">
        <v>5</v>
      </c>
      <c r="B39" s="332" t="s">
        <v>115</v>
      </c>
      <c r="C39" s="333"/>
      <c r="D39" s="333"/>
      <c r="E39" s="333"/>
      <c r="F39" s="333"/>
      <c r="G39" s="333"/>
      <c r="H39" s="333"/>
      <c r="I39" s="333"/>
      <c r="J39" s="333"/>
      <c r="K39" s="333"/>
      <c r="L39" s="333"/>
      <c r="M39" s="333"/>
      <c r="N39" s="333"/>
      <c r="O39" s="333"/>
      <c r="P39" s="333"/>
      <c r="Q39" s="333"/>
      <c r="R39" s="333"/>
      <c r="S39" s="333"/>
      <c r="T39" s="333"/>
      <c r="U39" s="333"/>
      <c r="V39" s="333"/>
      <c r="W39" s="333"/>
      <c r="X39" s="333"/>
      <c r="Y39" s="333"/>
    </row>
    <row r="40" spans="1:25">
      <c r="A40" s="332">
        <v>6</v>
      </c>
      <c r="B40" s="332" t="s">
        <v>116</v>
      </c>
      <c r="C40" s="333"/>
      <c r="D40" s="333"/>
      <c r="E40" s="333"/>
      <c r="F40" s="333"/>
      <c r="G40" s="333"/>
      <c r="H40" s="333"/>
      <c r="I40" s="333"/>
      <c r="J40" s="333"/>
      <c r="K40" s="333"/>
      <c r="L40" s="333"/>
      <c r="M40" s="333"/>
      <c r="N40" s="333"/>
      <c r="O40" s="333"/>
      <c r="P40" s="333"/>
      <c r="Q40" s="333"/>
      <c r="R40" s="333"/>
      <c r="S40" s="333"/>
      <c r="T40" s="333"/>
      <c r="U40" s="333"/>
      <c r="V40" s="333"/>
      <c r="W40" s="333"/>
      <c r="X40" s="333"/>
      <c r="Y40" s="333"/>
    </row>
    <row r="41" spans="1:25">
      <c r="A41" s="332"/>
      <c r="B41" s="334" t="s">
        <v>117</v>
      </c>
      <c r="C41" s="333"/>
      <c r="D41" s="333"/>
      <c r="E41" s="333"/>
      <c r="F41" s="333"/>
      <c r="G41" s="333"/>
      <c r="H41" s="333"/>
      <c r="I41" s="333"/>
      <c r="J41" s="333"/>
      <c r="K41" s="333"/>
      <c r="L41" s="333"/>
      <c r="M41" s="333"/>
      <c r="N41" s="333"/>
      <c r="O41" s="333"/>
      <c r="P41" s="333"/>
      <c r="Q41" s="333"/>
      <c r="R41" s="333"/>
      <c r="S41" s="333"/>
      <c r="T41" s="333"/>
      <c r="U41" s="333"/>
      <c r="V41" s="333"/>
      <c r="W41" s="333"/>
      <c r="X41" s="333"/>
      <c r="Y41" s="333"/>
    </row>
    <row r="42" spans="1:25">
      <c r="A42" s="332">
        <v>1</v>
      </c>
      <c r="B42" s="332" t="s">
        <v>118</v>
      </c>
      <c r="C42" s="333"/>
      <c r="D42" s="333"/>
      <c r="E42" s="333"/>
      <c r="F42" s="333"/>
      <c r="G42" s="333"/>
      <c r="H42" s="333"/>
      <c r="I42" s="333"/>
      <c r="J42" s="333"/>
      <c r="K42" s="333"/>
      <c r="L42" s="333"/>
      <c r="M42" s="333"/>
      <c r="N42" s="333"/>
      <c r="O42" s="333"/>
      <c r="P42" s="333"/>
      <c r="Q42" s="333"/>
      <c r="R42" s="333"/>
      <c r="S42" s="333"/>
      <c r="T42" s="333"/>
      <c r="U42" s="333"/>
      <c r="V42" s="333"/>
      <c r="W42" s="333"/>
      <c r="X42" s="333"/>
      <c r="Y42" s="333"/>
    </row>
    <row r="43" spans="1:25">
      <c r="A43" s="332">
        <v>2</v>
      </c>
      <c r="B43" s="332" t="s">
        <v>119</v>
      </c>
      <c r="C43" s="333"/>
      <c r="D43" s="333"/>
      <c r="E43" s="333"/>
      <c r="F43" s="333"/>
      <c r="G43" s="333"/>
      <c r="H43" s="333"/>
      <c r="I43" s="333"/>
      <c r="J43" s="333"/>
      <c r="K43" s="333"/>
      <c r="L43" s="333"/>
      <c r="M43" s="333"/>
      <c r="N43" s="333"/>
      <c r="O43" s="333"/>
      <c r="P43" s="333"/>
      <c r="Q43" s="333"/>
      <c r="R43" s="333"/>
      <c r="S43" s="333"/>
      <c r="T43" s="333"/>
      <c r="U43" s="333"/>
      <c r="V43" s="333"/>
      <c r="W43" s="333"/>
      <c r="X43" s="333"/>
      <c r="Y43" s="333"/>
    </row>
    <row r="44" spans="1:25">
      <c r="A44" s="332">
        <v>3</v>
      </c>
      <c r="B44" s="332" t="s">
        <v>120</v>
      </c>
      <c r="C44" s="333"/>
      <c r="D44" s="333"/>
      <c r="E44" s="333"/>
      <c r="F44" s="333"/>
      <c r="G44" s="333"/>
      <c r="H44" s="333"/>
      <c r="I44" s="333"/>
      <c r="J44" s="333"/>
      <c r="K44" s="333"/>
      <c r="L44" s="333"/>
      <c r="M44" s="333"/>
      <c r="N44" s="333"/>
      <c r="O44" s="333"/>
      <c r="P44" s="333"/>
      <c r="Q44" s="333"/>
      <c r="R44" s="333"/>
      <c r="S44" s="333"/>
      <c r="T44" s="333"/>
      <c r="U44" s="333"/>
      <c r="V44" s="333"/>
      <c r="W44" s="333"/>
      <c r="X44" s="333"/>
      <c r="Y44" s="333"/>
    </row>
    <row r="45" spans="1:25">
      <c r="A45" s="332">
        <v>4</v>
      </c>
      <c r="B45" s="332" t="s">
        <v>121</v>
      </c>
      <c r="C45" s="333"/>
      <c r="D45" s="333"/>
      <c r="E45" s="333"/>
      <c r="F45" s="333"/>
      <c r="G45" s="333"/>
      <c r="H45" s="333"/>
      <c r="I45" s="333"/>
      <c r="J45" s="333"/>
      <c r="K45" s="333"/>
      <c r="L45" s="333"/>
      <c r="M45" s="333"/>
      <c r="N45" s="333"/>
      <c r="O45" s="333"/>
      <c r="P45" s="333"/>
      <c r="Q45" s="333"/>
      <c r="R45" s="333"/>
      <c r="S45" s="333"/>
      <c r="T45" s="333"/>
      <c r="U45" s="333"/>
      <c r="V45" s="333"/>
      <c r="W45" s="333"/>
      <c r="X45" s="333"/>
      <c r="Y45" s="333"/>
    </row>
    <row r="46" spans="1:25" ht="15.5">
      <c r="A46" s="329"/>
      <c r="B46" s="330" t="s">
        <v>122</v>
      </c>
      <c r="C46" s="331"/>
      <c r="D46" s="331"/>
      <c r="E46" s="331"/>
      <c r="F46" s="331"/>
      <c r="G46" s="331"/>
      <c r="H46" s="331"/>
      <c r="I46" s="331"/>
      <c r="J46" s="331"/>
      <c r="K46" s="331"/>
      <c r="L46" s="331"/>
      <c r="M46" s="331"/>
      <c r="N46" s="331"/>
      <c r="O46" s="331"/>
      <c r="P46" s="331"/>
      <c r="Q46" s="331"/>
      <c r="R46" s="331"/>
      <c r="S46" s="331"/>
      <c r="T46" s="331"/>
      <c r="U46" s="331"/>
      <c r="V46" s="331"/>
      <c r="W46" s="331"/>
      <c r="X46" s="331"/>
      <c r="Y46" s="331"/>
    </row>
    <row r="47" spans="1:25" ht="15.5">
      <c r="A47" s="329">
        <v>24</v>
      </c>
      <c r="B47" s="329" t="s">
        <v>123</v>
      </c>
      <c r="C47" s="331"/>
      <c r="D47" s="331"/>
      <c r="E47" s="331"/>
      <c r="F47" s="331"/>
      <c r="G47" s="331"/>
      <c r="H47" s="331"/>
      <c r="I47" s="331"/>
      <c r="J47" s="331"/>
      <c r="K47" s="331"/>
      <c r="L47" s="331"/>
      <c r="M47" s="331"/>
      <c r="N47" s="331"/>
      <c r="O47" s="331"/>
      <c r="P47" s="331"/>
      <c r="Q47" s="331"/>
      <c r="R47" s="331"/>
      <c r="S47" s="331"/>
      <c r="T47" s="331"/>
      <c r="U47" s="331"/>
      <c r="V47" s="331"/>
      <c r="W47" s="331"/>
      <c r="X47" s="331"/>
      <c r="Y47" s="331"/>
    </row>
    <row r="48" spans="1:25" ht="15.5">
      <c r="A48" s="329">
        <v>25</v>
      </c>
      <c r="B48" s="329" t="s">
        <v>94</v>
      </c>
      <c r="C48" s="331"/>
      <c r="D48" s="331"/>
      <c r="E48" s="331"/>
      <c r="F48" s="331"/>
      <c r="G48" s="331"/>
      <c r="H48" s="331"/>
      <c r="I48" s="331"/>
      <c r="J48" s="331"/>
      <c r="K48" s="331"/>
      <c r="L48" s="331"/>
      <c r="M48" s="331"/>
      <c r="N48" s="331"/>
      <c r="O48" s="331"/>
      <c r="P48" s="331"/>
      <c r="Q48" s="331"/>
      <c r="R48" s="331"/>
      <c r="S48" s="331"/>
      <c r="T48" s="331"/>
      <c r="U48" s="331"/>
      <c r="V48" s="331"/>
      <c r="W48" s="331"/>
      <c r="X48" s="331"/>
      <c r="Y48" s="331"/>
    </row>
    <row r="49" spans="1:25" ht="15.5">
      <c r="A49" s="329">
        <v>26</v>
      </c>
      <c r="B49" s="329" t="s">
        <v>97</v>
      </c>
      <c r="C49" s="331"/>
      <c r="D49" s="331"/>
      <c r="E49" s="331"/>
      <c r="F49" s="331"/>
      <c r="G49" s="331"/>
      <c r="H49" s="331"/>
      <c r="I49" s="331"/>
      <c r="J49" s="331"/>
      <c r="K49" s="331"/>
      <c r="L49" s="331"/>
      <c r="M49" s="331"/>
      <c r="N49" s="331"/>
      <c r="O49" s="331"/>
      <c r="P49" s="331"/>
      <c r="Q49" s="331"/>
      <c r="R49" s="331"/>
      <c r="S49" s="331"/>
      <c r="T49" s="331"/>
      <c r="U49" s="331"/>
      <c r="V49" s="331"/>
      <c r="W49" s="331"/>
      <c r="X49" s="331"/>
      <c r="Y49" s="331"/>
    </row>
    <row r="50" spans="1:25" ht="15.5">
      <c r="A50" s="329">
        <v>27</v>
      </c>
      <c r="B50" s="329" t="s">
        <v>100</v>
      </c>
      <c r="C50" s="331"/>
      <c r="D50" s="331"/>
      <c r="E50" s="331"/>
      <c r="F50" s="331"/>
      <c r="G50" s="331"/>
      <c r="H50" s="331"/>
      <c r="I50" s="331"/>
      <c r="J50" s="331"/>
      <c r="K50" s="331"/>
      <c r="L50" s="331"/>
      <c r="M50" s="331"/>
      <c r="N50" s="331"/>
      <c r="O50" s="331"/>
      <c r="P50" s="331"/>
      <c r="Q50" s="331"/>
      <c r="R50" s="331"/>
      <c r="S50" s="331"/>
      <c r="T50" s="331"/>
      <c r="U50" s="331"/>
      <c r="V50" s="331"/>
      <c r="W50" s="331"/>
      <c r="X50" s="331"/>
      <c r="Y50" s="331"/>
    </row>
    <row r="51" spans="1:25" ht="15.5">
      <c r="A51" s="335">
        <v>28</v>
      </c>
      <c r="B51" s="335" t="s">
        <v>124</v>
      </c>
      <c r="C51" t="s">
        <v>125</v>
      </c>
    </row>
  </sheetData>
  <sheetProtection algorithmName="SHA-512" hashValue="Zf0wqDHM7axqXLp2dkZPTbEbg+ogM8NM1u1/JCjcBi/xipsKDS7EXdEDZpF5m8FRKIUIaXL1jNPF1v3kc0s6lQ==" saltValue="7cZuU+fAzU1MLQUrr1ypXQ==" spinCount="100000" sheet="1" objects="1" scenarios="1"/>
  <dataValidations count="11">
    <dataValidation allowBlank="1" showInputMessage="1" showErrorMessage="1" promptTitle="For Agreement" prompt="Enter Prior deed Number.If Two or more prior deeds are there, use one column for each prior deed..!" sqref="C3:Y3" xr:uid="{00000000-0002-0000-0200-000002000000}"/>
    <dataValidation type="whole" errorStyle="information" allowBlank="1" showInputMessage="1" showErrorMessage="1" errorTitle="Single Re Sy Number" error="Enter only single Re Survey number, another Re Survey Number can be Entered into next ROW" promptTitle="Re-Survey Block Number" prompt="Enter only one Re-Survey Block Number at a time..!" sqref="C14:Y14" xr:uid="{00000000-0002-0000-0200-000004000000}">
      <formula1>0</formula1>
      <formula2>100000000</formula2>
    </dataValidation>
    <dataValidation type="whole" errorStyle="warning" allowBlank="1" showInputMessage="1" showErrorMessage="1" errorTitle="Single Re Sy Number" error="Enter only single Re Survey number, another Re Survey Number can be Entered into next ROW" promptTitle="Re-Survey Number" prompt="Enter only one Re-Survey Number at a time..!_x000a_" sqref="C15:Y15" xr:uid="{00000000-0002-0000-0200-000005000000}">
      <formula1>0</formula1>
      <formula2>100000000</formula2>
    </dataValidation>
    <dataValidation type="whole" errorStyle="warning" allowBlank="1" showInputMessage="1" showErrorMessage="1" errorTitle="Single Re Sy Number" error="Enter only single Re Survey number, another Re Survey Number can be Entered into next ROW" promptTitle="Re-Survey Sub-Division Number" prompt="Enter only one Re-Survey Sub-Division Number at a time..!_x000a_Eg. 16-1-1-1" sqref="C16:Y16" xr:uid="{00000000-0002-0000-0200-000006000000}">
      <formula1>0</formula1>
      <formula2>100000000</formula2>
    </dataValidation>
    <dataValidation type="whole" errorStyle="warning" allowBlank="1" showInputMessage="1" showErrorMessage="1" errorTitle="Single Re Sy Number" error="Enter only single Re Survey number, another Re Survey Number can be Entered into next ROW" promptTitle="Survey Block Number" prompt="Enter only one Survey Block Number at a time..!_x000a_" sqref="C17:Y17" xr:uid="{00000000-0002-0000-0200-000007000000}">
      <formula1>0</formula1>
      <formula2>100000000</formula2>
    </dataValidation>
    <dataValidation type="whole" errorStyle="warning" allowBlank="1" showInputMessage="1" showErrorMessage="1" errorTitle="Single Re Sy Number" error="Enter only single Re Survey number, another Re Survey Number can be Entered into next ROW" promptTitle="Survey Number" prompt="Enter only one Survey Number at a time..!" sqref="C18:Y18" xr:uid="{00000000-0002-0000-0200-000008000000}">
      <formula1>0</formula1>
      <formula2>100000000</formula2>
    </dataValidation>
    <dataValidation type="whole" errorStyle="warning" allowBlank="1" showInputMessage="1" showErrorMessage="1" errorTitle="Single Re Sy Number" error="Enter only single Re Survey number, another Re Survey Number can be Entered into next ROW" promptTitle="Survey Sub-Division Number" prompt="Enter only one Survey Sub-Division Number at a time..!_x000a_Eg. 16-1-2-1" sqref="C19:Y19" xr:uid="{00000000-0002-0000-0200-000009000000}">
      <formula1>0</formula1>
      <formula2>100000000</formula2>
    </dataValidation>
    <dataValidation type="whole" errorStyle="warning" allowBlank="1" showInputMessage="1" showErrorMessage="1" errorTitle="Single Re Sy Number" error="Enter only single Re Survey number, another Re Survey Number can be Entered into next ROW" promptTitle="Old Survey Block Number" prompt="Enter only one Old Survey Block Number at a time..!_x000a_" sqref="C20:Y20" xr:uid="{00000000-0002-0000-0200-00000A000000}">
      <formula1>0</formula1>
      <formula2>100000000</formula2>
    </dataValidation>
    <dataValidation type="whole" errorStyle="warning" allowBlank="1" showInputMessage="1" showErrorMessage="1" errorTitle="Single Re Sy Number" error="Enter only single Re Survey number, another Re Survey Number can be Entered into next ROW" promptTitle="Old Survey Number" prompt="Enter only one Old Survey Number at a time..!" sqref="C21:Y21" xr:uid="{00000000-0002-0000-0200-00000B000000}">
      <formula1>0</formula1>
      <formula2>100000000</formula2>
    </dataValidation>
    <dataValidation type="whole" errorStyle="warning" allowBlank="1" showInputMessage="1" showErrorMessage="1" errorTitle="Single Re Sy Number" error="Enter only single Re Survey number, another Re Survey Number can be Entered into next ROW" promptTitle="Old Survey Sub-Division Number" prompt="Enter only one Survey Sub-Division Number at a time..!_x000a_Eg. 16-1-2-1" sqref="C22:Y22" xr:uid="{00000000-0002-0000-0200-00000C000000}">
      <formula1>0</formula1>
      <formula2>100000000</formula2>
    </dataValidation>
    <dataValidation type="decimal" errorStyle="warning" allowBlank="1" showInputMessage="1" showErrorMessage="1" errorTitle="Single Re Sy Number" error="Enter only single Re Survey number, another Re Survey Number can be Entered into next ROW" promptTitle="Land Area in Ares" prompt="Enter only one Extent at a time..!_x000a_EG. 2.02" sqref="C23:Y23" xr:uid="{00000000-0002-0000-0200-00000D000000}">
      <formula1>0</formula1>
      <formula2>100000000</formula2>
    </dataValidation>
  </dataValidations>
  <pageMargins left="0.7" right="0.7" top="0.75" bottom="0.75" header="0.3" footer="0.3"/>
  <pageSetup orientation="portrai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200-000000000000}">
          <x14:formula1>
            <xm:f>AVMDropdown!$B$2:$B$17</xm:f>
          </x14:formula1>
          <xm:sqref>C2:Y2</xm:sqref>
        </x14:dataValidation>
        <x14:dataValidation type="list" allowBlank="1" showInputMessage="1" showErrorMessage="1" xr:uid="{00000000-0002-0000-0200-000001000000}">
          <x14:formula1>
            <xm:f>AVMDropdown!$B$2:$B$12</xm:f>
          </x14:formula1>
          <xm:sqref>Z2</xm:sqref>
        </x14:dataValidation>
        <x14:dataValidation type="list" allowBlank="1" showInputMessage="1" showErrorMessage="1" xr:uid="{00000000-0002-0000-0200-000003000000}">
          <x14:formula1>
            <xm:f>AVMDropdown!$G$2:$G$5</xm:f>
          </x14:formula1>
          <xm:sqref>C12:Y12</xm:sqref>
        </x14:dataValidation>
        <x14:dataValidation type="list" allowBlank="1" showInputMessage="1" showErrorMessage="1" xr:uid="{00000000-0002-0000-0200-00000E000000}">
          <x14:formula1>
            <xm:f>AVMDropdown!$D$2:$D$11</xm:f>
          </x14:formula1>
          <xm:sqref>C24:Y24</xm:sqref>
        </x14:dataValidation>
        <x14:dataValidation type="list" allowBlank="1" showInputMessage="1" showErrorMessage="1" xr:uid="{00000000-0002-0000-0200-00000F000000}">
          <x14:formula1>
            <xm:f>AVMDropdown!$E$2:$E$12</xm:f>
          </x14:formula1>
          <xm:sqref>C30:Y30</xm:sqref>
        </x14:dataValidation>
        <x14:dataValidation type="list" allowBlank="1" showInputMessage="1" showErrorMessage="1" xr:uid="{00000000-0002-0000-0200-000010000000}">
          <x14:formula1>
            <xm:f>AVMDropdown!$F$2:$F$6</xm:f>
          </x14:formula1>
          <xm:sqref>C31:Y31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2"/>
  <dimension ref="A2:D37"/>
  <sheetViews>
    <sheetView workbookViewId="0">
      <selection activeCell="G15" sqref="G15"/>
    </sheetView>
  </sheetViews>
  <sheetFormatPr defaultColWidth="15.54296875" defaultRowHeight="14.5"/>
  <cols>
    <col min="1" max="1" width="5.453125" style="69" customWidth="1"/>
    <col min="2" max="2" width="40.54296875" style="302" customWidth="1"/>
    <col min="3" max="4" width="40.54296875" style="69" customWidth="1"/>
    <col min="5" max="16384" width="15.54296875" style="69"/>
  </cols>
  <sheetData>
    <row r="2" spans="1:4" s="211" customFormat="1" ht="31">
      <c r="A2" s="303" t="s">
        <v>126</v>
      </c>
      <c r="B2" s="304" t="s">
        <v>127</v>
      </c>
      <c r="C2" s="303" t="s">
        <v>128</v>
      </c>
      <c r="D2" s="303" t="s">
        <v>129</v>
      </c>
    </row>
    <row r="3" spans="1:4" s="19" customFormat="1" ht="15.5">
      <c r="A3" s="305">
        <v>1</v>
      </c>
      <c r="B3" s="306" t="s">
        <v>65</v>
      </c>
      <c r="C3" s="307" t="str">
        <f>MaGic_AVM_Land!AA12</f>
        <v>Grama Panchayat</v>
      </c>
      <c r="D3" s="307" t="str">
        <f>C3</f>
        <v>Grama Panchayat</v>
      </c>
    </row>
    <row r="4" spans="1:4" s="19" customFormat="1" ht="15.5">
      <c r="A4" s="305">
        <v>2</v>
      </c>
      <c r="B4" s="306" t="s">
        <v>130</v>
      </c>
      <c r="C4" s="308"/>
      <c r="D4" s="308"/>
    </row>
    <row r="5" spans="1:4" s="19" customFormat="1" ht="15.5">
      <c r="A5" s="305">
        <v>3</v>
      </c>
      <c r="B5" s="306" t="s">
        <v>131</v>
      </c>
      <c r="C5" s="308" t="s">
        <v>132</v>
      </c>
      <c r="D5" s="308" t="s">
        <v>132</v>
      </c>
    </row>
    <row r="6" spans="1:4" s="19" customFormat="1" ht="31">
      <c r="A6" s="305">
        <v>4</v>
      </c>
      <c r="B6" s="306" t="s">
        <v>133</v>
      </c>
      <c r="C6" s="308" t="s">
        <v>134</v>
      </c>
      <c r="D6" s="308" t="s">
        <v>135</v>
      </c>
    </row>
    <row r="7" spans="1:4" ht="15.5">
      <c r="A7" s="305">
        <v>5</v>
      </c>
      <c r="B7" s="309" t="s">
        <v>136</v>
      </c>
      <c r="C7" s="308" t="s">
        <v>137</v>
      </c>
      <c r="D7" s="308" t="s">
        <v>137</v>
      </c>
    </row>
    <row r="8" spans="1:4" ht="15.5">
      <c r="A8" s="305">
        <v>6</v>
      </c>
      <c r="B8" s="310" t="s">
        <v>138</v>
      </c>
      <c r="C8" s="311"/>
      <c r="D8" s="311"/>
    </row>
    <row r="9" spans="1:4" ht="15.5">
      <c r="A9" s="305">
        <v>7</v>
      </c>
      <c r="B9" s="310" t="s">
        <v>139</v>
      </c>
      <c r="C9" s="311"/>
      <c r="D9" s="311"/>
    </row>
    <row r="10" spans="1:4" ht="15.5">
      <c r="A10" s="305">
        <v>8</v>
      </c>
      <c r="B10" s="310" t="s">
        <v>140</v>
      </c>
      <c r="C10" s="311"/>
      <c r="D10" s="311"/>
    </row>
    <row r="11" spans="1:4" ht="15.5">
      <c r="A11" s="305">
        <v>9</v>
      </c>
      <c r="B11" s="310" t="s">
        <v>141</v>
      </c>
      <c r="C11" s="311"/>
      <c r="D11" s="311"/>
    </row>
    <row r="12" spans="1:4" ht="15.5">
      <c r="A12" s="305">
        <v>10</v>
      </c>
      <c r="B12" s="310" t="s">
        <v>142</v>
      </c>
      <c r="C12" s="311"/>
      <c r="D12" s="311"/>
    </row>
    <row r="13" spans="1:4" ht="15.5">
      <c r="A13" s="305">
        <v>11</v>
      </c>
      <c r="B13" s="309" t="s">
        <v>143</v>
      </c>
      <c r="C13" s="312"/>
      <c r="D13" s="312"/>
    </row>
    <row r="14" spans="1:4" ht="15.5">
      <c r="A14" s="305">
        <v>12</v>
      </c>
      <c r="B14" s="309" t="s">
        <v>144</v>
      </c>
      <c r="C14" s="312"/>
      <c r="D14" s="312"/>
    </row>
    <row r="15" spans="1:4" ht="15.5">
      <c r="A15" s="305">
        <v>13</v>
      </c>
      <c r="B15" s="309" t="s">
        <v>145</v>
      </c>
      <c r="C15" s="312"/>
      <c r="D15" s="312"/>
    </row>
    <row r="16" spans="1:4" ht="15.5">
      <c r="A16" s="305">
        <v>14</v>
      </c>
      <c r="B16" s="310" t="s">
        <v>146</v>
      </c>
      <c r="C16" s="311"/>
      <c r="D16" s="311"/>
    </row>
    <row r="17" spans="1:4" ht="15.5">
      <c r="A17" s="305">
        <v>15</v>
      </c>
      <c r="B17" s="310" t="s">
        <v>147</v>
      </c>
      <c r="C17" s="311"/>
      <c r="D17" s="311"/>
    </row>
    <row r="18" spans="1:4" ht="15.5">
      <c r="A18" s="305">
        <v>16</v>
      </c>
      <c r="B18" s="310" t="s">
        <v>148</v>
      </c>
      <c r="C18" s="311"/>
      <c r="D18" s="311"/>
    </row>
    <row r="19" spans="1:4" ht="15.5">
      <c r="A19" s="313"/>
      <c r="B19" s="464" t="s">
        <v>117</v>
      </c>
      <c r="C19" s="464"/>
      <c r="D19" s="464"/>
    </row>
    <row r="20" spans="1:4" ht="15.5">
      <c r="A20" s="313">
        <v>17</v>
      </c>
      <c r="B20" s="314" t="s">
        <v>149</v>
      </c>
      <c r="C20" s="312"/>
      <c r="D20" s="312"/>
    </row>
    <row r="21" spans="1:4" ht="15.5">
      <c r="A21" s="313">
        <v>18</v>
      </c>
      <c r="B21" s="314" t="s">
        <v>150</v>
      </c>
      <c r="C21" s="312"/>
      <c r="D21" s="312"/>
    </row>
    <row r="22" spans="1:4" ht="15.5">
      <c r="A22" s="313">
        <v>19</v>
      </c>
      <c r="B22" s="314" t="s">
        <v>151</v>
      </c>
      <c r="C22" s="312"/>
      <c r="D22" s="312"/>
    </row>
    <row r="23" spans="1:4" ht="15.5">
      <c r="A23" s="313">
        <v>20</v>
      </c>
      <c r="B23" s="314" t="s">
        <v>150</v>
      </c>
      <c r="C23" s="312"/>
      <c r="D23" s="312"/>
    </row>
    <row r="24" spans="1:4" ht="15.5">
      <c r="A24" s="313">
        <v>21</v>
      </c>
      <c r="B24" s="314" t="s">
        <v>152</v>
      </c>
      <c r="C24" s="312"/>
      <c r="D24" s="312"/>
    </row>
    <row r="25" spans="1:4" ht="15.5">
      <c r="A25" s="313">
        <v>22</v>
      </c>
      <c r="B25" s="314" t="s">
        <v>150</v>
      </c>
      <c r="C25" s="312"/>
      <c r="D25" s="312"/>
    </row>
    <row r="26" spans="1:4" ht="15.5">
      <c r="A26" s="313">
        <v>23</v>
      </c>
      <c r="B26" s="314" t="s">
        <v>153</v>
      </c>
      <c r="C26" s="312"/>
      <c r="D26" s="312"/>
    </row>
    <row r="27" spans="1:4" ht="15.5">
      <c r="A27" s="313">
        <v>24</v>
      </c>
      <c r="B27" s="314" t="s">
        <v>150</v>
      </c>
      <c r="C27" s="312"/>
      <c r="D27" s="312"/>
    </row>
    <row r="28" spans="1:4" ht="15.5">
      <c r="A28" s="313">
        <v>25</v>
      </c>
      <c r="B28" s="304" t="s">
        <v>154</v>
      </c>
      <c r="C28" s="313"/>
      <c r="D28" s="313"/>
    </row>
    <row r="29" spans="1:4" ht="15.5">
      <c r="A29" s="313"/>
      <c r="B29" s="315" t="s">
        <v>155</v>
      </c>
      <c r="C29" s="313"/>
      <c r="D29" s="313"/>
    </row>
    <row r="30" spans="1:4" ht="15.5">
      <c r="A30" s="313">
        <v>26</v>
      </c>
      <c r="B30" s="304" t="s">
        <v>156</v>
      </c>
      <c r="C30" s="313"/>
      <c r="D30" s="313"/>
    </row>
    <row r="31" spans="1:4" ht="15.5">
      <c r="A31" s="313"/>
      <c r="B31" s="315" t="s">
        <v>155</v>
      </c>
      <c r="C31" s="313"/>
      <c r="D31" s="313"/>
    </row>
    <row r="32" spans="1:4" ht="15.5">
      <c r="A32" s="313">
        <v>27</v>
      </c>
      <c r="B32" s="304" t="s">
        <v>157</v>
      </c>
      <c r="C32" s="313"/>
      <c r="D32" s="313"/>
    </row>
    <row r="33" spans="1:4" ht="15.5">
      <c r="A33" s="313"/>
      <c r="B33" s="315" t="s">
        <v>155</v>
      </c>
      <c r="C33" s="313"/>
      <c r="D33" s="313"/>
    </row>
    <row r="34" spans="1:4" ht="15.5">
      <c r="A34" s="313">
        <v>28</v>
      </c>
      <c r="B34" s="304" t="s">
        <v>158</v>
      </c>
      <c r="C34" s="313"/>
      <c r="D34" s="313"/>
    </row>
    <row r="35" spans="1:4" ht="15.5">
      <c r="A35" s="313"/>
      <c r="B35" s="315" t="s">
        <v>155</v>
      </c>
      <c r="C35" s="313"/>
      <c r="D35" s="313"/>
    </row>
    <row r="36" spans="1:4" ht="15.5">
      <c r="A36" s="313">
        <v>29</v>
      </c>
      <c r="B36" s="304" t="s">
        <v>159</v>
      </c>
      <c r="C36" s="313"/>
      <c r="D36" s="313"/>
    </row>
    <row r="37" spans="1:4" ht="15.5">
      <c r="A37" s="313"/>
      <c r="B37" s="315" t="s">
        <v>155</v>
      </c>
      <c r="C37" s="313"/>
      <c r="D37" s="313"/>
    </row>
  </sheetData>
  <sheetProtection algorithmName="SHA-512" hashValue="yVDm6Td1u3OGkBRTtvW1VfZsBwWGJpC2IKZG8L5yb+ERM9R1it207o9qFo5HIySj3LCJhhMJCwIyYTudbbqdkw==" saltValue="jWYTheWD71AIZI67jKu52w==" spinCount="100000" sheet="1" objects="1" scenarios="1"/>
  <mergeCells count="1">
    <mergeCell ref="B19:D19"/>
  </mergeCells>
  <pageMargins left="0.7" right="0.7" top="0.75" bottom="0.75" header="0.3" footer="0.3"/>
  <pageSetup orientation="portrai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PanCatI!$AE$4:$AE$100</xm:f>
          </x14:formula1>
          <xm:sqref>C4:D4</xm:sqref>
        </x14:dataValidation>
        <x14:dataValidation type="list" allowBlank="1" showInputMessage="1" showErrorMessage="1" xr:uid="{00000000-0002-0000-0300-000001000000}">
          <x14:formula1>
            <xm:f>AVMDropdown!$I$2:$I$3</xm:f>
          </x14:formula1>
          <xm:sqref>C5:D5</xm:sqref>
        </x14:dataValidation>
        <x14:dataValidation type="list" allowBlank="1" showInputMessage="1" showErrorMessage="1" xr:uid="{00000000-0002-0000-0300-000002000000}">
          <x14:formula1>
            <xm:f>AVMDropdown!$I$44:$I$56</xm:f>
          </x14:formula1>
          <xm:sqref>C6:D6</xm:sqref>
        </x14:dataValidation>
        <x14:dataValidation type="list" allowBlank="1" showInputMessage="1" showErrorMessage="1" xr:uid="{00000000-0002-0000-0300-000003000000}">
          <x14:formula1>
            <xm:f>AVMDropdown!$H$2:$H$6</xm:f>
          </x14:formula1>
          <xm:sqref>C7:D7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dimension ref="A1:E13"/>
  <sheetViews>
    <sheetView workbookViewId="0">
      <selection activeCell="D8" sqref="D8"/>
    </sheetView>
  </sheetViews>
  <sheetFormatPr defaultColWidth="9.26953125" defaultRowHeight="50.15" customHeight="1"/>
  <cols>
    <col min="1" max="1" width="3" style="297" customWidth="1"/>
    <col min="2" max="2" width="23.26953125" style="295" customWidth="1"/>
    <col min="3" max="3" width="63.81640625" style="19" customWidth="1"/>
    <col min="4" max="4" width="100.7265625" style="19" customWidth="1"/>
    <col min="5" max="5" width="69.453125" style="19" customWidth="1"/>
    <col min="6" max="16384" width="9.26953125" style="19"/>
  </cols>
  <sheetData>
    <row r="1" spans="1:5" s="295" customFormat="1" ht="50.15" customHeight="1">
      <c r="A1" s="298"/>
      <c r="B1" s="298" t="s">
        <v>160</v>
      </c>
      <c r="C1" s="298" t="str">
        <f>'02.GeneralFileDetails'!L9</f>
        <v>RESL</v>
      </c>
      <c r="D1" s="298" t="s">
        <v>161</v>
      </c>
    </row>
    <row r="2" spans="1:5" ht="50.15" customHeight="1">
      <c r="A2" s="99">
        <v>1</v>
      </c>
      <c r="B2" s="298" t="s">
        <v>162</v>
      </c>
      <c r="C2" s="188" t="str">
        <f>'0.DocumentAnalysis'!C30</f>
        <v>Digital extract of Agreement,Title Deed(Doc No. 153/2022) ,Land Tax Receipt(No. 153/2022) ,Possession Certificate(Doc No. 153/2022)  produced of perusal.</v>
      </c>
      <c r="D2" s="25" t="str">
        <f>C2</f>
        <v>Digital extract of Agreement,Title Deed(Doc No. 153/2022) ,Land Tax Receipt(No. 153/2022) ,Possession Certificate(Doc No. 153/2022)  produced of perusal.</v>
      </c>
      <c r="E2" s="19" t="str">
        <f>IFERROR(D2,"")</f>
        <v>Digital extract of Agreement,Title Deed(Doc No. 153/2022) ,Land Tax Receipt(No. 153/2022) ,Possession Certificate(Doc No. 153/2022)  produced of perusal.</v>
      </c>
    </row>
    <row r="3" spans="1:5" ht="50.15" customHeight="1">
      <c r="A3" s="99">
        <v>2</v>
      </c>
      <c r="B3" s="298" t="s">
        <v>163</v>
      </c>
      <c r="C3" s="188" t="str">
        <f>'02.OwnerAnalysis'!B54</f>
        <v>N</v>
      </c>
      <c r="D3" s="25" t="str">
        <f>C3</f>
        <v>N</v>
      </c>
      <c r="E3" s="19" t="str">
        <f t="shared" ref="E3:E11" si="0">IFERROR(D3,"")</f>
        <v>N</v>
      </c>
    </row>
    <row r="4" spans="1:5" ht="50.15" customHeight="1">
      <c r="A4" s="99">
        <v>3</v>
      </c>
      <c r="B4" s="298" t="s">
        <v>164</v>
      </c>
      <c r="C4" s="25" t="str">
        <f>'02.OwnerAnalysis'!BK60</f>
        <v>Discrepancy noted between the Agreement and the Title Deed: The owner mentioned in the Agreement is not reflected in the Title Deed.(Owner-  Jayan, Jayan).  Discrepancy noted between the Land tax receipt and the Title Deed: The owner mentioned in the Land tax receipt is not reflected in the Title Deed.(Owner-  Jayan).</v>
      </c>
      <c r="D4" s="25" t="str">
        <f>'02.OwnerAnalysis'!BK60</f>
        <v>Discrepancy noted between the Agreement and the Title Deed: The owner mentioned in the Agreement is not reflected in the Title Deed.(Owner-  Jayan, Jayan).  Discrepancy noted between the Land tax receipt and the Title Deed: The owner mentioned in the Land tax receipt is not reflected in the Title Deed.(Owner-  Jayan).</v>
      </c>
      <c r="E4" s="19" t="str">
        <f t="shared" si="0"/>
        <v>Discrepancy noted between the Agreement and the Title Deed: The owner mentioned in the Agreement is not reflected in the Title Deed.(Owner-  Jayan, Jayan).  Discrepancy noted between the Land tax receipt and the Title Deed: The owner mentioned in the Land tax receipt is not reflected in the Title Deed.(Owner-  Jayan).</v>
      </c>
    </row>
    <row r="5" spans="1:5" ht="50.15" customHeight="1">
      <c r="A5" s="99">
        <v>4</v>
      </c>
      <c r="B5" s="298" t="s">
        <v>165</v>
      </c>
      <c r="C5" s="25" t="str">
        <f>IFERROR('1.SurveyAnalysis'!BD60,"No Discrepancy")</f>
        <v>Re-Sy Sub-Div no.21-2</v>
      </c>
      <c r="D5" s="25" t="str">
        <f>CONCATENATE("Discrepancy noted: Survey number referenced in the agreement is absent in the Title deed. (",C5,") ")</f>
        <v>Discrepancy noted: Survey number referenced in the agreement is absent in the Title deed. (Re-Sy Sub-Div no.21-2)</v>
      </c>
      <c r="E5" s="19" t="str">
        <f t="shared" si="0"/>
        <v>Discrepancy noted: Survey number referenced in the agreement is absent in the Title deed. (Re-Sy Sub-Div no.21-2)</v>
      </c>
    </row>
    <row r="6" spans="1:5" ht="50.15" customHeight="1">
      <c r="A6" s="99">
        <v>5</v>
      </c>
      <c r="B6" s="298" t="s">
        <v>166</v>
      </c>
      <c r="C6" s="299" t="s">
        <v>46</v>
      </c>
      <c r="D6" s="25" t="str">
        <f>VLOOKUP(C6,'102.OutPut Drop Down'!B2:C16,2,FALSE)</f>
        <v>4.15 Ares of land in Re-Sy Block No.3, Re-Sy No.254, Re-Sy Sub-Div No.21-2  located in Veilyoor Village, Thiruvanthupuram Taluk, Thiruvanthapuram District.</v>
      </c>
      <c r="E6" s="19" t="str">
        <f t="shared" si="0"/>
        <v>4.15 Ares of land in Re-Sy Block No.3, Re-Sy No.254, Re-Sy Sub-Div No.21-2  located in Veilyoor Village, Thiruvanthupuram Taluk, Thiruvanthapuram District.</v>
      </c>
    </row>
    <row r="7" spans="1:5" ht="50.15" customHeight="1">
      <c r="A7" s="99">
        <v>4</v>
      </c>
      <c r="B7" s="298" t="s">
        <v>167</v>
      </c>
      <c r="C7" s="25"/>
      <c r="D7" s="300" t="str">
        <f>CONCATENATE('03.LTR'!AD117,'04.POSN'!AD117)</f>
        <v>Plot is classified as wet land as per Land Tax Receipt.</v>
      </c>
      <c r="E7" s="19" t="str">
        <f t="shared" si="0"/>
        <v>Plot is classified as wet land as per Land Tax Receipt.</v>
      </c>
    </row>
    <row r="8" spans="1:5" ht="50.15" customHeight="1">
      <c r="A8" s="99">
        <v>5</v>
      </c>
      <c r="B8" s="298" t="s">
        <v>168</v>
      </c>
      <c r="C8" s="25"/>
      <c r="D8" s="25" t="str">
        <f ca="1">'05.AnalysisboundarySurSk'!F32</f>
        <v>Property boundaries does not have matches/connections with respect to Title deed</v>
      </c>
      <c r="E8" s="19" t="str">
        <f t="shared" ca="1" si="0"/>
        <v>Property boundaries does not have matches/connections with respect to Title deed</v>
      </c>
    </row>
    <row r="9" spans="1:5" ht="50.15" customHeight="1">
      <c r="A9" s="99">
        <v>6</v>
      </c>
      <c r="B9" s="298" t="s">
        <v>169</v>
      </c>
      <c r="C9" s="25"/>
      <c r="D9" s="25" t="str">
        <f>IFERROR(CONCATENATE('02.OTD'!AA116," ",'10.SITE'!AA116),"")</f>
        <v/>
      </c>
      <c r="E9" s="19" t="str">
        <f t="shared" si="0"/>
        <v/>
      </c>
    </row>
    <row r="10" spans="1:5" ht="50.15" customHeight="1">
      <c r="A10" s="99"/>
      <c r="B10" s="298" t="s">
        <v>170</v>
      </c>
      <c r="C10" s="25"/>
      <c r="D10" s="25" t="str">
        <f>AVMDropdown!Z89</f>
        <v>The building is located within the limits of the Grama Panchayat (Category-II)  and has Lodging houses &amp; 
Special Residential A2   occupancy classification.The building complies with the building rules, as the actual FSI of 0 is within the permissible limit of 1.5. The building complies with the building rules, as the actual Coverage of 0 is within the permissible limit of 55. The building is located within the limits of the Grama Panchayat (Category-II)  and has Residential A1 occupancy classification.The building complies with the building rules, as the actual FSI of 0 is within the permissible limit of 2.5. The building complies with the building rules, as the actual Coverage of 0 is within the permissible limit of 60.</v>
      </c>
      <c r="E10" s="19" t="str">
        <f t="shared" si="0"/>
        <v>The building is located within the limits of the Grama Panchayat (Category-II)  and has Lodging houses &amp; 
Special Residential A2   occupancy classification.The building complies with the building rules, as the actual FSI of 0 is within the permissible limit of 1.5. The building complies with the building rules, as the actual Coverage of 0 is within the permissible limit of 55. The building is located within the limits of the Grama Panchayat (Category-II)  and has Residential A1 occupancy classification.The building complies with the building rules, as the actual FSI of 0 is within the permissible limit of 2.5. The building complies with the building rules, as the actual Coverage of 0 is within the permissible limit of 60.</v>
      </c>
    </row>
    <row r="11" spans="1:5" ht="50.15" customHeight="1">
      <c r="A11" s="99"/>
      <c r="B11" s="298" t="s">
        <v>171</v>
      </c>
      <c r="C11" s="25"/>
      <c r="D11" s="25" t="str">
        <f>AVMDropdown!P239</f>
        <v/>
      </c>
      <c r="E11" s="19" t="str">
        <f t="shared" si="0"/>
        <v/>
      </c>
    </row>
    <row r="12" spans="1:5" ht="192" customHeight="1">
      <c r="B12" s="465" t="str">
        <f ca="1">_xlfn.TEXTJOIN("
##   ",TRUE,E2:E11)</f>
        <v>Digital extract of Agreement,Title Deed(Doc No. 153/2022) ,Land Tax Receipt(No. 153/2022) ,Possession Certificate(Doc No. 153/2022)  produced of perusal.
##   N
##   Discrepancy noted between the Agreement and the Title Deed: The owner mentioned in the Agreement is not reflected in the Title Deed.(Owner-  Jayan, Jayan).  Discrepancy noted between the Land tax receipt and the Title Deed: The owner mentioned in the Land tax receipt is not reflected in the Title Deed.(Owner-  Jayan).
##   Discrepancy noted: Survey number referenced in the agreement is absent in the Title deed. (Re-Sy Sub-Div no.21-2)
##   4.15 Ares of land in Re-Sy Block No.3, Re-Sy No.254, Re-Sy Sub-Div No.21-2  located in Veilyoor Village, Thiruvanthupuram Taluk, Thiruvanthapuram District.
##   Plot is classified as wet land as per Land Tax Receipt.
##   Property boundaries does not have matches/connections with respect to Title deed
##   The building is located within the limits of the Grama Panchayat (Category-II)  and has Lodging houses &amp; 
Special Residential A2   occupancy classification.The building complies with the building rules, as the actual FSI of 0 is within the permissible limit of 1.5. The building complies with the building rules, as the actual Coverage of 0 is within the permissible limit of 55. The building is located within the limits of the Grama Panchayat (Category-II)  and has Residential A1 occupancy classification.The building complies with the building rules, as the actual FSI of 0 is within the permissible limit of 2.5. The building complies with the building rules, as the actual Coverage of 0 is within the permissible limit of 60.</v>
      </c>
      <c r="C12" s="465"/>
      <c r="D12" s="465"/>
      <c r="E12" s="465"/>
    </row>
    <row r="13" spans="1:5" s="296" customFormat="1" ht="204.75" customHeight="1">
      <c r="A13" s="301"/>
      <c r="B13" s="466" t="str">
        <f ca="1">_xlfn.TEXTJOIN("
##   ",TRUE,E3:E12)</f>
        <v>N
##   Discrepancy noted between the Agreement and the Title Deed: The owner mentioned in the Agreement is not reflected in the Title Deed.(Owner-  Jayan, Jayan).  Discrepancy noted between the Land tax receipt and the Title Deed: The owner mentioned in the Land tax receipt is not reflected in the Title Deed.(Owner-  Jayan).
##   Discrepancy noted: Survey number referenced in the agreement is absent in the Title deed. (Re-Sy Sub-Div no.21-2)
##   4.15 Ares of land in Re-Sy Block No.3, Re-Sy No.254, Re-Sy Sub-Div No.21-2  located in Veilyoor Village, Thiruvanthupuram Taluk, Thiruvanthapuram District.
##   Plot is classified as wet land as per Land Tax Receipt.
##   Property boundaries does not have matches/connections with respect to Title deed
##   The building is located within the limits of the Grama Panchayat (Category-II)  and has Lodging houses &amp; 
Special Residential A2   occupancy classification.The building complies with the building rules, as the actual FSI of 0 is within the permissible limit of 1.5. The building complies with the building rules, as the actual Coverage of 0 is within the permissible limit of 55. The building is located within the limits of the Grama Panchayat (Category-II)  and has Residential A1 occupancy classification.The building complies with the building rules, as the actual FSI of 0 is within the permissible limit of 2.5. The building complies with the building rules, as the actual Coverage of 0 is within the permissible limit of 60.</v>
      </c>
      <c r="C13" s="466"/>
      <c r="D13" s="466"/>
      <c r="E13" s="466"/>
    </row>
  </sheetData>
  <mergeCells count="2">
    <mergeCell ref="B12:E12"/>
    <mergeCell ref="B13:E13"/>
  </mergeCells>
  <pageMargins left="0.7" right="0.7" top="0.75" bottom="0.75" header="0.3" footer="0.3"/>
  <pageSetup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AVMDropdown!$B$2:$B$19</xm:f>
          </x14:formula1>
          <xm:sqref>C6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1:AB247"/>
  <sheetViews>
    <sheetView topLeftCell="A13" workbookViewId="0">
      <selection activeCell="C18" sqref="C18"/>
    </sheetView>
  </sheetViews>
  <sheetFormatPr defaultColWidth="8.54296875" defaultRowHeight="20.149999999999999" customHeight="1"/>
  <cols>
    <col min="1" max="1" width="3" style="69" customWidth="1"/>
    <col min="2" max="2" width="43" style="69" customWidth="1"/>
    <col min="3" max="3" width="36" style="69" customWidth="1"/>
    <col min="4" max="4" width="23.1796875" style="69" customWidth="1"/>
    <col min="5" max="5" width="18.26953125" style="69" customWidth="1"/>
    <col min="6" max="7" width="21" style="69" customWidth="1"/>
    <col min="8" max="8" width="26.1796875" style="69" customWidth="1"/>
    <col min="9" max="9" width="23.81640625" style="69" customWidth="1"/>
    <col min="10" max="10" width="16.26953125" style="69" customWidth="1"/>
    <col min="11" max="11" width="20.1796875" style="69" customWidth="1"/>
    <col min="12" max="12" width="15.7265625" style="69" customWidth="1"/>
    <col min="13" max="13" width="18.453125" style="69" customWidth="1"/>
    <col min="14" max="14" width="69" style="69" customWidth="1"/>
    <col min="15" max="15" width="13.26953125" style="69" customWidth="1"/>
    <col min="16" max="16" width="105.81640625" style="69" customWidth="1"/>
    <col min="17" max="17" width="100.54296875" style="69" customWidth="1"/>
    <col min="18" max="18" width="30.1796875" style="69" customWidth="1"/>
    <col min="19" max="19" width="13.81640625" style="69" customWidth="1"/>
    <col min="20" max="20" width="68.453125" style="69" customWidth="1"/>
    <col min="21" max="22" width="255.7265625" style="69" customWidth="1"/>
    <col min="23" max="23" width="69" style="69" customWidth="1"/>
    <col min="24" max="24" width="69.26953125" style="69" customWidth="1"/>
    <col min="25" max="25" width="70.54296875" style="69" customWidth="1"/>
    <col min="26" max="26" width="255.7265625" style="69" customWidth="1"/>
    <col min="27" max="27" width="70.54296875" style="69" customWidth="1"/>
    <col min="28" max="28" width="255.7265625" style="69" customWidth="1"/>
    <col min="29" max="16384" width="8.54296875" style="69"/>
  </cols>
  <sheetData>
    <row r="1" spans="1:15" ht="20.149999999999999" customHeight="1">
      <c r="B1" s="69" t="s">
        <v>172</v>
      </c>
      <c r="C1" s="69" t="s">
        <v>173</v>
      </c>
      <c r="D1" s="69" t="s">
        <v>174</v>
      </c>
      <c r="E1" s="69" t="s">
        <v>175</v>
      </c>
      <c r="F1" s="69" t="s">
        <v>176</v>
      </c>
      <c r="G1" s="69" t="s">
        <v>65</v>
      </c>
      <c r="H1" s="69" t="s">
        <v>177</v>
      </c>
      <c r="I1" s="69" t="s">
        <v>131</v>
      </c>
      <c r="K1" s="69" t="s">
        <v>178</v>
      </c>
      <c r="N1" s="69" t="s">
        <v>179</v>
      </c>
      <c r="O1" s="69" t="s">
        <v>39</v>
      </c>
    </row>
    <row r="2" spans="1:15" ht="20.149999999999999" customHeight="1">
      <c r="A2" s="69">
        <v>1</v>
      </c>
      <c r="B2" s="69" t="s">
        <v>43</v>
      </c>
      <c r="C2" s="69">
        <f>'01.AGRMT'!AA23</f>
        <v>2.0699999999999998</v>
      </c>
      <c r="D2" s="19" t="s">
        <v>87</v>
      </c>
      <c r="E2" s="69" t="s">
        <v>102</v>
      </c>
      <c r="F2" s="69" t="s">
        <v>180</v>
      </c>
      <c r="G2" s="69" t="s">
        <v>181</v>
      </c>
      <c r="H2" s="69" t="s">
        <v>137</v>
      </c>
      <c r="I2" s="69" t="s">
        <v>182</v>
      </c>
      <c r="K2" s="69" t="s">
        <v>183</v>
      </c>
      <c r="L2" s="69" t="s">
        <v>184</v>
      </c>
      <c r="M2" s="69" t="s">
        <v>185</v>
      </c>
      <c r="N2" s="69" t="s">
        <v>186</v>
      </c>
      <c r="O2" s="69" t="s">
        <v>187</v>
      </c>
    </row>
    <row r="3" spans="1:15" ht="20.149999999999999" customHeight="1">
      <c r="A3" s="69">
        <v>2</v>
      </c>
      <c r="B3" s="69" t="s">
        <v>44</v>
      </c>
      <c r="C3" s="69">
        <f>'02.OTD'!AA23</f>
        <v>2.1</v>
      </c>
      <c r="D3" s="19" t="s">
        <v>85</v>
      </c>
      <c r="E3" s="69" t="s">
        <v>103</v>
      </c>
      <c r="F3" s="69" t="s">
        <v>106</v>
      </c>
      <c r="G3" s="69" t="s">
        <v>188</v>
      </c>
      <c r="H3" s="69" t="s">
        <v>189</v>
      </c>
      <c r="I3" s="69" t="s">
        <v>132</v>
      </c>
      <c r="K3" s="69" t="s">
        <v>190</v>
      </c>
      <c r="L3" s="69" t="s">
        <v>191</v>
      </c>
      <c r="M3" s="69" t="s">
        <v>192</v>
      </c>
      <c r="N3" s="69" t="s">
        <v>193</v>
      </c>
      <c r="O3" s="69" t="s">
        <v>194</v>
      </c>
    </row>
    <row r="4" spans="1:15" ht="20.149999999999999" customHeight="1">
      <c r="A4" s="69">
        <v>3</v>
      </c>
      <c r="B4" s="69" t="s">
        <v>46</v>
      </c>
      <c r="C4" s="69">
        <f>'03.LTR'!AA23</f>
        <v>4.1500000000000004</v>
      </c>
      <c r="D4" s="19" t="s">
        <v>86</v>
      </c>
      <c r="E4" s="69" t="s">
        <v>104</v>
      </c>
      <c r="F4" s="69" t="s">
        <v>195</v>
      </c>
      <c r="G4" s="69" t="s">
        <v>196</v>
      </c>
      <c r="H4" s="69" t="s">
        <v>187</v>
      </c>
      <c r="K4" s="69" t="s">
        <v>197</v>
      </c>
      <c r="L4" s="69" t="s">
        <v>198</v>
      </c>
      <c r="M4" s="69" t="s">
        <v>199</v>
      </c>
      <c r="N4" s="69" t="s">
        <v>200</v>
      </c>
      <c r="O4" s="69" t="s">
        <v>201</v>
      </c>
    </row>
    <row r="5" spans="1:15" ht="20.149999999999999" customHeight="1">
      <c r="A5" s="69">
        <v>4</v>
      </c>
      <c r="B5" s="69" t="s">
        <v>45</v>
      </c>
      <c r="C5" s="69">
        <f>'04.POSN'!AA23</f>
        <v>0.79</v>
      </c>
      <c r="D5" s="19" t="s">
        <v>202</v>
      </c>
      <c r="E5" s="69" t="s">
        <v>203</v>
      </c>
      <c r="F5" s="69" t="s">
        <v>204</v>
      </c>
      <c r="G5" s="69" t="s">
        <v>66</v>
      </c>
      <c r="H5" s="69" t="s">
        <v>205</v>
      </c>
      <c r="K5" s="69" t="s">
        <v>206</v>
      </c>
      <c r="N5" s="69" t="s">
        <v>207</v>
      </c>
      <c r="O5" s="69" t="s">
        <v>205</v>
      </c>
    </row>
    <row r="6" spans="1:15" ht="20.149999999999999" customHeight="1">
      <c r="A6" s="69">
        <v>5</v>
      </c>
      <c r="B6" s="69" t="s">
        <v>208</v>
      </c>
      <c r="C6" s="69">
        <f>'05.TIR'!AA23</f>
        <v>0</v>
      </c>
      <c r="D6" s="19" t="s">
        <v>209</v>
      </c>
      <c r="E6" s="69" t="s">
        <v>196</v>
      </c>
      <c r="F6" s="69" t="s">
        <v>107</v>
      </c>
      <c r="H6" s="19" t="s">
        <v>210</v>
      </c>
      <c r="N6" s="69" t="s">
        <v>211</v>
      </c>
      <c r="O6" s="69" t="s">
        <v>212</v>
      </c>
    </row>
    <row r="7" spans="1:15" ht="20.149999999999999" customHeight="1">
      <c r="A7" s="69">
        <v>6</v>
      </c>
      <c r="B7" s="69" t="s">
        <v>213</v>
      </c>
      <c r="C7" s="69">
        <f>'06.LocSk'!AA23</f>
        <v>0</v>
      </c>
      <c r="D7" s="19" t="s">
        <v>214</v>
      </c>
      <c r="E7" s="69" t="s">
        <v>188</v>
      </c>
      <c r="N7" s="69" t="s">
        <v>215</v>
      </c>
    </row>
    <row r="8" spans="1:15" ht="20.149999999999999" customHeight="1">
      <c r="A8" s="69">
        <v>7</v>
      </c>
      <c r="B8" s="69" t="s">
        <v>216</v>
      </c>
      <c r="C8" s="69">
        <f>'07.SurSk'!AA23</f>
        <v>0</v>
      </c>
      <c r="D8" s="19" t="s">
        <v>217</v>
      </c>
      <c r="E8" s="69" t="s">
        <v>218</v>
      </c>
      <c r="N8" s="69" t="s">
        <v>219</v>
      </c>
    </row>
    <row r="9" spans="1:15" ht="20.149999999999999" customHeight="1">
      <c r="A9" s="69">
        <v>8</v>
      </c>
      <c r="B9" s="69" t="s">
        <v>220</v>
      </c>
      <c r="C9" s="69">
        <f>'06.BPER'!AA23</f>
        <v>0</v>
      </c>
      <c r="E9" s="69" t="s">
        <v>221</v>
      </c>
      <c r="N9" s="69" t="s">
        <v>222</v>
      </c>
    </row>
    <row r="10" spans="1:15" ht="20.149999999999999" customHeight="1">
      <c r="A10" s="69">
        <v>9</v>
      </c>
      <c r="B10" s="69" t="s">
        <v>223</v>
      </c>
      <c r="C10" s="69">
        <f>'07.DPER'!AA23</f>
        <v>0</v>
      </c>
      <c r="E10" s="69" t="s">
        <v>224</v>
      </c>
      <c r="N10" s="69" t="s">
        <v>225</v>
      </c>
    </row>
    <row r="11" spans="1:15" ht="20.149999999999999" customHeight="1">
      <c r="A11" s="69">
        <v>10</v>
      </c>
      <c r="B11" s="69" t="s">
        <v>226</v>
      </c>
      <c r="N11" s="69" t="s">
        <v>227</v>
      </c>
    </row>
    <row r="12" spans="1:15" ht="20.149999999999999" customHeight="1">
      <c r="A12" s="69">
        <v>11</v>
      </c>
      <c r="B12" s="69" t="s">
        <v>228</v>
      </c>
      <c r="N12" s="69" t="s">
        <v>229</v>
      </c>
    </row>
    <row r="13" spans="1:15" ht="20.149999999999999" customHeight="1">
      <c r="A13" s="69">
        <v>12</v>
      </c>
      <c r="B13" s="69" t="s">
        <v>230</v>
      </c>
      <c r="N13" s="69" t="s">
        <v>231</v>
      </c>
    </row>
    <row r="14" spans="1:15" ht="20.149999999999999" customHeight="1">
      <c r="A14" s="69">
        <v>13</v>
      </c>
      <c r="B14" s="69" t="s">
        <v>232</v>
      </c>
      <c r="N14" s="69" t="s">
        <v>233</v>
      </c>
    </row>
    <row r="15" spans="1:15" ht="20.149999999999999" customHeight="1">
      <c r="A15" s="69">
        <v>14</v>
      </c>
      <c r="B15" s="69" t="s">
        <v>234</v>
      </c>
      <c r="N15" s="69" t="s">
        <v>235</v>
      </c>
    </row>
    <row r="16" spans="1:15" ht="20.149999999999999" customHeight="1">
      <c r="A16" s="69">
        <v>15</v>
      </c>
      <c r="B16" s="69" t="s">
        <v>236</v>
      </c>
      <c r="C16" s="69">
        <f>'01B.SDEC'!AA23</f>
        <v>0</v>
      </c>
    </row>
    <row r="17" spans="2:14" ht="20.149999999999999" customHeight="1">
      <c r="B17" s="70"/>
      <c r="C17" s="70"/>
      <c r="D17" s="70" t="s">
        <v>237</v>
      </c>
      <c r="E17" s="70" t="s">
        <v>238</v>
      </c>
      <c r="F17" s="70" t="s">
        <v>239</v>
      </c>
      <c r="G17" s="70" t="s">
        <v>240</v>
      </c>
      <c r="H17" s="70" t="s">
        <v>241</v>
      </c>
      <c r="I17" s="70" t="s">
        <v>242</v>
      </c>
      <c r="J17" s="70" t="s">
        <v>243</v>
      </c>
      <c r="K17" s="70" t="s">
        <v>244</v>
      </c>
      <c r="L17" s="70"/>
      <c r="N17" s="69" t="s">
        <v>245</v>
      </c>
    </row>
    <row r="18" spans="2:14" ht="20.149999999999999" customHeight="1">
      <c r="B18" s="70" t="s">
        <v>246</v>
      </c>
      <c r="C18" s="70" t="str">
        <f>Report!L44</f>
        <v>8.531990704532049, 77.14167293463632</v>
      </c>
      <c r="D18" s="70" t="str">
        <f>LEFT($C$18,FIND(",",$C$18)-1)</f>
        <v>8.531990704532049</v>
      </c>
      <c r="E18" s="70" t="str">
        <f>MID($C$18,FIND(",",$C$18)+1,LEN($C$18))</f>
        <v>77.14167293463632</v>
      </c>
      <c r="F18" s="70"/>
      <c r="G18" s="70"/>
      <c r="H18" s="70"/>
      <c r="I18" s="70"/>
      <c r="J18" s="70"/>
      <c r="K18" s="70"/>
      <c r="L18" s="70"/>
    </row>
    <row r="19" spans="2:14" ht="20.149999999999999" customHeight="1">
      <c r="B19" s="70" t="s">
        <v>247</v>
      </c>
      <c r="C19" s="70" t="s">
        <v>248</v>
      </c>
      <c r="D19" s="70" t="str">
        <f t="shared" ref="D19:D34" si="0">LEFT($C$18,FIND(",",$C$18)-1)</f>
        <v>8.531990704532049</v>
      </c>
      <c r="E19" s="70" t="str">
        <f t="shared" ref="E19:E34" si="1">MID($C$18,FIND(",",$C$18)+1,LEN($C$18))</f>
        <v>77.14167293463632</v>
      </c>
      <c r="F19" s="70" t="str">
        <f>CONCATENATE(TRIM(LEFT(C19,FIND(",",C19)-1)))</f>
        <v>8.483522392702593</v>
      </c>
      <c r="G19" s="70" t="str">
        <f>CONCATENATE(TRIM(MID(C19,FIND(",",C19)+1,LEN(C19))))</f>
        <v>76.91848422531444</v>
      </c>
      <c r="H19" s="70">
        <f>(D19-F19)^2</f>
        <v>2.3491772515968901E-3</v>
      </c>
      <c r="I19" s="70">
        <f>(E19-G19)^2</f>
        <v>4.9813199968776901E-2</v>
      </c>
      <c r="J19" s="70">
        <f>(H19+I19)^(1/2)</f>
        <v>0.22839084311848801</v>
      </c>
      <c r="K19" s="70">
        <f>ROUND(J19*100000,0)</f>
        <v>22839</v>
      </c>
      <c r="L19" s="70">
        <f>IF(K19&lt;=6000,1,0)</f>
        <v>0</v>
      </c>
      <c r="M19" s="69" t="str">
        <f>IF(L19=1,N19,"")</f>
        <v/>
      </c>
      <c r="N19" s="19" t="str">
        <f>CONCATENATE("Property is within 6KM from ",B19)</f>
        <v>Property is within 6KM from Trivandrum Airport</v>
      </c>
    </row>
    <row r="20" spans="2:14" ht="20.149999999999999" customHeight="1">
      <c r="B20" s="70" t="s">
        <v>249</v>
      </c>
      <c r="C20" s="70" t="s">
        <v>250</v>
      </c>
      <c r="D20" s="70" t="str">
        <f t="shared" si="0"/>
        <v>8.531990704532049</v>
      </c>
      <c r="E20" s="70" t="str">
        <f t="shared" si="1"/>
        <v>77.14167293463632</v>
      </c>
      <c r="F20" s="70" t="str">
        <f t="shared" ref="F20:F22" si="2">CONCATENATE(TRIM(LEFT(C20,FIND(",",C20)-1)))</f>
        <v>10.153110644714866</v>
      </c>
      <c r="G20" s="70" t="str">
        <f t="shared" ref="G20:G22" si="3">CONCATENATE(TRIM(MID(C20,FIND(",",C20)+1,LEN(C20))))</f>
        <v>76.393291290874</v>
      </c>
      <c r="H20" s="70">
        <f t="shared" ref="H20:H22" si="4">(D20-F20)^2</f>
        <v>2.62802986045816</v>
      </c>
      <c r="I20" s="70">
        <f t="shared" ref="I20:I22" si="5">(E20-G20)^2</f>
        <v>0.56007508472036305</v>
      </c>
      <c r="J20" s="70">
        <f t="shared" ref="J20:J22" si="6">(H20+I20)^(1/2)</f>
        <v>1.78552651763521</v>
      </c>
      <c r="K20" s="70">
        <f t="shared" ref="K20:K34" si="7">ROUND(J20*100000,0)</f>
        <v>178553</v>
      </c>
      <c r="L20" s="70">
        <f t="shared" ref="L20:L22" si="8">IF(K20&lt;=6000,1,0)</f>
        <v>0</v>
      </c>
      <c r="M20" s="69" t="str">
        <f t="shared" ref="M20:M22" si="9">IF(L20=1,N20,"")</f>
        <v/>
      </c>
      <c r="N20" s="19" t="str">
        <f t="shared" ref="N20:N22" si="10">CONCATENATE("Property is within 6KM from ",B20)</f>
        <v>Property is within 6KM from Kochi Airport</v>
      </c>
    </row>
    <row r="21" spans="2:14" ht="20.149999999999999" customHeight="1">
      <c r="B21" s="70" t="s">
        <v>251</v>
      </c>
      <c r="C21" s="70" t="s">
        <v>252</v>
      </c>
      <c r="D21" s="70" t="str">
        <f t="shared" si="0"/>
        <v>8.531990704532049</v>
      </c>
      <c r="E21" s="70" t="str">
        <f t="shared" si="1"/>
        <v>77.14167293463632</v>
      </c>
      <c r="F21" s="70" t="str">
        <f t="shared" si="2"/>
        <v>11.136329449163506</v>
      </c>
      <c r="G21" s="70" t="str">
        <f t="shared" si="3"/>
        <v>75.95447156439819</v>
      </c>
      <c r="H21" s="70">
        <f t="shared" si="4"/>
        <v>6.7825802967885602</v>
      </c>
      <c r="I21" s="70">
        <f t="shared" si="5"/>
        <v>1.4094470934954599</v>
      </c>
      <c r="J21" s="70">
        <f t="shared" si="6"/>
        <v>2.8621717960814301</v>
      </c>
      <c r="K21" s="70">
        <f t="shared" si="7"/>
        <v>286217</v>
      </c>
      <c r="L21" s="70">
        <f t="shared" si="8"/>
        <v>0</v>
      </c>
      <c r="M21" s="69" t="str">
        <f t="shared" si="9"/>
        <v/>
      </c>
      <c r="N21" s="19" t="str">
        <f t="shared" si="10"/>
        <v>Property is within 6KM from Calicut</v>
      </c>
    </row>
    <row r="22" spans="2:14" ht="20.149999999999999" customHeight="1">
      <c r="B22" s="70" t="s">
        <v>253</v>
      </c>
      <c r="C22" s="70" t="s">
        <v>254</v>
      </c>
      <c r="D22" s="70" t="str">
        <f t="shared" si="0"/>
        <v>8.531990704532049</v>
      </c>
      <c r="E22" s="70" t="str">
        <f t="shared" si="1"/>
        <v>77.14167293463632</v>
      </c>
      <c r="F22" s="70" t="str">
        <f t="shared" si="2"/>
        <v>11.917134319907335</v>
      </c>
      <c r="G22" s="70" t="str">
        <f t="shared" si="3"/>
        <v>75.54616852946424</v>
      </c>
      <c r="H22" s="70">
        <f t="shared" si="4"/>
        <v>11.459197296715899</v>
      </c>
      <c r="I22" s="70">
        <f t="shared" si="5"/>
        <v>2.5456343069236</v>
      </c>
      <c r="J22" s="70">
        <f t="shared" si="6"/>
        <v>3.7423029812722901</v>
      </c>
      <c r="K22" s="70">
        <f t="shared" si="7"/>
        <v>374230</v>
      </c>
      <c r="L22" s="70">
        <f t="shared" si="8"/>
        <v>0</v>
      </c>
      <c r="M22" s="69" t="str">
        <f t="shared" si="9"/>
        <v/>
      </c>
      <c r="N22" s="19" t="str">
        <f t="shared" si="10"/>
        <v>Property is within 6KM from Kannur Airport</v>
      </c>
    </row>
    <row r="23" spans="2:14" ht="20.149999999999999" customHeight="1">
      <c r="B23" s="239" t="s">
        <v>255</v>
      </c>
      <c r="C23" s="70"/>
      <c r="D23" s="70"/>
      <c r="E23" s="70"/>
      <c r="F23" s="70"/>
      <c r="G23" s="70"/>
      <c r="H23" s="70"/>
      <c r="I23" s="70"/>
      <c r="J23" s="70"/>
      <c r="K23" s="70"/>
      <c r="L23" s="70">
        <f>SUM(L19:L22)</f>
        <v>0</v>
      </c>
      <c r="M23" s="241" t="str">
        <f>IF(L23=0,"Not Applicable","Applicable")</f>
        <v>Not Applicable</v>
      </c>
      <c r="N23" s="242" t="str">
        <f>_xlfn.TEXTJOIN("",TRUE,M19:M22)</f>
        <v/>
      </c>
    </row>
    <row r="24" spans="2:14" ht="14.5">
      <c r="B24" s="70" t="s">
        <v>256</v>
      </c>
      <c r="C24" s="70" t="s">
        <v>257</v>
      </c>
      <c r="D24" s="70" t="str">
        <f t="shared" si="0"/>
        <v>8.531990704532049</v>
      </c>
      <c r="E24" s="70" t="str">
        <f t="shared" si="1"/>
        <v>77.14167293463632</v>
      </c>
      <c r="F24" s="70" t="str">
        <f t="shared" ref="F24:F26" si="11">CONCATENATE(TRIM(LEFT(C24,FIND(",",C24)-1)))</f>
        <v>8.382530748214727</v>
      </c>
      <c r="G24" s="70" t="str">
        <f t="shared" ref="G24:G26" si="12">CONCATENATE(TRIM(MID(C24,FIND(",",C24)+1,LEN(C24))))</f>
        <v>76.99142482395224</v>
      </c>
      <c r="H24" s="70">
        <f t="shared" ref="H24:H26" si="13">(D24-F24)^2</f>
        <v>2.2338278542375401E-2</v>
      </c>
      <c r="I24" s="70">
        <f t="shared" ref="I24:I26" si="14">(E24-G24)^2</f>
        <v>2.25744947641425E-2</v>
      </c>
      <c r="J24" s="70">
        <f t="shared" ref="J24:J26" si="15">(H24+I24)^(1/2)</f>
        <v>0.211926339341097</v>
      </c>
      <c r="K24" s="70">
        <f t="shared" si="7"/>
        <v>21193</v>
      </c>
      <c r="L24" s="70">
        <f>IF(K24&lt;=1000,1,0)</f>
        <v>0</v>
      </c>
      <c r="M24" s="69" t="str">
        <f>IF(L24=1,N24,"")</f>
        <v/>
      </c>
      <c r="N24" s="19" t="str">
        <f>CONCATENATE("Property is within 1KM from ",B24)</f>
        <v>Property is within 1KM from Rock Cut Cave</v>
      </c>
    </row>
    <row r="25" spans="2:14" ht="20.149999999999999" customHeight="1">
      <c r="B25" s="70" t="s">
        <v>258</v>
      </c>
      <c r="C25" s="70" t="s">
        <v>259</v>
      </c>
      <c r="D25" s="70" t="str">
        <f t="shared" si="0"/>
        <v>8.531990704532049</v>
      </c>
      <c r="E25" s="70" t="str">
        <f t="shared" si="1"/>
        <v>77.14167293463632</v>
      </c>
      <c r="F25" s="70" t="str">
        <f t="shared" si="11"/>
        <v>8.662676377187465</v>
      </c>
      <c r="G25" s="70" t="str">
        <f t="shared" si="12"/>
        <v>76.76441678635129</v>
      </c>
      <c r="H25" s="70">
        <f t="shared" si="13"/>
        <v>1.7078745037399399E-2</v>
      </c>
      <c r="I25" s="70">
        <f t="shared" si="14"/>
        <v>0.142322201418909</v>
      </c>
      <c r="J25" s="70">
        <f t="shared" si="15"/>
        <v>0.39925048084668302</v>
      </c>
      <c r="K25" s="70">
        <f t="shared" si="7"/>
        <v>39925</v>
      </c>
      <c r="L25" s="70">
        <f t="shared" ref="L25:L27" si="16">IF(K25&lt;=1000,1,0)</f>
        <v>0</v>
      </c>
      <c r="M25" s="69" t="str">
        <f t="shared" ref="M25:M27" si="17">IF(L25=1,N25,"")</f>
        <v/>
      </c>
      <c r="N25" s="19" t="str">
        <f t="shared" ref="N25:N27" si="18">CONCATENATE("Property is within 1KM from ",B25)</f>
        <v>Property is within 1KM from Anjengo Fort</v>
      </c>
    </row>
    <row r="26" spans="2:14" ht="20.149999999999999" customHeight="1">
      <c r="B26" s="25" t="s">
        <v>260</v>
      </c>
      <c r="C26" s="70" t="s">
        <v>261</v>
      </c>
      <c r="D26" s="70" t="str">
        <f t="shared" si="0"/>
        <v>8.531990704532049</v>
      </c>
      <c r="E26" s="70" t="str">
        <f t="shared" si="1"/>
        <v>77.14167293463632</v>
      </c>
      <c r="F26" s="70" t="str">
        <f t="shared" si="11"/>
        <v>8.441568557077572</v>
      </c>
      <c r="G26" s="70" t="str">
        <f t="shared" si="12"/>
        <v>76.95507035430236</v>
      </c>
      <c r="H26" s="70">
        <f t="shared" si="13"/>
        <v>8.1761647502779505E-3</v>
      </c>
      <c r="I26" s="70">
        <f t="shared" si="14"/>
        <v>3.4820522987310899E-2</v>
      </c>
      <c r="J26" s="70">
        <f t="shared" si="15"/>
        <v>0.20735642680560701</v>
      </c>
      <c r="K26" s="70">
        <f t="shared" si="7"/>
        <v>20736</v>
      </c>
      <c r="L26" s="70">
        <f t="shared" si="16"/>
        <v>0</v>
      </c>
      <c r="M26" s="69" t="str">
        <f t="shared" si="17"/>
        <v/>
      </c>
      <c r="N26" s="19" t="str">
        <f t="shared" si="18"/>
        <v>Property is within 1KM from "Parasurama, Siva, Brahma and Matsy Temple"</v>
      </c>
    </row>
    <row r="27" spans="2:14" ht="20.149999999999999" customHeight="1">
      <c r="B27" s="70" t="s">
        <v>262</v>
      </c>
      <c r="C27" s="70" t="s">
        <v>263</v>
      </c>
      <c r="D27" s="70" t="str">
        <f t="shared" si="0"/>
        <v>8.531990704532049</v>
      </c>
      <c r="E27" s="70" t="str">
        <f t="shared" si="1"/>
        <v>77.14167293463632</v>
      </c>
      <c r="F27" s="70" t="str">
        <f t="shared" ref="F27" si="19">CONCATENATE(TRIM(LEFT(C27,FIND(",",C27)-1)))</f>
        <v>8.881653150321231</v>
      </c>
      <c r="G27" s="70" t="str">
        <f t="shared" ref="G27" si="20">CONCATENATE(TRIM(MID(C27,FIND(",",C27)+1,LEN(C27))))</f>
        <v>76.56850607810965</v>
      </c>
      <c r="H27" s="70">
        <f t="shared" ref="H27" si="21">(D27-F27)^2</f>
        <v>0.12226382599527801</v>
      </c>
      <c r="I27" s="70">
        <f t="shared" ref="I27" si="22">(E27-G27)^2</f>
        <v>0.32852024542069502</v>
      </c>
      <c r="J27" s="70">
        <f t="shared" ref="J27" si="23">(H27+I27)^(1/2)</f>
        <v>0.67140455123269205</v>
      </c>
      <c r="K27" s="70">
        <f t="shared" si="7"/>
        <v>67140</v>
      </c>
      <c r="L27" s="70">
        <f t="shared" si="16"/>
        <v>0</v>
      </c>
      <c r="M27" s="69" t="str">
        <f t="shared" si="17"/>
        <v/>
      </c>
      <c r="N27" s="19" t="str">
        <f t="shared" si="18"/>
        <v>Property is within 1KM from "Remains of Fort Kollam"</v>
      </c>
    </row>
    <row r="28" spans="2:14" ht="20.149999999999999" customHeight="1">
      <c r="B28" s="240" t="s">
        <v>264</v>
      </c>
      <c r="C28" s="70"/>
      <c r="D28" s="70"/>
      <c r="E28" s="70"/>
      <c r="F28" s="70"/>
      <c r="G28" s="70"/>
      <c r="H28" s="70"/>
      <c r="I28" s="70"/>
      <c r="J28" s="70"/>
      <c r="K28" s="70"/>
      <c r="L28" s="70">
        <f>SUM(L24:L27)</f>
        <v>0</v>
      </c>
      <c r="M28" s="241" t="str">
        <f>IF(L28=0,"Not Applicable","Applicable")</f>
        <v>Not Applicable</v>
      </c>
      <c r="N28" s="242" t="str">
        <f>_xlfn.TEXTJOIN("",TRUE,M24:M27)</f>
        <v/>
      </c>
    </row>
    <row r="29" spans="2:14" ht="20.149999999999999" customHeight="1">
      <c r="B29" s="70" t="s">
        <v>265</v>
      </c>
      <c r="C29" s="70" t="s">
        <v>266</v>
      </c>
      <c r="D29" s="70" t="str">
        <f t="shared" si="0"/>
        <v>8.531990704532049</v>
      </c>
      <c r="E29" s="70" t="str">
        <f t="shared" si="1"/>
        <v>77.14167293463632</v>
      </c>
      <c r="F29" s="70" t="str">
        <f t="shared" ref="F29:F34" si="24">CONCATENATE(TRIM(LEFT(C29,FIND(",",C29)-1)))</f>
        <v>10.190308776968322</v>
      </c>
      <c r="G29" s="70" t="str">
        <f t="shared" ref="G29:G34" si="25">CONCATENATE(TRIM(MID(C29,FIND(",",C29)+1,LEN(C29))))</f>
        <v>77.1772743336987</v>
      </c>
      <c r="H29" s="70">
        <f t="shared" ref="H29:H34" si="26">(D29-F29)^2</f>
        <v>2.75001882936871</v>
      </c>
      <c r="I29" s="70">
        <f t="shared" ref="I29:I34" si="27">(E29-G29)^2</f>
        <v>1.2674596152003001E-3</v>
      </c>
      <c r="J29" s="70">
        <f t="shared" ref="J29:J34" si="28">(H29+I29)^(1/2)</f>
        <v>1.65870018055823</v>
      </c>
      <c r="K29" s="70">
        <f t="shared" si="7"/>
        <v>165870</v>
      </c>
      <c r="L29" s="70">
        <f>IF(K29&lt;=7000,1,0)</f>
        <v>0</v>
      </c>
      <c r="M29" s="69" t="str">
        <f>IF(L29=1,N29,"")</f>
        <v/>
      </c>
      <c r="N29" s="19" t="str">
        <f>CONCATENATE("Property is within 7KM from ",B29)</f>
        <v>Property is within 7KM from Anamudi Shola National Park</v>
      </c>
    </row>
    <row r="30" spans="2:14" ht="20.149999999999999" customHeight="1">
      <c r="B30" s="70" t="s">
        <v>267</v>
      </c>
      <c r="C30" s="70" t="s">
        <v>268</v>
      </c>
      <c r="D30" s="70" t="str">
        <f t="shared" si="0"/>
        <v>8.531990704532049</v>
      </c>
      <c r="E30" s="70" t="str">
        <f t="shared" si="1"/>
        <v>77.14167293463632</v>
      </c>
      <c r="F30" s="70" t="str">
        <f t="shared" si="24"/>
        <v>10.145358937789558</v>
      </c>
      <c r="G30" s="70" t="str">
        <f t="shared" si="25"/>
        <v>77.03665173762484</v>
      </c>
      <c r="H30" s="70">
        <f t="shared" si="26"/>
        <v>2.6029570560842901</v>
      </c>
      <c r="I30" s="70">
        <f t="shared" si="27"/>
        <v>1.10294518217304E-2</v>
      </c>
      <c r="J30" s="70">
        <f t="shared" si="28"/>
        <v>1.6167827645995101</v>
      </c>
      <c r="K30" s="70">
        <f t="shared" si="7"/>
        <v>161678</v>
      </c>
      <c r="L30" s="70">
        <f t="shared" ref="L30:L34" si="29">IF(K30&lt;=7000,1,0)</f>
        <v>0</v>
      </c>
      <c r="M30" s="69" t="str">
        <f t="shared" ref="M30:M34" si="30">IF(L30=1,N30,"")</f>
        <v/>
      </c>
      <c r="N30" s="19" t="str">
        <f t="shared" ref="N30:N34" si="31">CONCATENATE("Property is within 7KM from ",B30)</f>
        <v>Property is within 7KM from Eravikulam National Park</v>
      </c>
    </row>
    <row r="31" spans="2:14" ht="20.149999999999999" customHeight="1">
      <c r="B31" s="70" t="s">
        <v>269</v>
      </c>
      <c r="C31" s="70" t="s">
        <v>270</v>
      </c>
      <c r="D31" s="70" t="str">
        <f t="shared" si="0"/>
        <v>8.531990704532049</v>
      </c>
      <c r="E31" s="70" t="str">
        <f t="shared" si="1"/>
        <v>77.14167293463632</v>
      </c>
      <c r="F31" s="70" t="str">
        <f t="shared" si="24"/>
        <v>9.98465160254722</v>
      </c>
      <c r="G31" s="70" t="str">
        <f t="shared" si="25"/>
        <v>77.24626600855393</v>
      </c>
      <c r="H31" s="70">
        <f t="shared" si="26"/>
        <v>2.1102236846222699</v>
      </c>
      <c r="I31" s="70">
        <f t="shared" si="27"/>
        <v>1.09397111115323E-2</v>
      </c>
      <c r="J31" s="70">
        <f t="shared" si="28"/>
        <v>1.4564214347961899</v>
      </c>
      <c r="K31" s="70">
        <f t="shared" si="7"/>
        <v>145642</v>
      </c>
      <c r="L31" s="70">
        <f t="shared" si="29"/>
        <v>0</v>
      </c>
      <c r="M31" s="69" t="str">
        <f t="shared" si="30"/>
        <v/>
      </c>
      <c r="N31" s="19" t="str">
        <f t="shared" si="31"/>
        <v>Property is within 7KM from Mathikettan Shola National Park</v>
      </c>
    </row>
    <row r="32" spans="2:14" ht="20.149999999999999" customHeight="1">
      <c r="B32" s="70" t="s">
        <v>271</v>
      </c>
      <c r="C32" s="70" t="s">
        <v>272</v>
      </c>
      <c r="D32" s="70" t="str">
        <f t="shared" si="0"/>
        <v>8.531990704532049</v>
      </c>
      <c r="E32" s="70" t="str">
        <f t="shared" si="1"/>
        <v>77.14167293463632</v>
      </c>
      <c r="F32" s="70" t="str">
        <f t="shared" si="24"/>
        <v>10.126624561501282</v>
      </c>
      <c r="G32" s="70" t="str">
        <f t="shared" si="25"/>
        <v>77.25817609528912</v>
      </c>
      <c r="H32" s="70">
        <f t="shared" si="26"/>
        <v>2.5428571377923399</v>
      </c>
      <c r="I32" s="70">
        <f t="shared" si="27"/>
        <v>1.35729864420916E-2</v>
      </c>
      <c r="J32" s="70">
        <f t="shared" si="28"/>
        <v>1.5988840246354401</v>
      </c>
      <c r="K32" s="70">
        <f t="shared" si="7"/>
        <v>159888</v>
      </c>
      <c r="L32" s="70">
        <f t="shared" si="29"/>
        <v>0</v>
      </c>
      <c r="M32" s="69" t="str">
        <f t="shared" si="30"/>
        <v/>
      </c>
      <c r="N32" s="19" t="str">
        <f t="shared" si="31"/>
        <v>Property is within 7KM from Pambadum Shola National Park</v>
      </c>
    </row>
    <row r="33" spans="1:25" ht="20.149999999999999" customHeight="1">
      <c r="B33" s="70" t="s">
        <v>273</v>
      </c>
      <c r="C33" s="70" t="s">
        <v>274</v>
      </c>
      <c r="D33" s="70" t="str">
        <f t="shared" si="0"/>
        <v>8.531990704532049</v>
      </c>
      <c r="E33" s="70" t="str">
        <f t="shared" si="1"/>
        <v>77.14167293463632</v>
      </c>
      <c r="F33" s="70" t="str">
        <f t="shared" si="24"/>
        <v>9.462887167840208</v>
      </c>
      <c r="G33" s="70" t="str">
        <f t="shared" si="25"/>
        <v>77.22713882893463</v>
      </c>
      <c r="H33" s="70">
        <f t="shared" si="26"/>
        <v>0.86656822539964096</v>
      </c>
      <c r="I33" s="70">
        <f t="shared" si="27"/>
        <v>7.3044190882073498E-3</v>
      </c>
      <c r="J33" s="70">
        <f t="shared" si="28"/>
        <v>0.93481155560243701</v>
      </c>
      <c r="K33" s="70">
        <f t="shared" si="7"/>
        <v>93481</v>
      </c>
      <c r="L33" s="70">
        <f t="shared" si="29"/>
        <v>0</v>
      </c>
      <c r="M33" s="69" t="str">
        <f t="shared" si="30"/>
        <v/>
      </c>
      <c r="N33" s="19" t="str">
        <f t="shared" si="31"/>
        <v>Property is within 7KM from Periyar National Park</v>
      </c>
    </row>
    <row r="34" spans="1:25" ht="20.149999999999999" customHeight="1">
      <c r="B34" s="70" t="s">
        <v>275</v>
      </c>
      <c r="C34" s="70" t="s">
        <v>276</v>
      </c>
      <c r="D34" s="70" t="str">
        <f t="shared" si="0"/>
        <v>8.531990704532049</v>
      </c>
      <c r="E34" s="70" t="str">
        <f t="shared" si="1"/>
        <v>77.14167293463632</v>
      </c>
      <c r="F34" s="70" t="str">
        <f t="shared" si="24"/>
        <v>11.06929981162406</v>
      </c>
      <c r="G34" s="70" t="str">
        <f t="shared" si="25"/>
        <v>76.4282340310664</v>
      </c>
      <c r="H34" s="70">
        <f t="shared" si="26"/>
        <v>6.4379375049317904</v>
      </c>
      <c r="I34" s="70">
        <f t="shared" si="27"/>
        <v>0.50899506912703396</v>
      </c>
      <c r="J34" s="70">
        <f t="shared" si="28"/>
        <v>2.6357034305966298</v>
      </c>
      <c r="K34" s="70">
        <f t="shared" si="7"/>
        <v>263570</v>
      </c>
      <c r="L34" s="70">
        <f t="shared" si="29"/>
        <v>0</v>
      </c>
      <c r="M34" s="69" t="str">
        <f t="shared" si="30"/>
        <v/>
      </c>
      <c r="N34" s="19" t="str">
        <f t="shared" si="31"/>
        <v>Property is within 7KM from Silent Valley National Park</v>
      </c>
    </row>
    <row r="35" spans="1:25" ht="20.149999999999999" customHeight="1">
      <c r="L35" s="69">
        <f>SUM(L29:L34)</f>
        <v>0</v>
      </c>
      <c r="M35" s="241" t="str">
        <f>IF(L35=0,"Not Applicable","Applicable")</f>
        <v>Not Applicable</v>
      </c>
      <c r="N35" s="241" t="str">
        <f>_xlfn.TEXTJOIN("",TRUE,M29:M34)</f>
        <v/>
      </c>
    </row>
    <row r="37" spans="1:25" ht="20.149999999999999" customHeight="1">
      <c r="B37" s="69" t="s">
        <v>246</v>
      </c>
    </row>
    <row r="39" spans="1:25" ht="20.149999999999999" customHeight="1">
      <c r="H39" s="69">
        <f>9^2</f>
        <v>81</v>
      </c>
    </row>
    <row r="40" spans="1:25" ht="20.149999999999999" customHeight="1">
      <c r="C40" s="69" t="s">
        <v>125</v>
      </c>
    </row>
    <row r="41" spans="1:25" ht="20.149999999999999" customHeight="1">
      <c r="I41" s="243"/>
      <c r="J41" s="480" t="s">
        <v>277</v>
      </c>
      <c r="K41" s="480"/>
      <c r="L41" s="480"/>
      <c r="M41" s="480" t="s">
        <v>278</v>
      </c>
      <c r="N41" s="480"/>
      <c r="O41" s="480"/>
      <c r="P41" s="245"/>
      <c r="Q41" s="244"/>
      <c r="R41" s="252" t="s">
        <v>279</v>
      </c>
      <c r="S41" s="480" t="s">
        <v>277</v>
      </c>
      <c r="T41" s="480"/>
      <c r="U41" s="480"/>
      <c r="V41" s="252" t="s">
        <v>170</v>
      </c>
      <c r="W41" s="480" t="s">
        <v>278</v>
      </c>
      <c r="X41" s="480"/>
      <c r="Y41" s="481"/>
    </row>
    <row r="42" spans="1:25" ht="20.149999999999999" customHeight="1">
      <c r="I42" s="246"/>
      <c r="J42" s="25" t="s">
        <v>280</v>
      </c>
      <c r="K42" s="25" t="s">
        <v>281</v>
      </c>
      <c r="L42" s="25" t="s">
        <v>282</v>
      </c>
      <c r="M42" s="25" t="s">
        <v>280</v>
      </c>
      <c r="N42" s="25" t="s">
        <v>281</v>
      </c>
      <c r="O42" s="25" t="s">
        <v>282</v>
      </c>
      <c r="P42" s="19"/>
      <c r="Q42" s="70"/>
      <c r="R42" s="253"/>
      <c r="S42" s="25" t="s">
        <v>280</v>
      </c>
      <c r="T42" s="25" t="s">
        <v>281</v>
      </c>
      <c r="U42" s="25" t="s">
        <v>282</v>
      </c>
      <c r="V42" s="254"/>
      <c r="W42" s="25" t="s">
        <v>280</v>
      </c>
      <c r="X42" s="25" t="s">
        <v>281</v>
      </c>
      <c r="Y42" s="258" t="s">
        <v>282</v>
      </c>
    </row>
    <row r="43" spans="1:25" ht="20.149999999999999" customHeight="1">
      <c r="A43" s="69">
        <v>16</v>
      </c>
      <c r="B43" s="69" t="s">
        <v>283</v>
      </c>
      <c r="C43" s="69" t="s">
        <v>284</v>
      </c>
      <c r="D43" s="69">
        <v>3</v>
      </c>
      <c r="I43" s="246" t="s">
        <v>285</v>
      </c>
      <c r="J43" s="247" t="str">
        <f>MaGic_Avm_Building!C3</f>
        <v>Grama Panchayat</v>
      </c>
      <c r="K43" s="70" t="str">
        <f>MaGic_Avm_Building!C5</f>
        <v>Category-II</v>
      </c>
      <c r="L43" s="70"/>
      <c r="M43" s="70"/>
      <c r="N43" s="70"/>
      <c r="O43" s="70"/>
      <c r="Q43" s="70" t="s">
        <v>285</v>
      </c>
      <c r="R43" s="253"/>
      <c r="S43" s="70"/>
      <c r="T43" s="70"/>
      <c r="U43" s="70"/>
      <c r="V43" s="253"/>
      <c r="W43" s="70"/>
      <c r="X43" s="70"/>
      <c r="Y43" s="259"/>
    </row>
    <row r="44" spans="1:25" ht="20.149999999999999" customHeight="1">
      <c r="C44" s="69" t="s">
        <v>286</v>
      </c>
      <c r="D44" s="69">
        <v>6</v>
      </c>
      <c r="I44" s="246" t="s">
        <v>135</v>
      </c>
      <c r="J44" s="70">
        <v>65</v>
      </c>
      <c r="K44" s="70">
        <v>65</v>
      </c>
      <c r="L44" s="70">
        <v>60</v>
      </c>
      <c r="M44" s="70">
        <v>3</v>
      </c>
      <c r="N44" s="70">
        <v>3</v>
      </c>
      <c r="O44" s="70">
        <v>2.5</v>
      </c>
      <c r="Q44" s="70" t="s">
        <v>135</v>
      </c>
      <c r="R44" s="253">
        <f>SUM(S44:U44)</f>
        <v>60</v>
      </c>
      <c r="S44" s="70" t="str">
        <f>IF($J$43="Grama Panchayat","",J44)</f>
        <v/>
      </c>
      <c r="T44" s="70" t="str">
        <f>IF($K$43="Category-I",IF($J$43="Grama Panchayat",K44,""),"")</f>
        <v/>
      </c>
      <c r="U44" s="70">
        <f>IF($K$43="Category-II",IF($J$43="Grama Panchayat",L44,""),"")</f>
        <v>60</v>
      </c>
      <c r="V44" s="253">
        <f>SUM(W44,X44,Y44)</f>
        <v>2.5</v>
      </c>
      <c r="W44" s="70" t="str">
        <f>IF($J$43="Grama Panchayat","",M44)</f>
        <v/>
      </c>
      <c r="X44" s="70" t="str">
        <f>IF($K$43="Category-I",IF($J$43="Grama Panchayat",N44,""),"")</f>
        <v/>
      </c>
      <c r="Y44" s="259">
        <f>IF($K$43="Category-II",IF($J$43="Grama Panchayat",O44,""),"")</f>
        <v>2.5</v>
      </c>
    </row>
    <row r="45" spans="1:25" ht="20.149999999999999" customHeight="1">
      <c r="C45" s="69" t="s">
        <v>287</v>
      </c>
      <c r="D45" s="69">
        <v>9</v>
      </c>
      <c r="I45" s="248" t="s">
        <v>134</v>
      </c>
      <c r="J45" s="70">
        <v>65</v>
      </c>
      <c r="K45" s="70">
        <v>65</v>
      </c>
      <c r="L45" s="70">
        <v>55</v>
      </c>
      <c r="M45" s="70">
        <v>2.5</v>
      </c>
      <c r="N45" s="70">
        <v>2.5</v>
      </c>
      <c r="O45" s="70">
        <v>1.5</v>
      </c>
      <c r="Q45" s="25" t="s">
        <v>134</v>
      </c>
      <c r="R45" s="253">
        <f t="shared" ref="R45:R56" si="32">SUM(S45:U45)</f>
        <v>55</v>
      </c>
      <c r="S45" s="70" t="str">
        <f t="shared" ref="S45:S56" si="33">IF($J$43="Grama Panchayat","",J45)</f>
        <v/>
      </c>
      <c r="T45" s="70" t="str">
        <f t="shared" ref="T45:T56" si="34">IF($K$43="Category-I",IF($J$43="Grama Panchayat",K45,""),"")</f>
        <v/>
      </c>
      <c r="U45" s="70">
        <f t="shared" ref="U45:U56" si="35">IF($K$43="Category-II",IF($J$43="Grama Panchayat",L45,""),"")</f>
        <v>55</v>
      </c>
      <c r="V45" s="253">
        <f t="shared" ref="V45:V56" si="36">SUM(W45,X45,Y45)</f>
        <v>1.5</v>
      </c>
      <c r="W45" s="70" t="str">
        <f t="shared" ref="W45:W56" si="37">IF($J$43="Grama Panchayat","",M45)</f>
        <v/>
      </c>
      <c r="X45" s="70" t="str">
        <f t="shared" ref="X45:X56" si="38">IF($K$43="Category-I",IF($J$43="Grama Panchayat",N45,""),"")</f>
        <v/>
      </c>
      <c r="Y45" s="259">
        <f t="shared" ref="Y45:Y56" si="39">IF($K$43="Category-II",IF($J$43="Grama Panchayat",O45,""),"")</f>
        <v>1.5</v>
      </c>
    </row>
    <row r="46" spans="1:25" ht="20.149999999999999" customHeight="1">
      <c r="C46" s="69" t="s">
        <v>288</v>
      </c>
      <c r="D46" s="69">
        <v>12</v>
      </c>
      <c r="I46" s="246" t="s">
        <v>289</v>
      </c>
      <c r="J46" s="70">
        <v>35</v>
      </c>
      <c r="K46" s="70">
        <v>35</v>
      </c>
      <c r="L46" s="70">
        <v>35</v>
      </c>
      <c r="M46" s="70">
        <v>2.5</v>
      </c>
      <c r="N46" s="70">
        <v>2.5</v>
      </c>
      <c r="O46" s="70">
        <v>1.5</v>
      </c>
      <c r="Q46" s="70" t="s">
        <v>289</v>
      </c>
      <c r="R46" s="253">
        <f t="shared" si="32"/>
        <v>35</v>
      </c>
      <c r="S46" s="70" t="str">
        <f t="shared" si="33"/>
        <v/>
      </c>
      <c r="T46" s="70" t="str">
        <f t="shared" si="34"/>
        <v/>
      </c>
      <c r="U46" s="70">
        <f t="shared" si="35"/>
        <v>35</v>
      </c>
      <c r="V46" s="253">
        <f t="shared" si="36"/>
        <v>1.5</v>
      </c>
      <c r="W46" s="70" t="str">
        <f t="shared" si="37"/>
        <v/>
      </c>
      <c r="X46" s="70" t="str">
        <f t="shared" si="38"/>
        <v/>
      </c>
      <c r="Y46" s="259">
        <f t="shared" si="39"/>
        <v>1.5</v>
      </c>
    </row>
    <row r="47" spans="1:25" ht="20.149999999999999" customHeight="1">
      <c r="C47" s="69" t="s">
        <v>290</v>
      </c>
      <c r="D47" s="69">
        <v>15</v>
      </c>
      <c r="I47" s="246" t="s">
        <v>291</v>
      </c>
      <c r="J47" s="70">
        <v>50</v>
      </c>
      <c r="K47" s="70">
        <v>50</v>
      </c>
      <c r="L47" s="70">
        <v>45</v>
      </c>
      <c r="M47" s="70">
        <v>2.5</v>
      </c>
      <c r="N47" s="70">
        <v>2.5</v>
      </c>
      <c r="O47" s="70">
        <v>1.5</v>
      </c>
      <c r="Q47" s="70" t="s">
        <v>291</v>
      </c>
      <c r="R47" s="253">
        <f t="shared" si="32"/>
        <v>45</v>
      </c>
      <c r="S47" s="70" t="str">
        <f t="shared" si="33"/>
        <v/>
      </c>
      <c r="T47" s="70" t="str">
        <f t="shared" si="34"/>
        <v/>
      </c>
      <c r="U47" s="70">
        <f t="shared" si="35"/>
        <v>45</v>
      </c>
      <c r="V47" s="253">
        <f t="shared" si="36"/>
        <v>1.5</v>
      </c>
      <c r="W47" s="70" t="str">
        <f t="shared" si="37"/>
        <v/>
      </c>
      <c r="X47" s="70" t="str">
        <f t="shared" si="38"/>
        <v/>
      </c>
      <c r="Y47" s="259">
        <f t="shared" si="39"/>
        <v>1.5</v>
      </c>
    </row>
    <row r="48" spans="1:25" ht="20.149999999999999" customHeight="1">
      <c r="C48" s="69" t="s">
        <v>292</v>
      </c>
      <c r="D48" s="69">
        <v>18</v>
      </c>
      <c r="I48" s="246" t="s">
        <v>293</v>
      </c>
      <c r="J48" s="70">
        <v>50</v>
      </c>
      <c r="K48" s="70">
        <v>50</v>
      </c>
      <c r="L48" s="70">
        <v>45</v>
      </c>
      <c r="M48" s="70">
        <v>2.5</v>
      </c>
      <c r="N48" s="70">
        <v>2.5</v>
      </c>
      <c r="O48" s="70">
        <v>2.5</v>
      </c>
      <c r="Q48" s="70" t="s">
        <v>293</v>
      </c>
      <c r="R48" s="253">
        <f t="shared" si="32"/>
        <v>45</v>
      </c>
      <c r="S48" s="70" t="str">
        <f t="shared" si="33"/>
        <v/>
      </c>
      <c r="T48" s="70" t="str">
        <f t="shared" si="34"/>
        <v/>
      </c>
      <c r="U48" s="70">
        <f t="shared" si="35"/>
        <v>45</v>
      </c>
      <c r="V48" s="253">
        <f t="shared" si="36"/>
        <v>2.5</v>
      </c>
      <c r="W48" s="70" t="str">
        <f t="shared" si="37"/>
        <v/>
      </c>
      <c r="X48" s="70" t="str">
        <f t="shared" si="38"/>
        <v/>
      </c>
      <c r="Y48" s="259">
        <f t="shared" si="39"/>
        <v>2.5</v>
      </c>
    </row>
    <row r="49" spans="3:26" ht="20.149999999999999" customHeight="1">
      <c r="C49" s="69" t="s">
        <v>294</v>
      </c>
      <c r="D49" s="69">
        <v>21</v>
      </c>
      <c r="I49" s="246" t="s">
        <v>295</v>
      </c>
      <c r="J49" s="70">
        <v>40</v>
      </c>
      <c r="K49" s="70">
        <v>40</v>
      </c>
      <c r="L49" s="70">
        <v>35</v>
      </c>
      <c r="M49" s="70">
        <v>1.5</v>
      </c>
      <c r="N49" s="70">
        <v>1.5</v>
      </c>
      <c r="O49" s="70">
        <v>0.7</v>
      </c>
      <c r="Q49" s="70" t="s">
        <v>295</v>
      </c>
      <c r="R49" s="253">
        <f t="shared" si="32"/>
        <v>35</v>
      </c>
      <c r="S49" s="70" t="str">
        <f t="shared" si="33"/>
        <v/>
      </c>
      <c r="T49" s="70" t="str">
        <f t="shared" si="34"/>
        <v/>
      </c>
      <c r="U49" s="70">
        <f t="shared" si="35"/>
        <v>35</v>
      </c>
      <c r="V49" s="253">
        <f t="shared" si="36"/>
        <v>0.7</v>
      </c>
      <c r="W49" s="70" t="str">
        <f t="shared" si="37"/>
        <v/>
      </c>
      <c r="X49" s="70" t="str">
        <f t="shared" si="38"/>
        <v/>
      </c>
      <c r="Y49" s="259">
        <f t="shared" si="39"/>
        <v>0.7</v>
      </c>
    </row>
    <row r="50" spans="3:26" ht="20.149999999999999" customHeight="1">
      <c r="C50" s="69" t="s">
        <v>296</v>
      </c>
      <c r="D50" s="69">
        <v>24</v>
      </c>
      <c r="I50" s="246" t="s">
        <v>297</v>
      </c>
      <c r="J50" s="70">
        <v>60</v>
      </c>
      <c r="K50" s="70">
        <v>60</v>
      </c>
      <c r="L50" s="70">
        <v>50</v>
      </c>
      <c r="M50" s="70">
        <v>3</v>
      </c>
      <c r="N50" s="70">
        <v>3</v>
      </c>
      <c r="O50" s="70">
        <v>3</v>
      </c>
      <c r="Q50" s="70" t="s">
        <v>297</v>
      </c>
      <c r="R50" s="253">
        <f t="shared" si="32"/>
        <v>50</v>
      </c>
      <c r="S50" s="70" t="str">
        <f t="shared" si="33"/>
        <v/>
      </c>
      <c r="T50" s="70" t="str">
        <f t="shared" si="34"/>
        <v/>
      </c>
      <c r="U50" s="70">
        <f t="shared" si="35"/>
        <v>50</v>
      </c>
      <c r="V50" s="253">
        <f t="shared" si="36"/>
        <v>3</v>
      </c>
      <c r="W50" s="70" t="str">
        <f t="shared" si="37"/>
        <v/>
      </c>
      <c r="X50" s="70" t="str">
        <f t="shared" si="38"/>
        <v/>
      </c>
      <c r="Y50" s="259">
        <f t="shared" si="39"/>
        <v>3</v>
      </c>
    </row>
    <row r="51" spans="3:26" ht="20.149999999999999" customHeight="1">
      <c r="C51" s="69" t="s">
        <v>298</v>
      </c>
      <c r="D51" s="69">
        <v>27</v>
      </c>
      <c r="I51" s="246" t="s">
        <v>299</v>
      </c>
      <c r="J51" s="70">
        <v>65</v>
      </c>
      <c r="K51" s="70">
        <v>65</v>
      </c>
      <c r="L51" s="70">
        <v>60</v>
      </c>
      <c r="M51" s="70">
        <v>3</v>
      </c>
      <c r="N51" s="70">
        <v>3</v>
      </c>
      <c r="O51" s="70">
        <v>2.75</v>
      </c>
      <c r="Q51" s="70" t="s">
        <v>299</v>
      </c>
      <c r="R51" s="253">
        <f t="shared" si="32"/>
        <v>60</v>
      </c>
      <c r="S51" s="70" t="str">
        <f t="shared" si="33"/>
        <v/>
      </c>
      <c r="T51" s="70" t="str">
        <f t="shared" si="34"/>
        <v/>
      </c>
      <c r="U51" s="70">
        <f t="shared" si="35"/>
        <v>60</v>
      </c>
      <c r="V51" s="253">
        <f t="shared" si="36"/>
        <v>2.75</v>
      </c>
      <c r="W51" s="70" t="str">
        <f t="shared" si="37"/>
        <v/>
      </c>
      <c r="X51" s="70" t="str">
        <f t="shared" si="38"/>
        <v/>
      </c>
      <c r="Y51" s="259">
        <f t="shared" si="39"/>
        <v>2.75</v>
      </c>
    </row>
    <row r="52" spans="3:26" ht="20.149999999999999" customHeight="1">
      <c r="C52" s="69" t="s">
        <v>300</v>
      </c>
      <c r="D52" s="69">
        <v>30</v>
      </c>
      <c r="I52" s="246" t="s">
        <v>301</v>
      </c>
      <c r="J52" s="70">
        <v>60</v>
      </c>
      <c r="K52" s="70">
        <v>60</v>
      </c>
      <c r="L52" s="70">
        <v>50</v>
      </c>
      <c r="M52" s="70">
        <v>3.5</v>
      </c>
      <c r="N52" s="70">
        <v>3.5</v>
      </c>
      <c r="O52" s="70">
        <v>2.75</v>
      </c>
      <c r="Q52" s="70" t="s">
        <v>301</v>
      </c>
      <c r="R52" s="253">
        <f t="shared" si="32"/>
        <v>50</v>
      </c>
      <c r="S52" s="70" t="str">
        <f t="shared" si="33"/>
        <v/>
      </c>
      <c r="T52" s="70" t="str">
        <f t="shared" si="34"/>
        <v/>
      </c>
      <c r="U52" s="70">
        <f t="shared" si="35"/>
        <v>50</v>
      </c>
      <c r="V52" s="253">
        <f t="shared" si="36"/>
        <v>2.75</v>
      </c>
      <c r="W52" s="70" t="str">
        <f t="shared" si="37"/>
        <v/>
      </c>
      <c r="X52" s="70" t="str">
        <f t="shared" si="38"/>
        <v/>
      </c>
      <c r="Y52" s="259">
        <f t="shared" si="39"/>
        <v>2.75</v>
      </c>
    </row>
    <row r="53" spans="3:26" ht="20.149999999999999" customHeight="1">
      <c r="C53" s="69" t="s">
        <v>302</v>
      </c>
      <c r="D53" s="69">
        <v>33</v>
      </c>
      <c r="I53" s="246" t="s">
        <v>303</v>
      </c>
      <c r="J53" s="70">
        <v>40</v>
      </c>
      <c r="K53" s="70">
        <v>40</v>
      </c>
      <c r="L53" s="70">
        <v>35</v>
      </c>
      <c r="M53" s="70">
        <v>2.5</v>
      </c>
      <c r="N53" s="70">
        <v>3</v>
      </c>
      <c r="O53" s="70">
        <v>2.5</v>
      </c>
      <c r="Q53" s="70" t="s">
        <v>303</v>
      </c>
      <c r="R53" s="253">
        <f t="shared" si="32"/>
        <v>35</v>
      </c>
      <c r="S53" s="70" t="str">
        <f t="shared" si="33"/>
        <v/>
      </c>
      <c r="T53" s="70" t="str">
        <f t="shared" si="34"/>
        <v/>
      </c>
      <c r="U53" s="70">
        <f t="shared" si="35"/>
        <v>35</v>
      </c>
      <c r="V53" s="253">
        <f t="shared" si="36"/>
        <v>2.5</v>
      </c>
      <c r="W53" s="70" t="str">
        <f t="shared" si="37"/>
        <v/>
      </c>
      <c r="X53" s="70" t="str">
        <f t="shared" si="38"/>
        <v/>
      </c>
      <c r="Y53" s="259">
        <f t="shared" si="39"/>
        <v>2.5</v>
      </c>
    </row>
    <row r="54" spans="3:26" ht="20.149999999999999" customHeight="1">
      <c r="C54" s="69" t="s">
        <v>304</v>
      </c>
      <c r="D54" s="69">
        <v>36</v>
      </c>
      <c r="I54" s="246" t="s">
        <v>305</v>
      </c>
      <c r="J54" s="70">
        <v>70</v>
      </c>
      <c r="K54" s="70">
        <v>70</v>
      </c>
      <c r="L54" s="70">
        <v>65</v>
      </c>
      <c r="M54" s="70">
        <v>3</v>
      </c>
      <c r="N54" s="70">
        <v>3</v>
      </c>
      <c r="O54" s="70">
        <v>2.75</v>
      </c>
      <c r="Q54" s="70" t="s">
        <v>305</v>
      </c>
      <c r="R54" s="253">
        <f t="shared" si="32"/>
        <v>65</v>
      </c>
      <c r="S54" s="70" t="str">
        <f t="shared" si="33"/>
        <v/>
      </c>
      <c r="T54" s="70" t="str">
        <f t="shared" si="34"/>
        <v/>
      </c>
      <c r="U54" s="70">
        <f t="shared" si="35"/>
        <v>65</v>
      </c>
      <c r="V54" s="253">
        <f t="shared" si="36"/>
        <v>2.75</v>
      </c>
      <c r="W54" s="70" t="str">
        <f t="shared" si="37"/>
        <v/>
      </c>
      <c r="X54" s="70" t="str">
        <f t="shared" si="38"/>
        <v/>
      </c>
      <c r="Y54" s="259">
        <f t="shared" si="39"/>
        <v>2.75</v>
      </c>
    </row>
    <row r="55" spans="3:26" ht="20.149999999999999" customHeight="1">
      <c r="C55" s="69" t="s">
        <v>306</v>
      </c>
      <c r="D55" s="69">
        <v>39</v>
      </c>
      <c r="I55" s="246" t="s">
        <v>307</v>
      </c>
      <c r="J55" s="70">
        <v>45</v>
      </c>
      <c r="K55" s="70">
        <v>45</v>
      </c>
      <c r="L55" s="70">
        <v>40</v>
      </c>
      <c r="M55" s="70">
        <v>1.2</v>
      </c>
      <c r="N55" s="70">
        <v>2</v>
      </c>
      <c r="O55" s="70">
        <v>2</v>
      </c>
      <c r="Q55" s="70" t="s">
        <v>307</v>
      </c>
      <c r="R55" s="253">
        <f t="shared" si="32"/>
        <v>40</v>
      </c>
      <c r="S55" s="70" t="str">
        <f t="shared" si="33"/>
        <v/>
      </c>
      <c r="T55" s="70" t="str">
        <f t="shared" si="34"/>
        <v/>
      </c>
      <c r="U55" s="70">
        <f t="shared" si="35"/>
        <v>40</v>
      </c>
      <c r="V55" s="253">
        <f t="shared" si="36"/>
        <v>2</v>
      </c>
      <c r="W55" s="70" t="str">
        <f t="shared" si="37"/>
        <v/>
      </c>
      <c r="X55" s="70" t="str">
        <f t="shared" si="38"/>
        <v/>
      </c>
      <c r="Y55" s="259">
        <f t="shared" si="39"/>
        <v>2</v>
      </c>
    </row>
    <row r="56" spans="3:26" ht="20.149999999999999" customHeight="1">
      <c r="C56" s="69" t="s">
        <v>308</v>
      </c>
      <c r="D56" s="69">
        <v>42</v>
      </c>
      <c r="I56" s="246" t="s">
        <v>309</v>
      </c>
      <c r="J56" s="70">
        <v>65</v>
      </c>
      <c r="K56" s="70">
        <v>65</v>
      </c>
      <c r="L56" s="70">
        <v>60</v>
      </c>
      <c r="M56" s="70">
        <v>3</v>
      </c>
      <c r="N56" s="70">
        <v>3</v>
      </c>
      <c r="O56" s="70">
        <v>2.5</v>
      </c>
      <c r="Q56" s="70" t="s">
        <v>309</v>
      </c>
      <c r="R56" s="253">
        <f t="shared" si="32"/>
        <v>60</v>
      </c>
      <c r="S56" s="70" t="str">
        <f t="shared" si="33"/>
        <v/>
      </c>
      <c r="T56" s="70" t="str">
        <f t="shared" si="34"/>
        <v/>
      </c>
      <c r="U56" s="70">
        <f t="shared" si="35"/>
        <v>60</v>
      </c>
      <c r="V56" s="253">
        <f t="shared" si="36"/>
        <v>2.5</v>
      </c>
      <c r="W56" s="70" t="str">
        <f t="shared" si="37"/>
        <v/>
      </c>
      <c r="X56" s="70" t="str">
        <f t="shared" si="38"/>
        <v/>
      </c>
      <c r="Y56" s="259">
        <f t="shared" si="39"/>
        <v>2.5</v>
      </c>
    </row>
    <row r="57" spans="3:26" ht="20.149999999999999" customHeight="1">
      <c r="C57" s="69" t="s">
        <v>310</v>
      </c>
      <c r="D57" s="69">
        <v>45</v>
      </c>
      <c r="I57" s="249"/>
      <c r="M57" s="69" t="s">
        <v>128</v>
      </c>
      <c r="N57" s="69" t="s">
        <v>311</v>
      </c>
      <c r="Y57" s="260"/>
    </row>
    <row r="58" spans="3:26" ht="20.149999999999999" customHeight="1">
      <c r="C58" s="69" t="s">
        <v>312</v>
      </c>
      <c r="D58" s="69">
        <v>48</v>
      </c>
      <c r="I58" s="249" t="s">
        <v>170</v>
      </c>
      <c r="J58" s="477" t="s">
        <v>313</v>
      </c>
      <c r="K58" s="477"/>
      <c r="L58" s="477"/>
      <c r="M58" s="69">
        <f>MaGic_Avm_Building!C15</f>
        <v>0</v>
      </c>
      <c r="N58" s="69">
        <f>O58*100</f>
        <v>415</v>
      </c>
      <c r="O58" s="69">
        <f>VLOOKUP('101.Magic_AVM_OuTpUt'!C6,B2:C16,2,FALSE)</f>
        <v>4.1500000000000004</v>
      </c>
      <c r="Q58" s="69" t="str">
        <f>MaGic_Avm_Building!C6</f>
        <v>Lodging houses &amp; 
Special Residential A2</v>
      </c>
      <c r="R58" s="69">
        <f>VLOOKUP(Q58,Q44:R56,2,FALSE)</f>
        <v>55</v>
      </c>
      <c r="S58" s="69" t="s">
        <v>314</v>
      </c>
      <c r="Y58" s="260"/>
    </row>
    <row r="59" spans="3:26" ht="20.149999999999999" customHeight="1">
      <c r="C59" s="69" t="s">
        <v>315</v>
      </c>
      <c r="D59" s="69">
        <v>51</v>
      </c>
      <c r="I59" s="249" t="s">
        <v>314</v>
      </c>
      <c r="J59" s="477" t="s">
        <v>316</v>
      </c>
      <c r="K59" s="477"/>
      <c r="L59" s="477"/>
      <c r="M59" s="69">
        <f>MaGic_Avm_Building!C13</f>
        <v>0</v>
      </c>
      <c r="N59" s="69">
        <f>N58</f>
        <v>415</v>
      </c>
      <c r="R59" s="69">
        <f>VLOOKUP(Q58,Q44:V56,6,FALSE)</f>
        <v>1.5</v>
      </c>
      <c r="S59" s="69" t="s">
        <v>170</v>
      </c>
      <c r="Y59" s="260"/>
    </row>
    <row r="60" spans="3:26" ht="20.149999999999999" customHeight="1">
      <c r="C60" s="69" t="s">
        <v>317</v>
      </c>
      <c r="D60" s="69">
        <v>54</v>
      </c>
      <c r="I60" s="249"/>
      <c r="J60" s="477" t="s">
        <v>318</v>
      </c>
      <c r="K60" s="477"/>
      <c r="U60" s="69" t="s">
        <v>319</v>
      </c>
      <c r="V60" s="76" t="str">
        <f>_xlfn.TEXTJOIN("",TRUE,U61:U63)</f>
        <v>The building is located within the limits of the Grama Panchayat (Category-II)  and has Lodging houses &amp; 
Special Residential A2   occupancy classification.The building complies with the building rules, as the actual FSI of 0 is within the permissible limit of 1.5. The building complies with the building rules, as the actual Coverage of 0 is within the permissible limit of 55.</v>
      </c>
      <c r="Y60" s="260"/>
      <c r="Z60" s="76" t="str">
        <f>IFERROR(V60,"")</f>
        <v>The building is located within the limits of the Grama Panchayat (Category-II)  and has Lodging houses &amp; 
Special Residential A2   occupancy classification.The building complies with the building rules, as the actual FSI of 0 is within the permissible limit of 1.5. The building complies with the building rules, as the actual Coverage of 0 is within the permissible limit of 55.</v>
      </c>
    </row>
    <row r="61" spans="3:26" ht="20.149999999999999" customHeight="1">
      <c r="C61" s="69" t="s">
        <v>320</v>
      </c>
      <c r="D61" s="69">
        <v>57</v>
      </c>
      <c r="I61" s="249"/>
      <c r="J61" s="69" t="s">
        <v>321</v>
      </c>
      <c r="K61" s="19" t="s">
        <v>322</v>
      </c>
      <c r="M61" s="69" t="s">
        <v>323</v>
      </c>
      <c r="O61" s="19"/>
      <c r="P61" s="19" t="s">
        <v>324</v>
      </c>
      <c r="Q61" s="19" t="str">
        <f>IF(J43="Grama Panchayat",CONCATENATE(J43," (",K43,") "),J43)</f>
        <v>Grama Panchayat (Category-II)</v>
      </c>
      <c r="R61" s="19" t="s">
        <v>325</v>
      </c>
      <c r="S61" s="19" t="str">
        <f>Q58</f>
        <v>Lodging houses &amp; 
Special Residential A2</v>
      </c>
      <c r="T61" s="19" t="s">
        <v>326</v>
      </c>
      <c r="U61" s="255" t="str">
        <f>CONCATENATE(P61,Q61,R61,S61,T61)</f>
        <v>The building is located within the limits of the Grama Panchayat (Category-II)  and has Lodging houses &amp; 
Special Residential A2   occupancy classification.</v>
      </c>
      <c r="V61" s="66"/>
      <c r="W61" s="66"/>
      <c r="X61" s="66"/>
      <c r="Y61" s="261"/>
    </row>
    <row r="62" spans="3:26" ht="20.149999999999999" customHeight="1">
      <c r="C62" s="69" t="s">
        <v>327</v>
      </c>
      <c r="D62" s="69">
        <v>60</v>
      </c>
      <c r="I62" s="249" t="s">
        <v>170</v>
      </c>
      <c r="J62" s="69">
        <f>ROUND(M58/N58,2)</f>
        <v>0</v>
      </c>
      <c r="K62" s="69">
        <f>R59</f>
        <v>1.5</v>
      </c>
      <c r="M62" s="69" t="str">
        <f>IF(J62&gt;K62,"V","N")</f>
        <v>N</v>
      </c>
      <c r="P62" s="19" t="str">
        <f>CONCATENATE("The building violates the building rules, as the maximum permissible Coverage is ",K62," while the actual Coverage is ",J62,". ")</f>
        <v>The building violates the building rules, as the maximum permissible Coverage is 1.5 while the actual Coverage is 0.</v>
      </c>
      <c r="Q62" s="19" t="str">
        <f>CONCATENATE("The building complies with the building rules, as the actual FSI of ",J62," is within the permissible limit of ",K62,". ")</f>
        <v>The building complies with the building rules, as the actual FSI of 0 is within the permissible limit of 1.5.</v>
      </c>
      <c r="U62" s="256" t="str">
        <f>IF(M62="V",P62,Q62)</f>
        <v>The building complies with the building rules, as the actual FSI of 0 is within the permissible limit of 1.5.</v>
      </c>
      <c r="Y62" s="260"/>
    </row>
    <row r="63" spans="3:26" ht="20.149999999999999" customHeight="1">
      <c r="C63" s="69" t="s">
        <v>328</v>
      </c>
      <c r="D63" s="69">
        <v>63</v>
      </c>
      <c r="I63" s="250" t="s">
        <v>314</v>
      </c>
      <c r="J63" s="251">
        <f>ROUND((M59/N59)*100,0)</f>
        <v>0</v>
      </c>
      <c r="K63" s="251">
        <f>R58</f>
        <v>55</v>
      </c>
      <c r="L63" s="251"/>
      <c r="M63" s="251" t="str">
        <f>IF(J63&gt;K63,"V","N")</f>
        <v>N</v>
      </c>
      <c r="N63" s="251"/>
      <c r="O63" s="251"/>
      <c r="P63" s="47" t="str">
        <f>CONCATENATE("The building violates the building rules, as the maximum permissible FSI is ",K63," while the actual FSI is ",J63,". ")</f>
        <v>The building violates the building rules, as the maximum permissible FSI is 55 while the actual FSI is 0.</v>
      </c>
      <c r="Q63" s="47" t="str">
        <f>CONCATENATE("The building complies with the building rules, as the actual Coverage of ",J63," is within the permissible limit of ",K63,". ")</f>
        <v>The building complies with the building rules, as the actual Coverage of 0 is within the permissible limit of 55.</v>
      </c>
      <c r="R63" s="251"/>
      <c r="S63" s="251"/>
      <c r="T63" s="251"/>
      <c r="U63" s="257" t="str">
        <f>IF(M63="V",P63,Q63)</f>
        <v>The building complies with the building rules, as the actual Coverage of 0 is within the permissible limit of 55.</v>
      </c>
      <c r="V63" s="251"/>
      <c r="W63" s="251"/>
      <c r="X63" s="251"/>
      <c r="Y63" s="262"/>
    </row>
    <row r="64" spans="3:26" ht="20.149999999999999" customHeight="1">
      <c r="C64" s="69" t="s">
        <v>329</v>
      </c>
      <c r="D64" s="69">
        <v>66</v>
      </c>
    </row>
    <row r="65" spans="3:25" ht="20.149999999999999" customHeight="1">
      <c r="C65" s="69" t="s">
        <v>330</v>
      </c>
      <c r="D65" s="69">
        <v>69</v>
      </c>
      <c r="I65" s="243"/>
      <c r="J65" s="480" t="s">
        <v>277</v>
      </c>
      <c r="K65" s="480"/>
      <c r="L65" s="480"/>
      <c r="M65" s="480" t="s">
        <v>278</v>
      </c>
      <c r="N65" s="480"/>
      <c r="O65" s="480"/>
      <c r="P65" s="245"/>
      <c r="Q65" s="244"/>
      <c r="R65" s="252" t="s">
        <v>279</v>
      </c>
      <c r="S65" s="480" t="s">
        <v>277</v>
      </c>
      <c r="T65" s="480"/>
      <c r="U65" s="480"/>
      <c r="V65" s="252" t="s">
        <v>170</v>
      </c>
      <c r="W65" s="480" t="s">
        <v>278</v>
      </c>
      <c r="X65" s="480"/>
      <c r="Y65" s="481"/>
    </row>
    <row r="66" spans="3:25" ht="20.149999999999999" customHeight="1">
      <c r="C66" s="69" t="s">
        <v>331</v>
      </c>
      <c r="D66" s="69">
        <v>72</v>
      </c>
      <c r="I66" s="246"/>
      <c r="J66" s="25" t="s">
        <v>280</v>
      </c>
      <c r="K66" s="25" t="s">
        <v>281</v>
      </c>
      <c r="L66" s="25" t="s">
        <v>282</v>
      </c>
      <c r="M66" s="25" t="s">
        <v>280</v>
      </c>
      <c r="N66" s="25" t="s">
        <v>281</v>
      </c>
      <c r="O66" s="25" t="s">
        <v>282</v>
      </c>
      <c r="P66" s="19"/>
      <c r="Q66" s="70"/>
      <c r="R66" s="253"/>
      <c r="S66" s="25" t="s">
        <v>280</v>
      </c>
      <c r="T66" s="25" t="s">
        <v>281</v>
      </c>
      <c r="U66" s="25" t="s">
        <v>282</v>
      </c>
      <c r="V66" s="254"/>
      <c r="W66" s="25" t="s">
        <v>280</v>
      </c>
      <c r="X66" s="25" t="s">
        <v>281</v>
      </c>
      <c r="Y66" s="258" t="s">
        <v>282</v>
      </c>
    </row>
    <row r="67" spans="3:25" ht="20.149999999999999" customHeight="1">
      <c r="C67" s="69" t="s">
        <v>332</v>
      </c>
      <c r="D67" s="69">
        <v>75</v>
      </c>
      <c r="I67" s="246" t="s">
        <v>285</v>
      </c>
      <c r="J67" s="247" t="str">
        <f>MaGic_Avm_Building!C3</f>
        <v>Grama Panchayat</v>
      </c>
      <c r="K67" s="70" t="str">
        <f>MaGic_Avm_Building!C5</f>
        <v>Category-II</v>
      </c>
      <c r="L67" s="70"/>
      <c r="M67" s="70"/>
      <c r="N67" s="70"/>
      <c r="O67" s="70"/>
      <c r="Q67" s="70" t="s">
        <v>285</v>
      </c>
      <c r="R67" s="253"/>
      <c r="S67" s="70"/>
      <c r="T67" s="70"/>
      <c r="U67" s="70"/>
      <c r="V67" s="253"/>
      <c r="W67" s="70"/>
      <c r="X67" s="70"/>
      <c r="Y67" s="259"/>
    </row>
    <row r="68" spans="3:25" ht="20.149999999999999" customHeight="1">
      <c r="C68" s="69" t="s">
        <v>333</v>
      </c>
      <c r="D68" s="69">
        <v>78</v>
      </c>
      <c r="I68" s="246" t="s">
        <v>135</v>
      </c>
      <c r="J68" s="70">
        <v>65</v>
      </c>
      <c r="K68" s="70">
        <v>65</v>
      </c>
      <c r="L68" s="70">
        <v>60</v>
      </c>
      <c r="M68" s="70">
        <v>3</v>
      </c>
      <c r="N68" s="70">
        <v>3</v>
      </c>
      <c r="O68" s="70">
        <v>2.5</v>
      </c>
      <c r="Q68" s="70" t="s">
        <v>135</v>
      </c>
      <c r="R68" s="253">
        <f>SUM(S68:U68)</f>
        <v>60</v>
      </c>
      <c r="S68" s="70" t="str">
        <f>IF($J$43="Grama Panchayat","",J68)</f>
        <v/>
      </c>
      <c r="T68" s="70" t="str">
        <f>IF($K$43="Category-I",IF($J$43="Grama Panchayat",K68,""),"")</f>
        <v/>
      </c>
      <c r="U68" s="70">
        <f>IF($K$43="Category-II",IF($J$43="Grama Panchayat",L68,""),"")</f>
        <v>60</v>
      </c>
      <c r="V68" s="253">
        <f>SUM(W68,X68,Y68)</f>
        <v>2.5</v>
      </c>
      <c r="W68" s="70" t="str">
        <f>IF($J$43="Grama Panchayat","",M68)</f>
        <v/>
      </c>
      <c r="X68" s="70" t="str">
        <f>IF($K$43="Category-I",IF($J$43="Grama Panchayat",N68,""),"")</f>
        <v/>
      </c>
      <c r="Y68" s="259">
        <f>IF($K$43="Category-II",IF($J$43="Grama Panchayat",O68,""),"")</f>
        <v>2.5</v>
      </c>
    </row>
    <row r="69" spans="3:25" ht="20.149999999999999" customHeight="1">
      <c r="C69" s="69" t="s">
        <v>334</v>
      </c>
      <c r="D69" s="69">
        <v>81</v>
      </c>
      <c r="I69" s="248" t="s">
        <v>134</v>
      </c>
      <c r="J69" s="70">
        <v>65</v>
      </c>
      <c r="K69" s="70">
        <v>65</v>
      </c>
      <c r="L69" s="70">
        <v>55</v>
      </c>
      <c r="M69" s="70">
        <v>2.5</v>
      </c>
      <c r="N69" s="70">
        <v>2.5</v>
      </c>
      <c r="O69" s="70">
        <v>1.5</v>
      </c>
      <c r="Q69" s="25" t="s">
        <v>134</v>
      </c>
      <c r="R69" s="253">
        <f t="shared" ref="R69:R80" si="40">SUM(S69:U69)</f>
        <v>55</v>
      </c>
      <c r="S69" s="70" t="str">
        <f t="shared" ref="S69:S80" si="41">IF($J$43="Grama Panchayat","",J69)</f>
        <v/>
      </c>
      <c r="T69" s="70" t="str">
        <f t="shared" ref="T69:T80" si="42">IF($K$43="Category-I",IF($J$43="Grama Panchayat",K69,""),"")</f>
        <v/>
      </c>
      <c r="U69" s="70">
        <f t="shared" ref="U69:U80" si="43">IF($K$43="Category-II",IF($J$43="Grama Panchayat",L69,""),"")</f>
        <v>55</v>
      </c>
      <c r="V69" s="253">
        <f t="shared" ref="V69:V80" si="44">SUM(W69,X69,Y69)</f>
        <v>1.5</v>
      </c>
      <c r="W69" s="70" t="str">
        <f t="shared" ref="W69:W80" si="45">IF($J$43="Grama Panchayat","",M69)</f>
        <v/>
      </c>
      <c r="X69" s="70" t="str">
        <f t="shared" ref="X69:X80" si="46">IF($K$43="Category-I",IF($J$43="Grama Panchayat",N69,""),"")</f>
        <v/>
      </c>
      <c r="Y69" s="259">
        <f t="shared" ref="Y69:Y80" si="47">IF($K$43="Category-II",IF($J$43="Grama Panchayat",O69,""),"")</f>
        <v>1.5</v>
      </c>
    </row>
    <row r="70" spans="3:25" ht="20.149999999999999" customHeight="1">
      <c r="C70" s="69" t="s">
        <v>335</v>
      </c>
      <c r="D70" s="69">
        <v>84</v>
      </c>
      <c r="I70" s="246" t="s">
        <v>289</v>
      </c>
      <c r="J70" s="70">
        <v>35</v>
      </c>
      <c r="K70" s="70">
        <v>35</v>
      </c>
      <c r="L70" s="70">
        <v>35</v>
      </c>
      <c r="M70" s="70">
        <v>2.5</v>
      </c>
      <c r="N70" s="70">
        <v>2.5</v>
      </c>
      <c r="O70" s="70">
        <v>1.5</v>
      </c>
      <c r="Q70" s="70" t="s">
        <v>289</v>
      </c>
      <c r="R70" s="253">
        <f t="shared" si="40"/>
        <v>35</v>
      </c>
      <c r="S70" s="70" t="str">
        <f t="shared" si="41"/>
        <v/>
      </c>
      <c r="T70" s="70" t="str">
        <f t="shared" si="42"/>
        <v/>
      </c>
      <c r="U70" s="70">
        <f t="shared" si="43"/>
        <v>35</v>
      </c>
      <c r="V70" s="253">
        <f t="shared" si="44"/>
        <v>1.5</v>
      </c>
      <c r="W70" s="70" t="str">
        <f t="shared" si="45"/>
        <v/>
      </c>
      <c r="X70" s="70" t="str">
        <f t="shared" si="46"/>
        <v/>
      </c>
      <c r="Y70" s="259">
        <f t="shared" si="47"/>
        <v>1.5</v>
      </c>
    </row>
    <row r="71" spans="3:25" ht="20.149999999999999" customHeight="1">
      <c r="C71" s="69" t="s">
        <v>336</v>
      </c>
      <c r="D71" s="69">
        <v>87</v>
      </c>
      <c r="I71" s="246" t="s">
        <v>291</v>
      </c>
      <c r="J71" s="70">
        <v>50</v>
      </c>
      <c r="K71" s="70">
        <v>50</v>
      </c>
      <c r="L71" s="70">
        <v>45</v>
      </c>
      <c r="M71" s="70">
        <v>2.5</v>
      </c>
      <c r="N71" s="70">
        <v>2.5</v>
      </c>
      <c r="O71" s="70">
        <v>1.5</v>
      </c>
      <c r="Q71" s="70" t="s">
        <v>291</v>
      </c>
      <c r="R71" s="253">
        <f t="shared" si="40"/>
        <v>45</v>
      </c>
      <c r="S71" s="70" t="str">
        <f t="shared" si="41"/>
        <v/>
      </c>
      <c r="T71" s="70" t="str">
        <f t="shared" si="42"/>
        <v/>
      </c>
      <c r="U71" s="70">
        <f t="shared" si="43"/>
        <v>45</v>
      </c>
      <c r="V71" s="253">
        <f t="shared" si="44"/>
        <v>1.5</v>
      </c>
      <c r="W71" s="70" t="str">
        <f t="shared" si="45"/>
        <v/>
      </c>
      <c r="X71" s="70" t="str">
        <f t="shared" si="46"/>
        <v/>
      </c>
      <c r="Y71" s="259">
        <f t="shared" si="47"/>
        <v>1.5</v>
      </c>
    </row>
    <row r="72" spans="3:25" ht="20.149999999999999" customHeight="1">
      <c r="C72" s="69" t="s">
        <v>337</v>
      </c>
      <c r="D72" s="69">
        <v>90</v>
      </c>
      <c r="I72" s="246" t="s">
        <v>293</v>
      </c>
      <c r="J72" s="70">
        <v>50</v>
      </c>
      <c r="K72" s="70">
        <v>50</v>
      </c>
      <c r="L72" s="70">
        <v>45</v>
      </c>
      <c r="M72" s="70">
        <v>2.5</v>
      </c>
      <c r="N72" s="70">
        <v>2.5</v>
      </c>
      <c r="O72" s="70">
        <v>2.5</v>
      </c>
      <c r="Q72" s="70" t="s">
        <v>293</v>
      </c>
      <c r="R72" s="253">
        <f t="shared" si="40"/>
        <v>45</v>
      </c>
      <c r="S72" s="70" t="str">
        <f t="shared" si="41"/>
        <v/>
      </c>
      <c r="T72" s="70" t="str">
        <f t="shared" si="42"/>
        <v/>
      </c>
      <c r="U72" s="70">
        <f t="shared" si="43"/>
        <v>45</v>
      </c>
      <c r="V72" s="253">
        <f t="shared" si="44"/>
        <v>2.5</v>
      </c>
      <c r="W72" s="70" t="str">
        <f t="shared" si="45"/>
        <v/>
      </c>
      <c r="X72" s="70" t="str">
        <f t="shared" si="46"/>
        <v/>
      </c>
      <c r="Y72" s="259">
        <f t="shared" si="47"/>
        <v>2.5</v>
      </c>
    </row>
    <row r="73" spans="3:25" ht="20.149999999999999" customHeight="1">
      <c r="C73" s="69" t="s">
        <v>338</v>
      </c>
      <c r="D73" s="69">
        <v>93</v>
      </c>
      <c r="I73" s="246" t="s">
        <v>295</v>
      </c>
      <c r="J73" s="70">
        <v>40</v>
      </c>
      <c r="K73" s="70">
        <v>40</v>
      </c>
      <c r="L73" s="70">
        <v>35</v>
      </c>
      <c r="M73" s="70">
        <v>1.5</v>
      </c>
      <c r="N73" s="70">
        <v>1.5</v>
      </c>
      <c r="O73" s="70">
        <v>0.7</v>
      </c>
      <c r="Q73" s="70" t="s">
        <v>295</v>
      </c>
      <c r="R73" s="253">
        <f t="shared" si="40"/>
        <v>35</v>
      </c>
      <c r="S73" s="70" t="str">
        <f t="shared" si="41"/>
        <v/>
      </c>
      <c r="T73" s="70" t="str">
        <f t="shared" si="42"/>
        <v/>
      </c>
      <c r="U73" s="70">
        <f t="shared" si="43"/>
        <v>35</v>
      </c>
      <c r="V73" s="253">
        <f t="shared" si="44"/>
        <v>0.7</v>
      </c>
      <c r="W73" s="70" t="str">
        <f t="shared" si="45"/>
        <v/>
      </c>
      <c r="X73" s="70" t="str">
        <f t="shared" si="46"/>
        <v/>
      </c>
      <c r="Y73" s="259">
        <f t="shared" si="47"/>
        <v>0.7</v>
      </c>
    </row>
    <row r="74" spans="3:25" ht="20.149999999999999" customHeight="1">
      <c r="C74" s="69" t="s">
        <v>339</v>
      </c>
      <c r="D74" s="69">
        <v>96</v>
      </c>
      <c r="I74" s="246" t="s">
        <v>297</v>
      </c>
      <c r="J74" s="70">
        <v>60</v>
      </c>
      <c r="K74" s="70">
        <v>60</v>
      </c>
      <c r="L74" s="70">
        <v>50</v>
      </c>
      <c r="M74" s="70">
        <v>3</v>
      </c>
      <c r="N74" s="70">
        <v>3</v>
      </c>
      <c r="O74" s="70">
        <v>3</v>
      </c>
      <c r="Q74" s="70" t="s">
        <v>297</v>
      </c>
      <c r="R74" s="253">
        <f t="shared" si="40"/>
        <v>50</v>
      </c>
      <c r="S74" s="70" t="str">
        <f t="shared" si="41"/>
        <v/>
      </c>
      <c r="T74" s="70" t="str">
        <f t="shared" si="42"/>
        <v/>
      </c>
      <c r="U74" s="70">
        <f t="shared" si="43"/>
        <v>50</v>
      </c>
      <c r="V74" s="253">
        <f t="shared" si="44"/>
        <v>3</v>
      </c>
      <c r="W74" s="70" t="str">
        <f t="shared" si="45"/>
        <v/>
      </c>
      <c r="X74" s="70" t="str">
        <f t="shared" si="46"/>
        <v/>
      </c>
      <c r="Y74" s="259">
        <f t="shared" si="47"/>
        <v>3</v>
      </c>
    </row>
    <row r="75" spans="3:25" ht="20.149999999999999" customHeight="1">
      <c r="C75" s="69" t="s">
        <v>340</v>
      </c>
      <c r="D75" s="69">
        <v>99</v>
      </c>
      <c r="I75" s="246" t="s">
        <v>299</v>
      </c>
      <c r="J75" s="70">
        <v>65</v>
      </c>
      <c r="K75" s="70">
        <v>65</v>
      </c>
      <c r="L75" s="70">
        <v>60</v>
      </c>
      <c r="M75" s="70">
        <v>3</v>
      </c>
      <c r="N75" s="70">
        <v>3</v>
      </c>
      <c r="O75" s="70">
        <v>2.75</v>
      </c>
      <c r="Q75" s="70" t="s">
        <v>299</v>
      </c>
      <c r="R75" s="253">
        <f t="shared" si="40"/>
        <v>60</v>
      </c>
      <c r="S75" s="70" t="str">
        <f t="shared" si="41"/>
        <v/>
      </c>
      <c r="T75" s="70" t="str">
        <f t="shared" si="42"/>
        <v/>
      </c>
      <c r="U75" s="70">
        <f t="shared" si="43"/>
        <v>60</v>
      </c>
      <c r="V75" s="253">
        <f t="shared" si="44"/>
        <v>2.75</v>
      </c>
      <c r="W75" s="70" t="str">
        <f t="shared" si="45"/>
        <v/>
      </c>
      <c r="X75" s="70" t="str">
        <f t="shared" si="46"/>
        <v/>
      </c>
      <c r="Y75" s="259">
        <f t="shared" si="47"/>
        <v>2.75</v>
      </c>
    </row>
    <row r="76" spans="3:25" ht="20.149999999999999" customHeight="1">
      <c r="C76" s="69" t="s">
        <v>341</v>
      </c>
      <c r="D76" s="69">
        <v>102</v>
      </c>
      <c r="I76" s="246" t="s">
        <v>301</v>
      </c>
      <c r="J76" s="70">
        <v>60</v>
      </c>
      <c r="K76" s="70">
        <v>60</v>
      </c>
      <c r="L76" s="70">
        <v>50</v>
      </c>
      <c r="M76" s="70">
        <v>3.5</v>
      </c>
      <c r="N76" s="70">
        <v>3.5</v>
      </c>
      <c r="O76" s="70">
        <v>2.75</v>
      </c>
      <c r="Q76" s="70" t="s">
        <v>301</v>
      </c>
      <c r="R76" s="253">
        <f t="shared" si="40"/>
        <v>50</v>
      </c>
      <c r="S76" s="70" t="str">
        <f t="shared" si="41"/>
        <v/>
      </c>
      <c r="T76" s="70" t="str">
        <f t="shared" si="42"/>
        <v/>
      </c>
      <c r="U76" s="70">
        <f t="shared" si="43"/>
        <v>50</v>
      </c>
      <c r="V76" s="253">
        <f t="shared" si="44"/>
        <v>2.75</v>
      </c>
      <c r="W76" s="70" t="str">
        <f t="shared" si="45"/>
        <v/>
      </c>
      <c r="X76" s="70" t="str">
        <f t="shared" si="46"/>
        <v/>
      </c>
      <c r="Y76" s="259">
        <f t="shared" si="47"/>
        <v>2.75</v>
      </c>
    </row>
    <row r="77" spans="3:25" ht="20.149999999999999" customHeight="1">
      <c r="C77" s="69" t="s">
        <v>342</v>
      </c>
      <c r="D77" s="69">
        <v>105</v>
      </c>
      <c r="I77" s="246" t="s">
        <v>303</v>
      </c>
      <c r="J77" s="70">
        <v>40</v>
      </c>
      <c r="K77" s="70">
        <v>40</v>
      </c>
      <c r="L77" s="70">
        <v>35</v>
      </c>
      <c r="M77" s="70">
        <v>2.5</v>
      </c>
      <c r="N77" s="70">
        <v>3</v>
      </c>
      <c r="O77" s="70">
        <v>2.5</v>
      </c>
      <c r="Q77" s="70" t="s">
        <v>303</v>
      </c>
      <c r="R77" s="253">
        <f t="shared" si="40"/>
        <v>35</v>
      </c>
      <c r="S77" s="70" t="str">
        <f t="shared" si="41"/>
        <v/>
      </c>
      <c r="T77" s="70" t="str">
        <f t="shared" si="42"/>
        <v/>
      </c>
      <c r="U77" s="70">
        <f t="shared" si="43"/>
        <v>35</v>
      </c>
      <c r="V77" s="253">
        <f t="shared" si="44"/>
        <v>2.5</v>
      </c>
      <c r="W77" s="70" t="str">
        <f t="shared" si="45"/>
        <v/>
      </c>
      <c r="X77" s="70" t="str">
        <f t="shared" si="46"/>
        <v/>
      </c>
      <c r="Y77" s="259">
        <f t="shared" si="47"/>
        <v>2.5</v>
      </c>
    </row>
    <row r="78" spans="3:25" ht="20.149999999999999" customHeight="1">
      <c r="C78" s="69" t="s">
        <v>343</v>
      </c>
      <c r="D78" s="69">
        <v>108</v>
      </c>
      <c r="I78" s="246" t="s">
        <v>305</v>
      </c>
      <c r="J78" s="70">
        <v>70</v>
      </c>
      <c r="K78" s="70">
        <v>70</v>
      </c>
      <c r="L78" s="70">
        <v>65</v>
      </c>
      <c r="M78" s="70">
        <v>3</v>
      </c>
      <c r="N78" s="70">
        <v>3</v>
      </c>
      <c r="O78" s="70">
        <v>2.75</v>
      </c>
      <c r="Q78" s="70" t="s">
        <v>305</v>
      </c>
      <c r="R78" s="253">
        <f t="shared" si="40"/>
        <v>65</v>
      </c>
      <c r="S78" s="70" t="str">
        <f t="shared" si="41"/>
        <v/>
      </c>
      <c r="T78" s="70" t="str">
        <f t="shared" si="42"/>
        <v/>
      </c>
      <c r="U78" s="70">
        <f t="shared" si="43"/>
        <v>65</v>
      </c>
      <c r="V78" s="253">
        <f t="shared" si="44"/>
        <v>2.75</v>
      </c>
      <c r="W78" s="70" t="str">
        <f t="shared" si="45"/>
        <v/>
      </c>
      <c r="X78" s="70" t="str">
        <f t="shared" si="46"/>
        <v/>
      </c>
      <c r="Y78" s="259">
        <f t="shared" si="47"/>
        <v>2.75</v>
      </c>
    </row>
    <row r="79" spans="3:25" ht="20.149999999999999" customHeight="1">
      <c r="C79" s="69" t="s">
        <v>344</v>
      </c>
      <c r="D79" s="69">
        <v>111</v>
      </c>
      <c r="I79" s="246" t="s">
        <v>307</v>
      </c>
      <c r="J79" s="70">
        <v>45</v>
      </c>
      <c r="K79" s="70">
        <v>45</v>
      </c>
      <c r="L79" s="70">
        <v>40</v>
      </c>
      <c r="M79" s="70">
        <v>1.2</v>
      </c>
      <c r="N79" s="70">
        <v>2</v>
      </c>
      <c r="O79" s="70">
        <v>2</v>
      </c>
      <c r="Q79" s="70" t="s">
        <v>307</v>
      </c>
      <c r="R79" s="253">
        <f t="shared" si="40"/>
        <v>40</v>
      </c>
      <c r="S79" s="70" t="str">
        <f t="shared" si="41"/>
        <v/>
      </c>
      <c r="T79" s="70" t="str">
        <f t="shared" si="42"/>
        <v/>
      </c>
      <c r="U79" s="70">
        <f t="shared" si="43"/>
        <v>40</v>
      </c>
      <c r="V79" s="253">
        <f t="shared" si="44"/>
        <v>2</v>
      </c>
      <c r="W79" s="70" t="str">
        <f t="shared" si="45"/>
        <v/>
      </c>
      <c r="X79" s="70" t="str">
        <f t="shared" si="46"/>
        <v/>
      </c>
      <c r="Y79" s="259">
        <f t="shared" si="47"/>
        <v>2</v>
      </c>
    </row>
    <row r="80" spans="3:25" ht="20.149999999999999" customHeight="1">
      <c r="C80" s="69" t="s">
        <v>345</v>
      </c>
      <c r="D80" s="69">
        <v>114</v>
      </c>
      <c r="I80" s="246" t="s">
        <v>309</v>
      </c>
      <c r="J80" s="70">
        <v>65</v>
      </c>
      <c r="K80" s="70">
        <v>65</v>
      </c>
      <c r="L80" s="70">
        <v>60</v>
      </c>
      <c r="M80" s="70">
        <v>3</v>
      </c>
      <c r="N80" s="70">
        <v>3</v>
      </c>
      <c r="O80" s="70">
        <v>2.5</v>
      </c>
      <c r="Q80" s="70" t="s">
        <v>309</v>
      </c>
      <c r="R80" s="253">
        <f t="shared" si="40"/>
        <v>60</v>
      </c>
      <c r="S80" s="70" t="str">
        <f t="shared" si="41"/>
        <v/>
      </c>
      <c r="T80" s="70" t="str">
        <f t="shared" si="42"/>
        <v/>
      </c>
      <c r="U80" s="70">
        <f t="shared" si="43"/>
        <v>60</v>
      </c>
      <c r="V80" s="253">
        <f t="shared" si="44"/>
        <v>2.5</v>
      </c>
      <c r="W80" s="70" t="str">
        <f t="shared" si="45"/>
        <v/>
      </c>
      <c r="X80" s="70" t="str">
        <f t="shared" si="46"/>
        <v/>
      </c>
      <c r="Y80" s="259">
        <f t="shared" si="47"/>
        <v>2.5</v>
      </c>
    </row>
    <row r="81" spans="3:26" ht="20.149999999999999" customHeight="1">
      <c r="C81" s="69" t="s">
        <v>346</v>
      </c>
      <c r="D81" s="69">
        <v>117</v>
      </c>
      <c r="I81" s="249"/>
      <c r="M81" s="69" t="s">
        <v>128</v>
      </c>
      <c r="N81" s="69" t="s">
        <v>311</v>
      </c>
      <c r="Y81" s="260"/>
    </row>
    <row r="82" spans="3:26" ht="20.149999999999999" customHeight="1">
      <c r="C82" s="69" t="s">
        <v>347</v>
      </c>
      <c r="D82" s="69">
        <v>120</v>
      </c>
      <c r="I82" s="249" t="s">
        <v>170</v>
      </c>
      <c r="J82" s="477" t="s">
        <v>313</v>
      </c>
      <c r="K82" s="477"/>
      <c r="L82" s="477"/>
      <c r="M82" s="69">
        <f>MaGic_Avm_Building!D15</f>
        <v>0</v>
      </c>
      <c r="N82" s="69">
        <f>N58</f>
        <v>415</v>
      </c>
      <c r="Q82" s="69" t="str">
        <f>MaGic_Avm_Building!D6</f>
        <v>Residential A1</v>
      </c>
      <c r="R82" s="69">
        <f>VLOOKUP(Q82,Q68:R80,2,FALSE)</f>
        <v>60</v>
      </c>
      <c r="S82" s="69" t="s">
        <v>314</v>
      </c>
      <c r="Y82" s="260"/>
    </row>
    <row r="83" spans="3:26" ht="20.149999999999999" customHeight="1">
      <c r="C83" s="69" t="s">
        <v>348</v>
      </c>
      <c r="D83" s="69">
        <v>123</v>
      </c>
      <c r="I83" s="249" t="s">
        <v>314</v>
      </c>
      <c r="J83" s="477" t="s">
        <v>316</v>
      </c>
      <c r="K83" s="477"/>
      <c r="L83" s="477"/>
      <c r="M83" s="69">
        <f>MaGic_Avm_Building!D13</f>
        <v>0</v>
      </c>
      <c r="N83" s="69">
        <f>N82</f>
        <v>415</v>
      </c>
      <c r="R83" s="69">
        <f>VLOOKUP(Q82,Q68:V80,6,FALSE)</f>
        <v>2.5</v>
      </c>
      <c r="S83" s="69" t="s">
        <v>170</v>
      </c>
      <c r="Y83" s="260"/>
    </row>
    <row r="84" spans="3:26" ht="20.149999999999999" customHeight="1">
      <c r="C84" s="69" t="s">
        <v>349</v>
      </c>
      <c r="D84" s="69">
        <v>126</v>
      </c>
      <c r="I84" s="249"/>
      <c r="J84" s="477" t="s">
        <v>318</v>
      </c>
      <c r="K84" s="477"/>
      <c r="U84" s="69" t="s">
        <v>319</v>
      </c>
      <c r="V84" s="76" t="str">
        <f>_xlfn.TEXTJOIN("",TRUE,U85:U87)</f>
        <v>The building is located within the limits of the Grama Panchayat (Category-II)  and has Residential A1 occupancy classification.The building complies with the building rules, as the actual FSI of 0 is within the permissible limit of 2.5. The building complies with the building rules, as the actual Coverage of 0 is within the permissible limit of 60.</v>
      </c>
      <c r="Y84" s="260"/>
      <c r="Z84" s="76" t="str">
        <f>IFERROR(V84,"")</f>
        <v>The building is located within the limits of the Grama Panchayat (Category-II)  and has Residential A1 occupancy classification.The building complies with the building rules, as the actual FSI of 0 is within the permissible limit of 2.5. The building complies with the building rules, as the actual Coverage of 0 is within the permissible limit of 60.</v>
      </c>
    </row>
    <row r="85" spans="3:26" ht="20.149999999999999" customHeight="1">
      <c r="C85" s="69" t="s">
        <v>350</v>
      </c>
      <c r="D85" s="69">
        <v>129</v>
      </c>
      <c r="I85" s="249"/>
      <c r="J85" s="69" t="s">
        <v>321</v>
      </c>
      <c r="K85" s="19" t="s">
        <v>322</v>
      </c>
      <c r="M85" s="69" t="s">
        <v>323</v>
      </c>
      <c r="O85" s="19"/>
      <c r="P85" s="19" t="s">
        <v>324</v>
      </c>
      <c r="Q85" s="19" t="str">
        <f>IF(J67="Grama Panchayat",CONCATENATE(J67," (",K67,") "),J67)</f>
        <v>Grama Panchayat (Category-II)</v>
      </c>
      <c r="R85" s="19" t="s">
        <v>325</v>
      </c>
      <c r="S85" s="19" t="str">
        <f>Q82</f>
        <v>Residential A1</v>
      </c>
      <c r="T85" s="19" t="s">
        <v>326</v>
      </c>
      <c r="U85" s="255" t="str">
        <f>CONCATENATE(P85,Q85,R85,S85,T85)</f>
        <v>The building is located within the limits of the Grama Panchayat (Category-II)  and has Residential A1 occupancy classification.</v>
      </c>
      <c r="V85" s="66"/>
      <c r="W85" s="66"/>
      <c r="X85" s="66"/>
      <c r="Y85" s="261"/>
    </row>
    <row r="86" spans="3:26" ht="20.149999999999999" customHeight="1">
      <c r="C86" s="69" t="s">
        <v>351</v>
      </c>
      <c r="D86" s="69">
        <v>132</v>
      </c>
      <c r="I86" s="249" t="s">
        <v>170</v>
      </c>
      <c r="J86" s="69">
        <f>ROUND(M82/N82,2)</f>
        <v>0</v>
      </c>
      <c r="K86" s="69">
        <f>R83</f>
        <v>2.5</v>
      </c>
      <c r="M86" s="69" t="str">
        <f>IF(J86&gt;K86,"V","N")</f>
        <v>N</v>
      </c>
      <c r="P86" s="19" t="str">
        <f>CONCATENATE("The building violates the building rules, as the maximum permissible Coverage is ",K86," while the actual Coverage is ",J86,". ")</f>
        <v>The building violates the building rules, as the maximum permissible Coverage is 2.5 while the actual Coverage is 0.</v>
      </c>
      <c r="Q86" s="19" t="str">
        <f>CONCATENATE("The building complies with the building rules, as the actual FSI of ",J86," is within the permissible limit of ",K86,". ")</f>
        <v>The building complies with the building rules, as the actual FSI of 0 is within the permissible limit of 2.5.</v>
      </c>
      <c r="U86" s="256" t="str">
        <f>IF(M86="V",P86,Q86)</f>
        <v>The building complies with the building rules, as the actual FSI of 0 is within the permissible limit of 2.5.</v>
      </c>
      <c r="Y86" s="260"/>
    </row>
    <row r="87" spans="3:26" ht="20.149999999999999" customHeight="1">
      <c r="C87" s="69" t="s">
        <v>352</v>
      </c>
      <c r="D87" s="69">
        <v>135</v>
      </c>
      <c r="I87" s="250" t="s">
        <v>314</v>
      </c>
      <c r="J87" s="251">
        <f>ROUND((M83/N83)*100,0)</f>
        <v>0</v>
      </c>
      <c r="K87" s="251">
        <f>R82</f>
        <v>60</v>
      </c>
      <c r="L87" s="251"/>
      <c r="M87" s="251" t="str">
        <f>IF(J87&gt;K87,"V","N")</f>
        <v>N</v>
      </c>
      <c r="N87" s="251"/>
      <c r="O87" s="251"/>
      <c r="P87" s="47" t="str">
        <f>CONCATENATE("The building violates the building rules, as the maximum permissible FSI is ",K87," while the actual FSI is ",J87,". ")</f>
        <v>The building violates the building rules, as the maximum permissible FSI is 60 while the actual FSI is 0.</v>
      </c>
      <c r="Q87" s="47" t="str">
        <f>CONCATENATE("The building complies with the building rules, as the actual Coverage of ",J87," is within the permissible limit of ",K87,". ")</f>
        <v>The building complies with the building rules, as the actual Coverage of 0 is within the permissible limit of 60.</v>
      </c>
      <c r="R87" s="251"/>
      <c r="S87" s="251"/>
      <c r="T87" s="251"/>
      <c r="U87" s="257" t="str">
        <f>IF(M87="V",P87,Q87)</f>
        <v>The building complies with the building rules, as the actual Coverage of 0 is within the permissible limit of 60.</v>
      </c>
      <c r="V87" s="251"/>
      <c r="W87" s="251"/>
      <c r="X87" s="251"/>
      <c r="Y87" s="262"/>
    </row>
    <row r="88" spans="3:26" ht="20.149999999999999" customHeight="1">
      <c r="C88" s="69" t="s">
        <v>353</v>
      </c>
      <c r="D88" s="69">
        <v>138</v>
      </c>
    </row>
    <row r="89" spans="3:26" ht="20.149999999999999" customHeight="1">
      <c r="C89" s="69" t="s">
        <v>354</v>
      </c>
      <c r="D89" s="69">
        <v>141</v>
      </c>
      <c r="I89" s="482" t="s">
        <v>355</v>
      </c>
      <c r="J89" s="482"/>
      <c r="K89" s="482"/>
      <c r="L89" s="482"/>
      <c r="M89" s="482"/>
      <c r="N89" s="482"/>
      <c r="O89" s="482"/>
      <c r="P89" s="482"/>
      <c r="Q89" s="482"/>
      <c r="R89" s="482"/>
      <c r="S89" s="482"/>
      <c r="T89" s="482"/>
      <c r="U89" s="482"/>
      <c r="V89" s="482"/>
      <c r="W89" s="482"/>
      <c r="X89" s="482"/>
      <c r="Y89" s="482"/>
      <c r="Z89" s="287" t="str">
        <f>_xlfn.TEXTJOIN("",TRUE,Z60:Z84)</f>
        <v>The building is located within the limits of the Grama Panchayat (Category-II)  and has Lodging houses &amp; 
Special Residential A2   occupancy classification.The building complies with the building rules, as the actual FSI of 0 is within the permissible limit of 1.5. The building complies with the building rules, as the actual Coverage of 0 is within the permissible limit of 55. The building is located within the limits of the Grama Panchayat (Category-II)  and has Residential A1 occupancy classification.The building complies with the building rules, as the actual FSI of 0 is within the permissible limit of 2.5. The building complies with the building rules, as the actual Coverage of 0 is within the permissible limit of 60.</v>
      </c>
    </row>
    <row r="90" spans="3:26" ht="20.149999999999999" customHeight="1">
      <c r="C90" s="69" t="s">
        <v>356</v>
      </c>
      <c r="D90" s="69">
        <v>144</v>
      </c>
      <c r="I90" s="263" t="s">
        <v>128</v>
      </c>
      <c r="J90" s="263" t="s">
        <v>66</v>
      </c>
      <c r="K90" s="263"/>
      <c r="L90" s="263" t="str">
        <f>MaGic_Avm_Building!C6</f>
        <v>Lodging houses &amp; 
Special Residential A2</v>
      </c>
      <c r="M90" s="263" t="s">
        <v>357</v>
      </c>
      <c r="N90" s="263">
        <f>MaGic_Avm_Building!C14</f>
        <v>0</v>
      </c>
      <c r="O90" s="263" t="s">
        <v>173</v>
      </c>
      <c r="P90" s="263">
        <f>N83</f>
        <v>415</v>
      </c>
      <c r="Q90" s="264"/>
      <c r="R90" s="264"/>
      <c r="S90" s="264"/>
      <c r="T90" s="264"/>
      <c r="U90" s="264"/>
      <c r="V90" s="264"/>
      <c r="W90" s="264"/>
      <c r="X90" s="264"/>
      <c r="Y90" s="264"/>
    </row>
    <row r="91" spans="3:26" ht="20.149999999999999" customHeight="1">
      <c r="C91" s="69" t="s">
        <v>358</v>
      </c>
      <c r="D91" s="69">
        <v>147</v>
      </c>
      <c r="I91" s="264"/>
      <c r="J91" s="264" t="s">
        <v>359</v>
      </c>
      <c r="K91" s="264" t="s">
        <v>360</v>
      </c>
      <c r="L91" s="264" t="s">
        <v>361</v>
      </c>
      <c r="M91" s="264" t="s">
        <v>362</v>
      </c>
      <c r="N91" s="264" t="s">
        <v>363</v>
      </c>
      <c r="O91" s="264" t="s">
        <v>364</v>
      </c>
      <c r="P91" s="264"/>
      <c r="Q91" s="264"/>
      <c r="R91" s="264"/>
      <c r="S91" s="264"/>
      <c r="T91" s="264" t="s">
        <v>359</v>
      </c>
      <c r="U91" s="264" t="s">
        <v>360</v>
      </c>
      <c r="V91" s="264" t="s">
        <v>361</v>
      </c>
      <c r="W91" s="264" t="s">
        <v>362</v>
      </c>
      <c r="X91" s="264" t="s">
        <v>363</v>
      </c>
      <c r="Y91" s="264" t="s">
        <v>364</v>
      </c>
    </row>
    <row r="92" spans="3:26" ht="20.149999999999999" customHeight="1">
      <c r="C92" s="69" t="s">
        <v>365</v>
      </c>
      <c r="D92" s="69">
        <v>150</v>
      </c>
      <c r="I92" s="265" t="s">
        <v>135</v>
      </c>
      <c r="J92" s="264">
        <v>3</v>
      </c>
      <c r="K92" s="264">
        <v>1.8</v>
      </c>
      <c r="L92" s="264">
        <v>1.5</v>
      </c>
      <c r="M92" s="264">
        <v>1</v>
      </c>
      <c r="N92" s="266">
        <v>1</v>
      </c>
      <c r="O92" s="264">
        <v>1</v>
      </c>
      <c r="P92" s="264"/>
      <c r="Q92" s="264" t="str">
        <f>IF($N$90&gt;200,"Y","N")</f>
        <v>N</v>
      </c>
      <c r="R92" s="264" t="str">
        <f>IF($L$90=I92,"Y","N")</f>
        <v>N</v>
      </c>
      <c r="S92" s="264" t="str">
        <f>IF(Q92="Y",IF(R92="Y","Y","N"),"N")</f>
        <v>N</v>
      </c>
      <c r="T92" s="264" t="str">
        <f>IF($S92="Y",J92,"")</f>
        <v/>
      </c>
      <c r="U92" s="264" t="str">
        <f t="shared" ref="U92:Y92" si="48">IF($S92="Y",K92,"")</f>
        <v/>
      </c>
      <c r="V92" s="264" t="str">
        <f t="shared" si="48"/>
        <v/>
      </c>
      <c r="W92" s="264" t="str">
        <f t="shared" si="48"/>
        <v/>
      </c>
      <c r="X92" s="264" t="str">
        <f t="shared" si="48"/>
        <v/>
      </c>
      <c r="Y92" s="264" t="str">
        <f t="shared" si="48"/>
        <v/>
      </c>
    </row>
    <row r="93" spans="3:26" ht="64.5" customHeight="1">
      <c r="C93" s="69" t="s">
        <v>366</v>
      </c>
      <c r="D93" s="69">
        <v>153</v>
      </c>
      <c r="I93" s="264" t="s">
        <v>134</v>
      </c>
      <c r="J93" s="264">
        <v>3</v>
      </c>
      <c r="K93" s="264">
        <v>1.8</v>
      </c>
      <c r="L93" s="264">
        <v>1.5</v>
      </c>
      <c r="M93" s="264">
        <v>1</v>
      </c>
      <c r="N93" s="266">
        <v>1</v>
      </c>
      <c r="O93" s="264">
        <v>1</v>
      </c>
      <c r="P93" s="264"/>
      <c r="Q93" s="265"/>
      <c r="R93" s="264" t="str">
        <f t="shared" ref="R93:R114" si="49">IF($L$90=I93,"Y","N")</f>
        <v>Y</v>
      </c>
      <c r="S93" s="264" t="str">
        <f>R93</f>
        <v>Y</v>
      </c>
      <c r="T93" s="264">
        <f t="shared" ref="T93:T114" si="50">IF($S93="Y",J93,"")</f>
        <v>3</v>
      </c>
      <c r="U93" s="264">
        <f t="shared" ref="U93:U114" si="51">IF($S93="Y",K93,"")</f>
        <v>1.8</v>
      </c>
      <c r="V93" s="264">
        <f t="shared" ref="V93:V114" si="52">IF($S93="Y",L93,"")</f>
        <v>1.5</v>
      </c>
      <c r="W93" s="264">
        <f t="shared" ref="W93:W114" si="53">IF($S93="Y",M93,"")</f>
        <v>1</v>
      </c>
      <c r="X93" s="264">
        <f t="shared" ref="X93:X114" si="54">IF($S93="Y",N93,"")</f>
        <v>1</v>
      </c>
      <c r="Y93" s="264">
        <f t="shared" ref="Y93:Y114" si="55">IF($S93="Y",O93,"")</f>
        <v>1</v>
      </c>
    </row>
    <row r="94" spans="3:26" ht="20.149999999999999" customHeight="1">
      <c r="C94" s="69" t="s">
        <v>367</v>
      </c>
      <c r="D94" s="69">
        <v>156</v>
      </c>
      <c r="I94" s="264" t="s">
        <v>299</v>
      </c>
      <c r="J94" s="264">
        <v>3</v>
      </c>
      <c r="K94" s="264">
        <v>1.8</v>
      </c>
      <c r="L94" s="264">
        <v>1.5</v>
      </c>
      <c r="M94" s="264">
        <v>1</v>
      </c>
      <c r="N94" s="266">
        <v>1</v>
      </c>
      <c r="O94" s="264">
        <v>1</v>
      </c>
      <c r="P94" s="264" t="s">
        <v>368</v>
      </c>
      <c r="Q94" s="264" t="str">
        <f>IF($N$90&lt;=200,"Y","N")</f>
        <v>Y</v>
      </c>
      <c r="R94" s="264" t="str">
        <f t="shared" si="49"/>
        <v>N</v>
      </c>
      <c r="S94" s="264" t="str">
        <f t="shared" ref="S94:S113" si="56">IF(Q94="Y",IF(R94="Y","Y","N"),"N")</f>
        <v>N</v>
      </c>
      <c r="T94" s="264" t="str">
        <f t="shared" si="50"/>
        <v/>
      </c>
      <c r="U94" s="264" t="str">
        <f t="shared" si="51"/>
        <v/>
      </c>
      <c r="V94" s="264" t="str">
        <f t="shared" si="52"/>
        <v/>
      </c>
      <c r="W94" s="264" t="str">
        <f t="shared" si="53"/>
        <v/>
      </c>
      <c r="X94" s="264" t="str">
        <f t="shared" si="54"/>
        <v/>
      </c>
      <c r="Y94" s="264" t="str">
        <f t="shared" si="55"/>
        <v/>
      </c>
    </row>
    <row r="95" spans="3:26" ht="29.5" customHeight="1">
      <c r="C95" s="69" t="s">
        <v>369</v>
      </c>
      <c r="D95" s="69">
        <v>159</v>
      </c>
      <c r="I95" s="265" t="s">
        <v>135</v>
      </c>
      <c r="J95" s="264">
        <v>1.8</v>
      </c>
      <c r="K95" s="264">
        <v>1.2</v>
      </c>
      <c r="L95" s="264">
        <v>1</v>
      </c>
      <c r="M95" s="264">
        <v>0.5</v>
      </c>
      <c r="N95" s="266">
        <v>0.6</v>
      </c>
      <c r="O95" s="264">
        <v>0.6</v>
      </c>
      <c r="P95" s="264" t="s">
        <v>370</v>
      </c>
      <c r="Q95" s="264" t="str">
        <f t="shared" ref="Q95:Q96" si="57">IF($N$90&lt;=200,"Y","N")</f>
        <v>Y</v>
      </c>
      <c r="R95" s="264" t="str">
        <f t="shared" si="49"/>
        <v>N</v>
      </c>
      <c r="S95" s="264" t="str">
        <f t="shared" si="56"/>
        <v>N</v>
      </c>
      <c r="T95" s="264" t="str">
        <f t="shared" si="50"/>
        <v/>
      </c>
      <c r="U95" s="264" t="str">
        <f t="shared" si="51"/>
        <v/>
      </c>
      <c r="V95" s="264" t="str">
        <f t="shared" si="52"/>
        <v/>
      </c>
      <c r="W95" s="264" t="str">
        <f t="shared" si="53"/>
        <v/>
      </c>
      <c r="X95" s="264" t="str">
        <f t="shared" si="54"/>
        <v/>
      </c>
      <c r="Y95" s="264" t="str">
        <f t="shared" si="55"/>
        <v/>
      </c>
    </row>
    <row r="96" spans="3:26" ht="25" customHeight="1">
      <c r="C96" s="69" t="s">
        <v>371</v>
      </c>
      <c r="D96" s="69">
        <v>162</v>
      </c>
      <c r="I96" s="264" t="s">
        <v>299</v>
      </c>
      <c r="J96" s="264">
        <v>1.8</v>
      </c>
      <c r="K96" s="264">
        <v>1.2</v>
      </c>
      <c r="L96" s="264">
        <v>1</v>
      </c>
      <c r="M96" s="264">
        <v>0.5</v>
      </c>
      <c r="N96" s="266">
        <v>0.6</v>
      </c>
      <c r="O96" s="264">
        <v>0.6</v>
      </c>
      <c r="P96" s="264" t="s">
        <v>370</v>
      </c>
      <c r="Q96" s="264" t="str">
        <f t="shared" si="57"/>
        <v>Y</v>
      </c>
      <c r="R96" s="264" t="str">
        <f t="shared" si="49"/>
        <v>N</v>
      </c>
      <c r="S96" s="264" t="str">
        <f t="shared" si="56"/>
        <v>N</v>
      </c>
      <c r="T96" s="264" t="str">
        <f t="shared" si="50"/>
        <v/>
      </c>
      <c r="U96" s="264" t="str">
        <f t="shared" si="51"/>
        <v/>
      </c>
      <c r="V96" s="264" t="str">
        <f t="shared" si="52"/>
        <v/>
      </c>
      <c r="W96" s="264" t="str">
        <f t="shared" si="53"/>
        <v/>
      </c>
      <c r="X96" s="264" t="str">
        <f t="shared" si="54"/>
        <v/>
      </c>
      <c r="Y96" s="264" t="str">
        <f t="shared" si="55"/>
        <v/>
      </c>
    </row>
    <row r="97" spans="3:25" ht="20.149999999999999" customHeight="1">
      <c r="C97" s="69" t="s">
        <v>372</v>
      </c>
      <c r="D97" s="69">
        <v>165</v>
      </c>
      <c r="I97" s="264" t="s">
        <v>289</v>
      </c>
      <c r="J97" s="264">
        <v>5</v>
      </c>
      <c r="K97" s="264">
        <v>3</v>
      </c>
      <c r="L97" s="264">
        <v>2</v>
      </c>
      <c r="M97" s="264">
        <v>1.5</v>
      </c>
      <c r="N97" s="264">
        <v>2</v>
      </c>
      <c r="O97" s="264">
        <v>1.5</v>
      </c>
      <c r="P97" s="264" t="s">
        <v>373</v>
      </c>
      <c r="Q97" s="264" t="str">
        <f>IF($N$90&gt;200,"Y","N")</f>
        <v>N</v>
      </c>
      <c r="R97" s="264" t="str">
        <f t="shared" si="49"/>
        <v>N</v>
      </c>
      <c r="S97" s="264" t="str">
        <f t="shared" si="56"/>
        <v>N</v>
      </c>
      <c r="T97" s="264" t="str">
        <f t="shared" si="50"/>
        <v/>
      </c>
      <c r="U97" s="264" t="str">
        <f t="shared" si="51"/>
        <v/>
      </c>
      <c r="V97" s="264" t="str">
        <f t="shared" si="52"/>
        <v/>
      </c>
      <c r="W97" s="264" t="str">
        <f t="shared" si="53"/>
        <v/>
      </c>
      <c r="X97" s="264" t="str">
        <f t="shared" si="54"/>
        <v/>
      </c>
      <c r="Y97" s="264" t="str">
        <f t="shared" si="55"/>
        <v/>
      </c>
    </row>
    <row r="98" spans="3:25" ht="20.149999999999999" customHeight="1">
      <c r="C98" s="69" t="s">
        <v>374</v>
      </c>
      <c r="D98" s="69">
        <v>168</v>
      </c>
      <c r="I98" s="264" t="s">
        <v>291</v>
      </c>
      <c r="J98" s="264">
        <v>5</v>
      </c>
      <c r="K98" s="264">
        <v>3</v>
      </c>
      <c r="L98" s="264">
        <v>2</v>
      </c>
      <c r="M98" s="264">
        <v>1.5</v>
      </c>
      <c r="N98" s="264">
        <v>2</v>
      </c>
      <c r="O98" s="264">
        <v>1.5</v>
      </c>
      <c r="P98" s="264" t="s">
        <v>373</v>
      </c>
      <c r="Q98" s="264" t="str">
        <f t="shared" ref="Q98:Q100" si="58">IF($N$90&gt;200,"Y","N")</f>
        <v>N</v>
      </c>
      <c r="R98" s="264" t="str">
        <f t="shared" si="49"/>
        <v>N</v>
      </c>
      <c r="S98" s="264" t="str">
        <f t="shared" si="56"/>
        <v>N</v>
      </c>
      <c r="T98" s="264" t="str">
        <f t="shared" si="50"/>
        <v/>
      </c>
      <c r="U98" s="264" t="str">
        <f t="shared" si="51"/>
        <v/>
      </c>
      <c r="V98" s="264" t="str">
        <f t="shared" si="52"/>
        <v/>
      </c>
      <c r="W98" s="264" t="str">
        <f t="shared" si="53"/>
        <v/>
      </c>
      <c r="X98" s="264" t="str">
        <f t="shared" si="54"/>
        <v/>
      </c>
      <c r="Y98" s="264" t="str">
        <f t="shared" si="55"/>
        <v/>
      </c>
    </row>
    <row r="99" spans="3:25" ht="20.149999999999999" customHeight="1">
      <c r="C99" s="69" t="s">
        <v>375</v>
      </c>
      <c r="D99" s="69">
        <v>171</v>
      </c>
      <c r="I99" s="264" t="s">
        <v>293</v>
      </c>
      <c r="J99" s="264">
        <v>5</v>
      </c>
      <c r="K99" s="264">
        <v>3</v>
      </c>
      <c r="L99" s="264">
        <v>2</v>
      </c>
      <c r="M99" s="264">
        <v>1.5</v>
      </c>
      <c r="N99" s="264">
        <v>2</v>
      </c>
      <c r="O99" s="264">
        <v>1.5</v>
      </c>
      <c r="P99" s="264" t="s">
        <v>373</v>
      </c>
      <c r="Q99" s="264" t="str">
        <f t="shared" si="58"/>
        <v>N</v>
      </c>
      <c r="R99" s="264" t="str">
        <f t="shared" si="49"/>
        <v>N</v>
      </c>
      <c r="S99" s="264" t="str">
        <f t="shared" si="56"/>
        <v>N</v>
      </c>
      <c r="T99" s="264" t="str">
        <f t="shared" si="50"/>
        <v/>
      </c>
      <c r="U99" s="264" t="str">
        <f t="shared" si="51"/>
        <v/>
      </c>
      <c r="V99" s="264" t="str">
        <f t="shared" si="52"/>
        <v/>
      </c>
      <c r="W99" s="264" t="str">
        <f t="shared" si="53"/>
        <v/>
      </c>
      <c r="X99" s="264" t="str">
        <f t="shared" si="54"/>
        <v/>
      </c>
      <c r="Y99" s="264" t="str">
        <f t="shared" si="55"/>
        <v/>
      </c>
    </row>
    <row r="100" spans="3:25" ht="20.149999999999999" customHeight="1">
      <c r="C100" s="69" t="s">
        <v>376</v>
      </c>
      <c r="D100" s="69">
        <v>174</v>
      </c>
      <c r="I100" s="264" t="s">
        <v>297</v>
      </c>
      <c r="J100" s="264">
        <v>5</v>
      </c>
      <c r="K100" s="264">
        <v>3</v>
      </c>
      <c r="L100" s="264">
        <v>2</v>
      </c>
      <c r="M100" s="264">
        <v>1.5</v>
      </c>
      <c r="N100" s="264">
        <v>2</v>
      </c>
      <c r="O100" s="264">
        <v>1.5</v>
      </c>
      <c r="P100" s="264" t="s">
        <v>373</v>
      </c>
      <c r="Q100" s="264" t="str">
        <f t="shared" si="58"/>
        <v>N</v>
      </c>
      <c r="R100" s="264" t="str">
        <f t="shared" si="49"/>
        <v>N</v>
      </c>
      <c r="S100" s="264" t="str">
        <f t="shared" si="56"/>
        <v>N</v>
      </c>
      <c r="T100" s="264" t="str">
        <f t="shared" si="50"/>
        <v/>
      </c>
      <c r="U100" s="264" t="str">
        <f t="shared" si="51"/>
        <v/>
      </c>
      <c r="V100" s="264" t="str">
        <f t="shared" si="52"/>
        <v/>
      </c>
      <c r="W100" s="264" t="str">
        <f t="shared" si="53"/>
        <v/>
      </c>
      <c r="X100" s="264" t="str">
        <f t="shared" si="54"/>
        <v/>
      </c>
      <c r="Y100" s="264" t="str">
        <f t="shared" si="55"/>
        <v/>
      </c>
    </row>
    <row r="101" spans="3:25" ht="20.149999999999999" customHeight="1">
      <c r="C101" s="69" t="s">
        <v>377</v>
      </c>
      <c r="D101" s="69">
        <v>177</v>
      </c>
      <c r="I101" s="264" t="s">
        <v>289</v>
      </c>
      <c r="J101" s="264">
        <v>6</v>
      </c>
      <c r="K101" s="264">
        <v>3</v>
      </c>
      <c r="L101" s="264">
        <v>2</v>
      </c>
      <c r="M101" s="264">
        <v>6</v>
      </c>
      <c r="N101" s="264">
        <v>4.5</v>
      </c>
      <c r="O101" s="264">
        <v>3</v>
      </c>
      <c r="P101" s="264" t="s">
        <v>378</v>
      </c>
      <c r="Q101" s="264" t="str">
        <f>IF($N$90&gt;500,"Y","N")</f>
        <v>N</v>
      </c>
      <c r="R101" s="264" t="str">
        <f t="shared" si="49"/>
        <v>N</v>
      </c>
      <c r="S101" s="264" t="str">
        <f t="shared" si="56"/>
        <v>N</v>
      </c>
      <c r="T101" s="264" t="str">
        <f t="shared" si="50"/>
        <v/>
      </c>
      <c r="U101" s="264" t="str">
        <f t="shared" si="51"/>
        <v/>
      </c>
      <c r="V101" s="264" t="str">
        <f t="shared" si="52"/>
        <v/>
      </c>
      <c r="W101" s="264" t="str">
        <f t="shared" si="53"/>
        <v/>
      </c>
      <c r="X101" s="264" t="str">
        <f t="shared" si="54"/>
        <v/>
      </c>
      <c r="Y101" s="264" t="str">
        <f t="shared" si="55"/>
        <v/>
      </c>
    </row>
    <row r="102" spans="3:25" ht="20.149999999999999" customHeight="1">
      <c r="C102" s="69" t="s">
        <v>379</v>
      </c>
      <c r="D102" s="69">
        <v>180</v>
      </c>
      <c r="I102" s="264" t="s">
        <v>291</v>
      </c>
      <c r="J102" s="264">
        <v>6</v>
      </c>
      <c r="K102" s="264">
        <v>3</v>
      </c>
      <c r="L102" s="264">
        <v>2</v>
      </c>
      <c r="M102" s="264">
        <v>6</v>
      </c>
      <c r="N102" s="264">
        <v>4.5</v>
      </c>
      <c r="O102" s="264">
        <v>3</v>
      </c>
      <c r="P102" s="264" t="s">
        <v>378</v>
      </c>
      <c r="Q102" s="264" t="str">
        <f t="shared" ref="Q102:Q104" si="59">IF($N$90&gt;500,"Y","N")</f>
        <v>N</v>
      </c>
      <c r="R102" s="264" t="str">
        <f t="shared" si="49"/>
        <v>N</v>
      </c>
      <c r="S102" s="264" t="str">
        <f t="shared" si="56"/>
        <v>N</v>
      </c>
      <c r="T102" s="264" t="str">
        <f t="shared" si="50"/>
        <v/>
      </c>
      <c r="U102" s="264" t="str">
        <f t="shared" si="51"/>
        <v/>
      </c>
      <c r="V102" s="264" t="str">
        <f t="shared" si="52"/>
        <v/>
      </c>
      <c r="W102" s="264" t="str">
        <f t="shared" si="53"/>
        <v/>
      </c>
      <c r="X102" s="264" t="str">
        <f t="shared" si="54"/>
        <v/>
      </c>
      <c r="Y102" s="264" t="str">
        <f t="shared" si="55"/>
        <v/>
      </c>
    </row>
    <row r="103" spans="3:25" ht="20.149999999999999" customHeight="1">
      <c r="C103" s="69" t="s">
        <v>380</v>
      </c>
      <c r="D103" s="69">
        <v>183</v>
      </c>
      <c r="I103" s="264" t="s">
        <v>293</v>
      </c>
      <c r="J103" s="264">
        <v>6</v>
      </c>
      <c r="K103" s="264">
        <v>3</v>
      </c>
      <c r="L103" s="264">
        <v>2</v>
      </c>
      <c r="M103" s="264">
        <v>6</v>
      </c>
      <c r="N103" s="264">
        <v>4.5</v>
      </c>
      <c r="O103" s="264">
        <v>3</v>
      </c>
      <c r="P103" s="264" t="s">
        <v>378</v>
      </c>
      <c r="Q103" s="264" t="str">
        <f t="shared" si="59"/>
        <v>N</v>
      </c>
      <c r="R103" s="264" t="str">
        <f t="shared" si="49"/>
        <v>N</v>
      </c>
      <c r="S103" s="264" t="str">
        <f t="shared" si="56"/>
        <v>N</v>
      </c>
      <c r="T103" s="264" t="str">
        <f t="shared" si="50"/>
        <v/>
      </c>
      <c r="U103" s="264" t="str">
        <f t="shared" si="51"/>
        <v/>
      </c>
      <c r="V103" s="264" t="str">
        <f t="shared" si="52"/>
        <v/>
      </c>
      <c r="W103" s="264" t="str">
        <f t="shared" si="53"/>
        <v/>
      </c>
      <c r="X103" s="264" t="str">
        <f t="shared" si="54"/>
        <v/>
      </c>
      <c r="Y103" s="264" t="str">
        <f t="shared" si="55"/>
        <v/>
      </c>
    </row>
    <row r="104" spans="3:25" ht="20.149999999999999" customHeight="1">
      <c r="C104" s="69" t="s">
        <v>381</v>
      </c>
      <c r="D104" s="69">
        <v>186</v>
      </c>
      <c r="I104" s="264" t="s">
        <v>297</v>
      </c>
      <c r="J104" s="264">
        <v>6</v>
      </c>
      <c r="K104" s="264">
        <v>3</v>
      </c>
      <c r="L104" s="264">
        <v>2</v>
      </c>
      <c r="M104" s="264">
        <v>6</v>
      </c>
      <c r="N104" s="264">
        <v>4.5</v>
      </c>
      <c r="O104" s="264">
        <v>3</v>
      </c>
      <c r="P104" s="264" t="s">
        <v>378</v>
      </c>
      <c r="Q104" s="264" t="str">
        <f t="shared" si="59"/>
        <v>N</v>
      </c>
      <c r="R104" s="264" t="str">
        <f t="shared" si="49"/>
        <v>N</v>
      </c>
      <c r="S104" s="264" t="str">
        <f t="shared" si="56"/>
        <v>N</v>
      </c>
      <c r="T104" s="264" t="str">
        <f t="shared" si="50"/>
        <v/>
      </c>
      <c r="U104" s="264" t="str">
        <f t="shared" si="51"/>
        <v/>
      </c>
      <c r="V104" s="264" t="str">
        <f t="shared" si="52"/>
        <v/>
      </c>
      <c r="W104" s="264" t="str">
        <f t="shared" si="53"/>
        <v/>
      </c>
      <c r="X104" s="264" t="str">
        <f t="shared" si="54"/>
        <v/>
      </c>
      <c r="Y104" s="264" t="str">
        <f t="shared" si="55"/>
        <v/>
      </c>
    </row>
    <row r="105" spans="3:25" ht="20.149999999999999" customHeight="1">
      <c r="C105" s="69" t="s">
        <v>382</v>
      </c>
      <c r="D105" s="69">
        <v>189</v>
      </c>
      <c r="I105" s="264" t="s">
        <v>295</v>
      </c>
      <c r="J105" s="264">
        <v>6</v>
      </c>
      <c r="K105" s="264">
        <v>4.5</v>
      </c>
      <c r="L105" s="264">
        <v>3</v>
      </c>
      <c r="M105" s="264">
        <v>1.5</v>
      </c>
      <c r="N105" s="264">
        <v>1.5</v>
      </c>
      <c r="O105" s="264">
        <v>1.5</v>
      </c>
      <c r="P105" s="264" t="s">
        <v>373</v>
      </c>
      <c r="Q105" s="264" t="str">
        <f>IF($N$90&gt;200,"Y","N")</f>
        <v>N</v>
      </c>
      <c r="R105" s="264" t="str">
        <f t="shared" si="49"/>
        <v>N</v>
      </c>
      <c r="S105" s="264" t="str">
        <f t="shared" si="56"/>
        <v>N</v>
      </c>
      <c r="T105" s="264" t="str">
        <f t="shared" si="50"/>
        <v/>
      </c>
      <c r="U105" s="264" t="str">
        <f t="shared" si="51"/>
        <v/>
      </c>
      <c r="V105" s="264" t="str">
        <f t="shared" si="52"/>
        <v/>
      </c>
      <c r="W105" s="264" t="str">
        <f t="shared" si="53"/>
        <v/>
      </c>
      <c r="X105" s="264" t="str">
        <f t="shared" si="54"/>
        <v/>
      </c>
      <c r="Y105" s="264" t="str">
        <f t="shared" si="55"/>
        <v/>
      </c>
    </row>
    <row r="106" spans="3:25" ht="20.149999999999999" customHeight="1">
      <c r="C106" s="69" t="s">
        <v>383</v>
      </c>
      <c r="D106" s="69">
        <v>192</v>
      </c>
      <c r="I106" s="264" t="s">
        <v>295</v>
      </c>
      <c r="J106" s="264">
        <v>6</v>
      </c>
      <c r="K106" s="264">
        <v>4.5</v>
      </c>
      <c r="L106" s="264">
        <v>2</v>
      </c>
      <c r="M106" s="264">
        <v>2</v>
      </c>
      <c r="N106" s="264">
        <v>4</v>
      </c>
      <c r="O106" s="264">
        <v>5</v>
      </c>
      <c r="P106" s="264" t="s">
        <v>378</v>
      </c>
      <c r="Q106" s="264" t="str">
        <f>IF($N$90&gt;500,"Y","N")</f>
        <v>N</v>
      </c>
      <c r="R106" s="264" t="str">
        <f t="shared" si="49"/>
        <v>N</v>
      </c>
      <c r="S106" s="264" t="str">
        <f t="shared" si="56"/>
        <v>N</v>
      </c>
      <c r="T106" s="264" t="str">
        <f t="shared" si="50"/>
        <v/>
      </c>
      <c r="U106" s="264" t="str">
        <f t="shared" si="51"/>
        <v/>
      </c>
      <c r="V106" s="264" t="str">
        <f t="shared" si="52"/>
        <v/>
      </c>
      <c r="W106" s="264" t="str">
        <f t="shared" si="53"/>
        <v/>
      </c>
      <c r="X106" s="264" t="str">
        <f t="shared" si="54"/>
        <v/>
      </c>
      <c r="Y106" s="264" t="str">
        <f t="shared" si="55"/>
        <v/>
      </c>
    </row>
    <row r="107" spans="3:25" ht="20.149999999999999" customHeight="1">
      <c r="C107" s="69" t="s">
        <v>384</v>
      </c>
      <c r="D107" s="69">
        <v>195</v>
      </c>
      <c r="I107" s="264" t="s">
        <v>295</v>
      </c>
      <c r="J107" s="264">
        <v>7.5</v>
      </c>
      <c r="K107" s="264">
        <v>5</v>
      </c>
      <c r="L107" s="264">
        <v>3</v>
      </c>
      <c r="M107" s="264">
        <v>1.5</v>
      </c>
      <c r="N107" s="264">
        <v>1.5</v>
      </c>
      <c r="O107" s="264">
        <v>1.5</v>
      </c>
      <c r="P107" s="264" t="s">
        <v>385</v>
      </c>
      <c r="Q107" s="264" t="str">
        <f>IF($N$90&gt;800,"Y","N")</f>
        <v>N</v>
      </c>
      <c r="R107" s="264" t="str">
        <f t="shared" si="49"/>
        <v>N</v>
      </c>
      <c r="S107" s="264" t="str">
        <f t="shared" si="56"/>
        <v>N</v>
      </c>
      <c r="T107" s="264" t="str">
        <f t="shared" si="50"/>
        <v/>
      </c>
      <c r="U107" s="264" t="str">
        <f t="shared" si="51"/>
        <v/>
      </c>
      <c r="V107" s="264" t="str">
        <f t="shared" si="52"/>
        <v/>
      </c>
      <c r="W107" s="264" t="str">
        <f t="shared" si="53"/>
        <v/>
      </c>
      <c r="X107" s="264" t="str">
        <f t="shared" si="54"/>
        <v/>
      </c>
      <c r="Y107" s="264" t="str">
        <f t="shared" si="55"/>
        <v/>
      </c>
    </row>
    <row r="108" spans="3:25" ht="20.149999999999999" customHeight="1">
      <c r="C108" s="69" t="s">
        <v>386</v>
      </c>
      <c r="D108" s="69">
        <v>198</v>
      </c>
      <c r="I108" s="264" t="s">
        <v>299</v>
      </c>
      <c r="J108" s="266">
        <v>3</v>
      </c>
      <c r="K108" s="264">
        <v>3</v>
      </c>
      <c r="L108" s="266">
        <v>1.5</v>
      </c>
      <c r="M108" s="264">
        <v>1.5</v>
      </c>
      <c r="N108" s="266">
        <v>1</v>
      </c>
      <c r="O108" s="264">
        <v>1</v>
      </c>
      <c r="P108" s="264" t="s">
        <v>373</v>
      </c>
      <c r="Q108" s="264" t="str">
        <f>IF($N$90&gt;200,"Y","N")</f>
        <v>N</v>
      </c>
      <c r="R108" s="264" t="str">
        <f t="shared" si="49"/>
        <v>N</v>
      </c>
      <c r="S108" s="264" t="str">
        <f t="shared" si="56"/>
        <v>N</v>
      </c>
      <c r="T108" s="264" t="str">
        <f t="shared" si="50"/>
        <v/>
      </c>
      <c r="U108" s="264" t="str">
        <f t="shared" si="51"/>
        <v/>
      </c>
      <c r="V108" s="264" t="str">
        <f t="shared" si="52"/>
        <v/>
      </c>
      <c r="W108" s="264" t="str">
        <f t="shared" si="53"/>
        <v/>
      </c>
      <c r="X108" s="264" t="str">
        <f t="shared" si="54"/>
        <v/>
      </c>
      <c r="Y108" s="264" t="str">
        <f t="shared" si="55"/>
        <v/>
      </c>
    </row>
    <row r="109" spans="3:25" ht="20.149999999999999" customHeight="1">
      <c r="C109" s="69" t="s">
        <v>387</v>
      </c>
      <c r="D109" s="69">
        <v>201</v>
      </c>
      <c r="I109" s="264" t="s">
        <v>301</v>
      </c>
      <c r="J109" s="266">
        <v>3</v>
      </c>
      <c r="K109" s="264">
        <v>3</v>
      </c>
      <c r="L109" s="266">
        <v>2</v>
      </c>
      <c r="M109" s="264">
        <v>2</v>
      </c>
      <c r="N109" s="266">
        <v>2</v>
      </c>
      <c r="O109" s="264">
        <v>2</v>
      </c>
      <c r="P109" s="264" t="s">
        <v>388</v>
      </c>
      <c r="Q109" s="264" t="str">
        <f>IF($N$90&lt;200,"Y","N")</f>
        <v>Y</v>
      </c>
      <c r="R109" s="264" t="str">
        <f t="shared" si="49"/>
        <v>N</v>
      </c>
      <c r="S109" s="264" t="str">
        <f t="shared" si="56"/>
        <v>N</v>
      </c>
      <c r="T109" s="264" t="str">
        <f t="shared" si="50"/>
        <v/>
      </c>
      <c r="U109" s="264" t="str">
        <f t="shared" si="51"/>
        <v/>
      </c>
      <c r="V109" s="264" t="str">
        <f t="shared" si="52"/>
        <v/>
      </c>
      <c r="W109" s="264" t="str">
        <f t="shared" si="53"/>
        <v/>
      </c>
      <c r="X109" s="264" t="str">
        <f t="shared" si="54"/>
        <v/>
      </c>
      <c r="Y109" s="264" t="str">
        <f t="shared" si="55"/>
        <v/>
      </c>
    </row>
    <row r="110" spans="3:25" ht="20.149999999999999" customHeight="1">
      <c r="C110" s="69" t="s">
        <v>389</v>
      </c>
      <c r="D110" s="69">
        <v>204</v>
      </c>
      <c r="I110" s="264" t="s">
        <v>301</v>
      </c>
      <c r="J110" s="266">
        <v>3</v>
      </c>
      <c r="K110" s="264">
        <v>3</v>
      </c>
      <c r="L110" s="266">
        <v>3</v>
      </c>
      <c r="M110" s="264">
        <v>3</v>
      </c>
      <c r="N110" s="266">
        <v>3</v>
      </c>
      <c r="O110" s="264">
        <v>3</v>
      </c>
      <c r="P110" s="264" t="s">
        <v>373</v>
      </c>
      <c r="Q110" s="264" t="str">
        <f>IF($N$90&gt;200,"Y","N")</f>
        <v>N</v>
      </c>
      <c r="R110" s="264" t="str">
        <f t="shared" si="49"/>
        <v>N</v>
      </c>
      <c r="S110" s="264" t="str">
        <f t="shared" si="56"/>
        <v>N</v>
      </c>
      <c r="T110" s="264" t="str">
        <f t="shared" si="50"/>
        <v/>
      </c>
      <c r="U110" s="264" t="str">
        <f t="shared" si="51"/>
        <v/>
      </c>
      <c r="V110" s="264" t="str">
        <f t="shared" si="52"/>
        <v/>
      </c>
      <c r="W110" s="264" t="str">
        <f t="shared" si="53"/>
        <v/>
      </c>
      <c r="X110" s="264" t="str">
        <f t="shared" si="54"/>
        <v/>
      </c>
      <c r="Y110" s="264" t="str">
        <f t="shared" si="55"/>
        <v/>
      </c>
    </row>
    <row r="111" spans="3:25" ht="20.149999999999999" customHeight="1">
      <c r="C111" s="69" t="s">
        <v>390</v>
      </c>
      <c r="D111" s="69">
        <v>207</v>
      </c>
      <c r="I111" s="264" t="s">
        <v>303</v>
      </c>
      <c r="J111" s="266">
        <v>5</v>
      </c>
      <c r="K111" s="264">
        <v>5</v>
      </c>
      <c r="L111" s="266">
        <v>5</v>
      </c>
      <c r="M111" s="264">
        <v>5</v>
      </c>
      <c r="N111" s="266">
        <v>3</v>
      </c>
      <c r="O111" s="264">
        <v>3</v>
      </c>
      <c r="P111" s="264"/>
      <c r="Q111" s="264"/>
      <c r="R111" s="264" t="str">
        <f t="shared" si="49"/>
        <v>N</v>
      </c>
      <c r="S111" s="264" t="str">
        <f>R111</f>
        <v>N</v>
      </c>
      <c r="T111" s="264" t="str">
        <f t="shared" si="50"/>
        <v/>
      </c>
      <c r="U111" s="264" t="str">
        <f t="shared" si="51"/>
        <v/>
      </c>
      <c r="V111" s="264" t="str">
        <f t="shared" si="52"/>
        <v/>
      </c>
      <c r="W111" s="264" t="str">
        <f t="shared" si="53"/>
        <v/>
      </c>
      <c r="X111" s="264" t="str">
        <f t="shared" si="54"/>
        <v/>
      </c>
      <c r="Y111" s="264" t="str">
        <f t="shared" si="55"/>
        <v/>
      </c>
    </row>
    <row r="112" spans="3:25" ht="20.149999999999999" customHeight="1">
      <c r="C112" s="69" t="s">
        <v>391</v>
      </c>
      <c r="D112" s="69">
        <v>210</v>
      </c>
      <c r="I112" s="264" t="s">
        <v>305</v>
      </c>
      <c r="J112" s="266">
        <v>6</v>
      </c>
      <c r="K112" s="264">
        <v>6</v>
      </c>
      <c r="L112" s="266">
        <v>3</v>
      </c>
      <c r="M112" s="264">
        <v>3</v>
      </c>
      <c r="N112" s="266">
        <v>2</v>
      </c>
      <c r="O112" s="264">
        <v>2</v>
      </c>
      <c r="P112" s="264"/>
      <c r="Q112" s="264"/>
      <c r="R112" s="264" t="str">
        <f t="shared" si="49"/>
        <v>N</v>
      </c>
      <c r="S112" s="264" t="str">
        <f>R112</f>
        <v>N</v>
      </c>
      <c r="T112" s="264" t="str">
        <f t="shared" si="50"/>
        <v/>
      </c>
      <c r="U112" s="264" t="str">
        <f t="shared" si="51"/>
        <v/>
      </c>
      <c r="V112" s="264" t="str">
        <f t="shared" si="52"/>
        <v/>
      </c>
      <c r="W112" s="264" t="str">
        <f t="shared" si="53"/>
        <v/>
      </c>
      <c r="X112" s="264" t="str">
        <f t="shared" si="54"/>
        <v/>
      </c>
      <c r="Y112" s="264" t="str">
        <f t="shared" si="55"/>
        <v/>
      </c>
    </row>
    <row r="113" spans="3:28" ht="20.149999999999999" customHeight="1">
      <c r="C113" s="69" t="s">
        <v>392</v>
      </c>
      <c r="D113" s="69">
        <v>213</v>
      </c>
      <c r="I113" s="264" t="s">
        <v>307</v>
      </c>
      <c r="J113" s="266">
        <v>7.5</v>
      </c>
      <c r="K113" s="264">
        <v>7.5</v>
      </c>
      <c r="L113" s="266">
        <v>7.5</v>
      </c>
      <c r="M113" s="264">
        <v>7.5</v>
      </c>
      <c r="N113" s="266">
        <v>7.5</v>
      </c>
      <c r="O113" s="264">
        <v>7.5</v>
      </c>
      <c r="P113" s="264" t="s">
        <v>393</v>
      </c>
      <c r="Q113" s="264" t="str">
        <f>IF($N$90&gt;300,"Y","N")</f>
        <v>N</v>
      </c>
      <c r="R113" s="264" t="str">
        <f t="shared" si="49"/>
        <v>N</v>
      </c>
      <c r="S113" s="264" t="str">
        <f t="shared" si="56"/>
        <v>N</v>
      </c>
      <c r="T113" s="264" t="str">
        <f t="shared" si="50"/>
        <v/>
      </c>
      <c r="U113" s="264" t="str">
        <f t="shared" si="51"/>
        <v/>
      </c>
      <c r="V113" s="264" t="str">
        <f t="shared" si="52"/>
        <v/>
      </c>
      <c r="W113" s="264" t="str">
        <f t="shared" si="53"/>
        <v/>
      </c>
      <c r="X113" s="264" t="str">
        <f t="shared" si="54"/>
        <v/>
      </c>
      <c r="Y113" s="264" t="str">
        <f t="shared" si="55"/>
        <v/>
      </c>
    </row>
    <row r="114" spans="3:28" ht="20.149999999999999" customHeight="1">
      <c r="C114" s="69" t="s">
        <v>394</v>
      </c>
      <c r="D114" s="69">
        <v>216</v>
      </c>
      <c r="I114" s="264" t="s">
        <v>309</v>
      </c>
      <c r="J114" s="266">
        <v>10.5</v>
      </c>
      <c r="K114" s="264">
        <v>10.5</v>
      </c>
      <c r="L114" s="266">
        <v>5</v>
      </c>
      <c r="M114" s="264">
        <v>5</v>
      </c>
      <c r="N114" s="266">
        <v>5</v>
      </c>
      <c r="O114" s="264">
        <v>5</v>
      </c>
      <c r="P114" s="264"/>
      <c r="Q114" s="264"/>
      <c r="R114" s="264" t="str">
        <f t="shared" si="49"/>
        <v>N</v>
      </c>
      <c r="S114" s="264" t="str">
        <f>R114</f>
        <v>N</v>
      </c>
      <c r="T114" s="267" t="str">
        <f t="shared" si="50"/>
        <v/>
      </c>
      <c r="U114" s="267" t="str">
        <f t="shared" si="51"/>
        <v/>
      </c>
      <c r="V114" s="267" t="str">
        <f t="shared" si="52"/>
        <v/>
      </c>
      <c r="W114" s="267" t="str">
        <f t="shared" si="53"/>
        <v/>
      </c>
      <c r="X114" s="267" t="str">
        <f t="shared" si="54"/>
        <v/>
      </c>
      <c r="Y114" s="267" t="str">
        <f t="shared" si="55"/>
        <v/>
      </c>
    </row>
    <row r="115" spans="3:28" ht="20.149999999999999" customHeight="1">
      <c r="C115" s="69" t="s">
        <v>395</v>
      </c>
      <c r="D115" s="69">
        <v>219</v>
      </c>
      <c r="I115" s="264"/>
      <c r="J115" s="264"/>
      <c r="K115" s="264"/>
      <c r="L115" s="264"/>
      <c r="M115" s="264"/>
      <c r="N115" s="264"/>
      <c r="O115" s="264"/>
      <c r="P115" s="264"/>
      <c r="Q115" s="264"/>
      <c r="R115" s="264"/>
      <c r="S115" s="269"/>
      <c r="T115" s="270">
        <f>SUM(T92:T114)</f>
        <v>3</v>
      </c>
      <c r="U115" s="271">
        <f t="shared" ref="U115:Y115" si="60">SUM(U92:U114)</f>
        <v>1.8</v>
      </c>
      <c r="V115" s="271">
        <f t="shared" si="60"/>
        <v>1.5</v>
      </c>
      <c r="W115" s="271">
        <f t="shared" si="60"/>
        <v>1</v>
      </c>
      <c r="X115" s="271">
        <f t="shared" si="60"/>
        <v>1</v>
      </c>
      <c r="Y115" s="271">
        <f t="shared" si="60"/>
        <v>1</v>
      </c>
      <c r="Z115" s="288">
        <f>X115</f>
        <v>1</v>
      </c>
      <c r="AA115" s="289">
        <f>Y115</f>
        <v>1</v>
      </c>
      <c r="AB115" s="290"/>
    </row>
    <row r="116" spans="3:28" ht="20.149999999999999" customHeight="1">
      <c r="C116" s="69" t="s">
        <v>396</v>
      </c>
      <c r="D116" s="69">
        <v>222</v>
      </c>
      <c r="I116" s="264"/>
      <c r="J116" s="264"/>
      <c r="K116" s="264"/>
      <c r="L116" s="264"/>
      <c r="M116" s="264"/>
      <c r="N116" s="264"/>
      <c r="O116" s="264"/>
      <c r="P116" s="267"/>
      <c r="Q116" s="267"/>
      <c r="R116" s="267"/>
      <c r="S116" s="272"/>
      <c r="T116" s="273" t="s">
        <v>397</v>
      </c>
      <c r="U116" s="264" t="s">
        <v>398</v>
      </c>
      <c r="V116" s="264" t="s">
        <v>399</v>
      </c>
      <c r="W116" s="264" t="s">
        <v>400</v>
      </c>
      <c r="X116" s="264" t="s">
        <v>401</v>
      </c>
      <c r="Y116" s="264" t="s">
        <v>402</v>
      </c>
      <c r="Z116" s="275" t="s">
        <v>403</v>
      </c>
      <c r="AA116" s="291" t="s">
        <v>404</v>
      </c>
      <c r="AB116" s="290"/>
    </row>
    <row r="117" spans="3:28" ht="20.149999999999999" customHeight="1">
      <c r="C117" s="69" t="s">
        <v>405</v>
      </c>
      <c r="D117" s="69">
        <v>225</v>
      </c>
      <c r="P117" s="268"/>
      <c r="Q117" s="268"/>
      <c r="R117" s="245" t="s">
        <v>128</v>
      </c>
      <c r="S117" s="245" t="s">
        <v>129</v>
      </c>
      <c r="T117" s="274">
        <f>(R118+R119)/2</f>
        <v>0</v>
      </c>
      <c r="U117" s="275">
        <f>R119</f>
        <v>0</v>
      </c>
      <c r="V117" s="275">
        <f>0.5*(R120+R121)</f>
        <v>0</v>
      </c>
      <c r="W117" s="275">
        <f>R121</f>
        <v>0</v>
      </c>
      <c r="X117" s="275">
        <f>0.5*(R122+R123)</f>
        <v>0</v>
      </c>
      <c r="Y117" s="275">
        <f>R123</f>
        <v>0</v>
      </c>
      <c r="Z117" s="275">
        <f>0.5*(R124+R125)</f>
        <v>0</v>
      </c>
      <c r="AA117" s="291">
        <f>R125</f>
        <v>0</v>
      </c>
      <c r="AB117" s="474" t="s">
        <v>406</v>
      </c>
    </row>
    <row r="118" spans="3:28" ht="20.149999999999999" customHeight="1">
      <c r="C118" s="69" t="s">
        <v>407</v>
      </c>
      <c r="D118" s="69">
        <v>228</v>
      </c>
      <c r="P118" s="249"/>
      <c r="Q118" s="276" t="s">
        <v>149</v>
      </c>
      <c r="R118" s="69">
        <f>MaGic_Avm_Building!C20</f>
        <v>0</v>
      </c>
      <c r="S118" s="277"/>
      <c r="T118" s="278" t="str">
        <f>IF(T117&lt;T115,"1","0")</f>
        <v>1</v>
      </c>
      <c r="U118" s="279" t="str">
        <f t="shared" ref="U118:AA118" si="61">IF(U117&lt;U115,"1","0")</f>
        <v>1</v>
      </c>
      <c r="V118" s="279" t="str">
        <f t="shared" si="61"/>
        <v>1</v>
      </c>
      <c r="W118" s="279" t="str">
        <f t="shared" si="61"/>
        <v>1</v>
      </c>
      <c r="X118" s="279" t="str">
        <f t="shared" si="61"/>
        <v>1</v>
      </c>
      <c r="Y118" s="279" t="str">
        <f t="shared" si="61"/>
        <v>1</v>
      </c>
      <c r="Z118" s="279" t="str">
        <f t="shared" si="61"/>
        <v>1</v>
      </c>
      <c r="AA118" s="292" t="str">
        <f t="shared" si="61"/>
        <v>1</v>
      </c>
      <c r="AB118" s="474"/>
    </row>
    <row r="119" spans="3:28" ht="20.149999999999999" customHeight="1">
      <c r="C119" s="69" t="s">
        <v>408</v>
      </c>
      <c r="D119" s="69">
        <v>231</v>
      </c>
      <c r="P119" s="249"/>
      <c r="Q119" s="276" t="s">
        <v>150</v>
      </c>
      <c r="R119" s="69">
        <f>MaGic_Avm_Building!C21</f>
        <v>0</v>
      </c>
      <c r="S119" s="280"/>
      <c r="T119" s="478" t="str">
        <f>CONCATENATE("The ",T116," yard required is ",T115," m, whereas at the site it is only ",T117," m.")</f>
        <v>The Average Front yard required is 3 m, whereas at the site it is only 0 m.</v>
      </c>
      <c r="U119" s="470" t="str">
        <f t="shared" ref="U119:AA119" si="62">CONCATENATE("The ",U116," yard required is ",U115," m, whereas at the site it is only ",U117," m.")</f>
        <v>The Minimum Front yard required is 1.8 m, whereas at the site it is only 0 m.</v>
      </c>
      <c r="V119" s="470" t="str">
        <f t="shared" si="62"/>
        <v>The Average Rear yard required is 1.5 m, whereas at the site it is only 0 m.</v>
      </c>
      <c r="W119" s="470" t="str">
        <f t="shared" si="62"/>
        <v>The Minimum Rear yard required is 1 m, whereas at the site it is only 0 m.</v>
      </c>
      <c r="X119" s="470" t="str">
        <f t="shared" si="62"/>
        <v>The Average Side-1 yard required is 1 m, whereas at the site it is only 0 m.</v>
      </c>
      <c r="Y119" s="470" t="str">
        <f t="shared" si="62"/>
        <v>The Minimum Side-1 yard required is 1 m, whereas at the site it is only 0 m.</v>
      </c>
      <c r="Z119" s="470" t="str">
        <f t="shared" si="62"/>
        <v>The Average Side-2 yard required is 1 m, whereas at the site it is only 0 m.</v>
      </c>
      <c r="AA119" s="468" t="str">
        <f t="shared" si="62"/>
        <v>The Minimum Side-2 yard required is 1 m, whereas at the site it is only 0 m.</v>
      </c>
    </row>
    <row r="120" spans="3:28" ht="20.149999999999999" customHeight="1">
      <c r="C120" s="69" t="s">
        <v>409</v>
      </c>
      <c r="D120" s="69">
        <v>234</v>
      </c>
      <c r="P120" s="249"/>
      <c r="Q120" s="276" t="s">
        <v>151</v>
      </c>
      <c r="R120" s="69">
        <f>MaGic_Avm_Building!C22</f>
        <v>0</v>
      </c>
      <c r="S120" s="280"/>
      <c r="T120" s="479"/>
      <c r="U120" s="471"/>
      <c r="V120" s="471"/>
      <c r="W120" s="471"/>
      <c r="X120" s="471"/>
      <c r="Y120" s="471"/>
      <c r="Z120" s="471"/>
      <c r="AA120" s="469"/>
    </row>
    <row r="121" spans="3:28" ht="20.149999999999999" customHeight="1">
      <c r="C121" s="69" t="s">
        <v>410</v>
      </c>
      <c r="D121" s="69">
        <v>237</v>
      </c>
      <c r="P121" s="249"/>
      <c r="Q121" s="276" t="s">
        <v>150</v>
      </c>
      <c r="R121" s="69">
        <f>MaGic_Avm_Building!C23</f>
        <v>0</v>
      </c>
      <c r="S121" s="280"/>
      <c r="T121" s="479"/>
      <c r="U121" s="471"/>
      <c r="V121" s="471"/>
      <c r="W121" s="471"/>
      <c r="X121" s="471"/>
      <c r="Y121" s="471"/>
      <c r="Z121" s="471"/>
      <c r="AA121" s="469"/>
    </row>
    <row r="122" spans="3:28" ht="20.149999999999999" customHeight="1">
      <c r="C122" s="69" t="s">
        <v>411</v>
      </c>
      <c r="D122" s="69">
        <v>240</v>
      </c>
      <c r="P122" s="249"/>
      <c r="Q122" s="276" t="s">
        <v>152</v>
      </c>
      <c r="R122" s="69">
        <f>MaGic_Avm_Building!C24</f>
        <v>0</v>
      </c>
      <c r="S122" s="280"/>
      <c r="T122" s="479"/>
      <c r="U122" s="471"/>
      <c r="V122" s="471"/>
      <c r="W122" s="471"/>
      <c r="X122" s="471"/>
      <c r="Y122" s="471"/>
      <c r="Z122" s="471"/>
      <c r="AA122" s="469"/>
    </row>
    <row r="123" spans="3:28" ht="20.149999999999999" customHeight="1">
      <c r="C123" s="69" t="s">
        <v>412</v>
      </c>
      <c r="D123" s="69">
        <v>243</v>
      </c>
      <c r="P123" s="249"/>
      <c r="Q123" s="276" t="s">
        <v>150</v>
      </c>
      <c r="R123" s="69">
        <f>MaGic_Avm_Building!C25</f>
        <v>0</v>
      </c>
      <c r="S123" s="280"/>
      <c r="T123" s="479"/>
      <c r="U123" s="471"/>
      <c r="V123" s="471"/>
      <c r="W123" s="471"/>
      <c r="X123" s="471"/>
      <c r="Y123" s="471"/>
      <c r="Z123" s="471"/>
      <c r="AA123" s="469"/>
    </row>
    <row r="124" spans="3:28" ht="20.149999999999999" customHeight="1">
      <c r="C124" s="69" t="s">
        <v>413</v>
      </c>
      <c r="D124" s="69">
        <v>246</v>
      </c>
      <c r="P124" s="249"/>
      <c r="Q124" s="276" t="s">
        <v>153</v>
      </c>
      <c r="R124" s="69">
        <f>MaGic_Avm_Building!C26</f>
        <v>0</v>
      </c>
      <c r="S124" s="280"/>
      <c r="T124" s="281" t="str">
        <f>IF(T118="1",T119,"")</f>
        <v>The Average Front yard required is 3 m, whereas at the site it is only 0 m.</v>
      </c>
      <c r="U124" s="281" t="str">
        <f t="shared" ref="U124:AA124" si="63">IF(U118="1",U119,"")</f>
        <v>The Minimum Front yard required is 1.8 m, whereas at the site it is only 0 m.</v>
      </c>
      <c r="V124" s="281" t="str">
        <f t="shared" si="63"/>
        <v>The Average Rear yard required is 1.5 m, whereas at the site it is only 0 m.</v>
      </c>
      <c r="W124" s="281" t="str">
        <f t="shared" si="63"/>
        <v>The Minimum Rear yard required is 1 m, whereas at the site it is only 0 m.</v>
      </c>
      <c r="X124" s="281" t="str">
        <f t="shared" si="63"/>
        <v>The Average Side-1 yard required is 1 m, whereas at the site it is only 0 m.</v>
      </c>
      <c r="Y124" s="281" t="str">
        <f t="shared" si="63"/>
        <v>The Minimum Side-1 yard required is 1 m, whereas at the site it is only 0 m.</v>
      </c>
      <c r="Z124" s="281" t="str">
        <f t="shared" si="63"/>
        <v>The Average Side-2 yard required is 1 m, whereas at the site it is only 0 m.</v>
      </c>
      <c r="AA124" s="281" t="str">
        <f t="shared" si="63"/>
        <v>The Minimum Side-2 yard required is 1 m, whereas at the site it is only 0 m.</v>
      </c>
      <c r="AB124" s="19" t="str">
        <f>_xlfn.TEXTJOIN(",",TRUE,T124:AA124)</f>
        <v>The Average Front yard required is 3 m, whereas at the site it is only 0 m.,The Minimum Front yard required is 1.8 m, whereas at the site it is only 0 m.,The Average Rear yard required is 1.5 m, whereas at the site it is only 0 m.,The Minimum Rear yard required is 1 m, whereas at the site it is only 0 m.,The Average Side-1 yard required is 1 m, whereas at the site it is only 0 m.,The Minimum Side-1 yard required is 1 m, whereas at the site it is only 0 m.,The Average Side-2 yard required is 1 m, whereas at the site it is only 0 m.,The Minimum Side-2 yard required is 1 m, whereas at the site it is only 0 m.</v>
      </c>
    </row>
    <row r="125" spans="3:28" ht="14.5">
      <c r="C125" s="69" t="s">
        <v>414</v>
      </c>
      <c r="D125" s="69">
        <v>249</v>
      </c>
      <c r="P125" s="250"/>
      <c r="Q125" s="282" t="s">
        <v>150</v>
      </c>
      <c r="R125" s="251">
        <f>MaGic_Avm_Building!C27</f>
        <v>0</v>
      </c>
      <c r="S125" s="283"/>
      <c r="T125" s="284" t="s">
        <v>415</v>
      </c>
      <c r="U125" s="285">
        <f>T118+U118+V118+W118+X118+Y118+Z118+AA118</f>
        <v>8</v>
      </c>
      <c r="V125" s="472" t="str">
        <f>IF(U125&gt;0,CONCATENATE(AB117,AB124),"")</f>
        <v>The setbacks are in violation of the Kerala Panchayat Building Rules, 2019 (as amended on 24/09/2020). The Average Front yard required is 3 m, whereas at the site it is only 0 m.,The Minimum Front yard required is 1.8 m, whereas at the site it is only 0 m.,The Average Rear yard required is 1.5 m, whereas at the site it is only 0 m.,The Minimum Rear yard required is 1 m, whereas at the site it is only 0 m.,The Average Side-1 yard required is 1 m, whereas at the site it is only 0 m.,The Minimum Side-1 yard required is 1 m, whereas at the site it is only 0 m.,The Average Side-2 yard required is 1 m, whereas at the site it is only 0 m.,The Minimum Side-2 yard required is 1 m, whereas at the site it is only 0 m.</v>
      </c>
      <c r="W125" s="472"/>
      <c r="X125" s="472"/>
      <c r="Y125" s="472"/>
      <c r="Z125" s="472"/>
      <c r="AA125" s="473"/>
    </row>
    <row r="126" spans="3:28" ht="20.149999999999999" customHeight="1">
      <c r="C126" s="69" t="s">
        <v>416</v>
      </c>
      <c r="D126" s="69">
        <v>252</v>
      </c>
      <c r="Q126" s="69" t="s">
        <v>415</v>
      </c>
      <c r="R126" s="69">
        <f>SUM(R118:R125)</f>
        <v>0</v>
      </c>
      <c r="S126" s="69" t="s">
        <v>113</v>
      </c>
      <c r="T126" s="286" t="str">
        <f>MaGic_Avm_Building!C3</f>
        <v>Grama Panchayat</v>
      </c>
      <c r="U126" s="69" t="str">
        <f>IF(T126="Grama Panchayat",V125,"")</f>
        <v>The setbacks are in violation of the Kerala Panchayat Building Rules, 2019 (as amended on 24/09/2020). The Average Front yard required is 3 m, whereas at the site it is only 0 m.,The Minimum Front yard required is 1.8 m, whereas at the site it is only 0 m.,The Average Rear yard required is 1.5 m, whereas at the site it is only 0 m.,The Minimum Rear yard required is 1 m, whereas at the site it is only 0 m.,The Average Side-1 yard required is 1 m, whereas at the site it is only 0 m.,The Minimum Side-1 yard required is 1 m, whereas at the site it is only 0 m.,The Average Side-2 yard required is 1 m, whereas at the site it is only 0 m.,The Minimum Side-2 yard required is 1 m, whereas at the site it is only 0 m.</v>
      </c>
      <c r="V126" s="475" t="str">
        <f>IF(R126=0,"",U126)</f>
        <v/>
      </c>
      <c r="W126" s="475"/>
      <c r="X126" s="475"/>
      <c r="Y126" s="475"/>
      <c r="Z126" s="475"/>
      <c r="AA126" s="475"/>
    </row>
    <row r="127" spans="3:28" ht="20.149999999999999" customHeight="1">
      <c r="C127" s="69" t="s">
        <v>417</v>
      </c>
      <c r="D127" s="69">
        <v>255</v>
      </c>
      <c r="I127" s="263" t="s">
        <v>129</v>
      </c>
      <c r="J127" s="263" t="s">
        <v>66</v>
      </c>
      <c r="K127" s="263"/>
      <c r="L127" s="263" t="str">
        <f>MaGic_Avm_Building!D6</f>
        <v>Residential A1</v>
      </c>
      <c r="M127" s="263" t="s">
        <v>357</v>
      </c>
      <c r="N127" s="263">
        <f>MaGic_Avm_Building!D14</f>
        <v>0</v>
      </c>
      <c r="O127" s="263" t="s">
        <v>173</v>
      </c>
      <c r="P127" s="263">
        <f>P90</f>
        <v>415</v>
      </c>
      <c r="Q127" s="264"/>
      <c r="R127" s="264"/>
      <c r="S127" s="264"/>
      <c r="T127" s="264"/>
      <c r="U127" s="264"/>
      <c r="V127" s="264"/>
      <c r="W127" s="264"/>
      <c r="X127" s="264"/>
      <c r="Y127" s="264"/>
    </row>
    <row r="128" spans="3:28" ht="20.149999999999999" customHeight="1">
      <c r="C128" s="69" t="s">
        <v>418</v>
      </c>
      <c r="D128" s="69">
        <v>258</v>
      </c>
      <c r="I128" s="264"/>
      <c r="J128" s="264" t="s">
        <v>359</v>
      </c>
      <c r="K128" s="264" t="s">
        <v>360</v>
      </c>
      <c r="L128" s="264" t="s">
        <v>361</v>
      </c>
      <c r="M128" s="264" t="s">
        <v>362</v>
      </c>
      <c r="N128" s="264" t="s">
        <v>363</v>
      </c>
      <c r="O128" s="264" t="s">
        <v>364</v>
      </c>
      <c r="P128" s="264"/>
      <c r="Q128" s="264"/>
      <c r="R128" s="264"/>
      <c r="S128" s="264"/>
      <c r="T128" s="264" t="s">
        <v>359</v>
      </c>
      <c r="U128" s="264" t="s">
        <v>360</v>
      </c>
      <c r="V128" s="264" t="s">
        <v>361</v>
      </c>
      <c r="W128" s="264" t="s">
        <v>362</v>
      </c>
      <c r="X128" s="264" t="s">
        <v>363</v>
      </c>
      <c r="Y128" s="264" t="s">
        <v>364</v>
      </c>
    </row>
    <row r="129" spans="3:25" ht="20.149999999999999" customHeight="1">
      <c r="C129" s="69" t="s">
        <v>419</v>
      </c>
      <c r="D129" s="69">
        <v>261</v>
      </c>
      <c r="I129" s="265" t="s">
        <v>135</v>
      </c>
      <c r="J129" s="264">
        <v>3</v>
      </c>
      <c r="K129" s="264">
        <v>1.8</v>
      </c>
      <c r="L129" s="264">
        <v>1.5</v>
      </c>
      <c r="M129" s="264">
        <v>1</v>
      </c>
      <c r="N129" s="266">
        <v>1</v>
      </c>
      <c r="O129" s="264">
        <v>1</v>
      </c>
      <c r="P129" s="264"/>
      <c r="Q129" s="264" t="str">
        <f>IF($N$127&gt;200,"Y","N")</f>
        <v>N</v>
      </c>
      <c r="R129" s="264" t="str">
        <f t="shared" ref="R129:R151" si="64">IF($L$127=I129,"Y","N")</f>
        <v>Y</v>
      </c>
      <c r="S129" s="264" t="str">
        <f>IF(Q129="Y",IF(R129="Y","Y","N"),"N")</f>
        <v>N</v>
      </c>
      <c r="T129" s="264" t="str">
        <f>IF($S129="Y",J129,"")</f>
        <v/>
      </c>
      <c r="U129" s="264" t="str">
        <f t="shared" ref="U129:U151" si="65">IF($S129="Y",K129,"")</f>
        <v/>
      </c>
      <c r="V129" s="264" t="str">
        <f t="shared" ref="V129:V151" si="66">IF($S129="Y",L129,"")</f>
        <v/>
      </c>
      <c r="W129" s="264" t="str">
        <f t="shared" ref="W129:W151" si="67">IF($S129="Y",M129,"")</f>
        <v/>
      </c>
      <c r="X129" s="264" t="str">
        <f t="shared" ref="X129:X151" si="68">IF($S129="Y",N129,"")</f>
        <v/>
      </c>
      <c r="Y129" s="264" t="str">
        <f t="shared" ref="Y129:Y151" si="69">IF($S129="Y",O129,"")</f>
        <v/>
      </c>
    </row>
    <row r="130" spans="3:25" ht="20.149999999999999" customHeight="1">
      <c r="C130" s="69" t="s">
        <v>420</v>
      </c>
      <c r="D130" s="69">
        <v>264</v>
      </c>
      <c r="I130" s="264" t="s">
        <v>134</v>
      </c>
      <c r="J130" s="264">
        <v>3</v>
      </c>
      <c r="K130" s="264">
        <v>1.8</v>
      </c>
      <c r="L130" s="264">
        <v>1.5</v>
      </c>
      <c r="M130" s="264">
        <v>1</v>
      </c>
      <c r="N130" s="266">
        <v>1</v>
      </c>
      <c r="O130" s="264">
        <v>1</v>
      </c>
      <c r="P130" s="264"/>
      <c r="Q130" s="265"/>
      <c r="R130" s="264" t="str">
        <f t="shared" si="64"/>
        <v>N</v>
      </c>
      <c r="S130" s="264" t="str">
        <f>R130</f>
        <v>N</v>
      </c>
      <c r="T130" s="264" t="str">
        <f t="shared" ref="T130:T151" si="70">IF($S130="Y",J130,"")</f>
        <v/>
      </c>
      <c r="U130" s="264" t="str">
        <f t="shared" si="65"/>
        <v/>
      </c>
      <c r="V130" s="264" t="str">
        <f t="shared" si="66"/>
        <v/>
      </c>
      <c r="W130" s="264" t="str">
        <f t="shared" si="67"/>
        <v/>
      </c>
      <c r="X130" s="264" t="str">
        <f t="shared" si="68"/>
        <v/>
      </c>
      <c r="Y130" s="264" t="str">
        <f t="shared" si="69"/>
        <v/>
      </c>
    </row>
    <row r="131" spans="3:25" ht="20.149999999999999" customHeight="1">
      <c r="C131" s="69" t="s">
        <v>421</v>
      </c>
      <c r="D131" s="69">
        <v>267</v>
      </c>
      <c r="I131" s="264" t="s">
        <v>299</v>
      </c>
      <c r="J131" s="264">
        <v>3</v>
      </c>
      <c r="K131" s="264">
        <v>1.8</v>
      </c>
      <c r="L131" s="264">
        <v>1.5</v>
      </c>
      <c r="M131" s="264">
        <v>1</v>
      </c>
      <c r="N131" s="266">
        <v>1</v>
      </c>
      <c r="O131" s="264">
        <v>1</v>
      </c>
      <c r="P131" s="264" t="s">
        <v>368</v>
      </c>
      <c r="Q131" s="264" t="str">
        <f>IF($N$127&lt;=200,"Y","N")</f>
        <v>Y</v>
      </c>
      <c r="R131" s="264" t="str">
        <f t="shared" si="64"/>
        <v>N</v>
      </c>
      <c r="S131" s="264" t="str">
        <f t="shared" ref="S131:S147" si="71">IF(Q131="Y",IF(R131="Y","Y","N"),"N")</f>
        <v>N</v>
      </c>
      <c r="T131" s="264" t="str">
        <f t="shared" si="70"/>
        <v/>
      </c>
      <c r="U131" s="264" t="str">
        <f t="shared" si="65"/>
        <v/>
      </c>
      <c r="V131" s="264" t="str">
        <f t="shared" si="66"/>
        <v/>
      </c>
      <c r="W131" s="264" t="str">
        <f t="shared" si="67"/>
        <v/>
      </c>
      <c r="X131" s="264" t="str">
        <f t="shared" si="68"/>
        <v/>
      </c>
      <c r="Y131" s="264" t="str">
        <f t="shared" si="69"/>
        <v/>
      </c>
    </row>
    <row r="132" spans="3:25" ht="20.149999999999999" customHeight="1">
      <c r="C132" s="69" t="s">
        <v>422</v>
      </c>
      <c r="D132" s="69">
        <v>270</v>
      </c>
      <c r="I132" s="265" t="s">
        <v>135</v>
      </c>
      <c r="J132" s="264">
        <v>1.8</v>
      </c>
      <c r="K132" s="264">
        <v>1.2</v>
      </c>
      <c r="L132" s="264">
        <v>1</v>
      </c>
      <c r="M132" s="264">
        <v>0.5</v>
      </c>
      <c r="N132" s="266">
        <v>0.6</v>
      </c>
      <c r="O132" s="264">
        <v>0.6</v>
      </c>
      <c r="P132" s="264" t="s">
        <v>370</v>
      </c>
      <c r="Q132" s="264" t="str">
        <f>IF($N$127&lt;=200,"Y","N")</f>
        <v>Y</v>
      </c>
      <c r="R132" s="264" t="str">
        <f t="shared" si="64"/>
        <v>Y</v>
      </c>
      <c r="S132" s="264" t="str">
        <f t="shared" si="71"/>
        <v>Y</v>
      </c>
      <c r="T132" s="264">
        <f t="shared" si="70"/>
        <v>1.8</v>
      </c>
      <c r="U132" s="264">
        <f t="shared" si="65"/>
        <v>1.2</v>
      </c>
      <c r="V132" s="264">
        <f t="shared" si="66"/>
        <v>1</v>
      </c>
      <c r="W132" s="264">
        <f t="shared" si="67"/>
        <v>0.5</v>
      </c>
      <c r="X132" s="264">
        <f t="shared" si="68"/>
        <v>0.6</v>
      </c>
      <c r="Y132" s="264">
        <f t="shared" si="69"/>
        <v>0.6</v>
      </c>
    </row>
    <row r="133" spans="3:25" ht="20.149999999999999" customHeight="1">
      <c r="C133" s="69" t="s">
        <v>423</v>
      </c>
      <c r="D133" s="69">
        <v>273</v>
      </c>
      <c r="I133" s="264" t="s">
        <v>299</v>
      </c>
      <c r="J133" s="264">
        <v>1.8</v>
      </c>
      <c r="K133" s="264">
        <v>1.2</v>
      </c>
      <c r="L133" s="264">
        <v>1</v>
      </c>
      <c r="M133" s="264">
        <v>0.5</v>
      </c>
      <c r="N133" s="266">
        <v>0.6</v>
      </c>
      <c r="O133" s="264">
        <v>0.6</v>
      </c>
      <c r="P133" s="264" t="s">
        <v>370</v>
      </c>
      <c r="Q133" s="264" t="str">
        <f>IF($N$127&lt;=200,"Y","N")</f>
        <v>Y</v>
      </c>
      <c r="R133" s="264" t="str">
        <f t="shared" si="64"/>
        <v>N</v>
      </c>
      <c r="S133" s="264" t="str">
        <f t="shared" si="71"/>
        <v>N</v>
      </c>
      <c r="T133" s="264" t="str">
        <f t="shared" si="70"/>
        <v/>
      </c>
      <c r="U133" s="264" t="str">
        <f t="shared" si="65"/>
        <v/>
      </c>
      <c r="V133" s="264" t="str">
        <f t="shared" si="66"/>
        <v/>
      </c>
      <c r="W133" s="264" t="str">
        <f t="shared" si="67"/>
        <v/>
      </c>
      <c r="X133" s="264" t="str">
        <f t="shared" si="68"/>
        <v/>
      </c>
      <c r="Y133" s="264" t="str">
        <f t="shared" si="69"/>
        <v/>
      </c>
    </row>
    <row r="134" spans="3:25" ht="20.149999999999999" customHeight="1">
      <c r="C134" s="69" t="s">
        <v>424</v>
      </c>
      <c r="D134" s="69">
        <v>276</v>
      </c>
      <c r="I134" s="264" t="s">
        <v>289</v>
      </c>
      <c r="J134" s="264">
        <v>5</v>
      </c>
      <c r="K134" s="264">
        <v>3</v>
      </c>
      <c r="L134" s="264">
        <v>2</v>
      </c>
      <c r="M134" s="264">
        <v>1.5</v>
      </c>
      <c r="N134" s="264">
        <v>2</v>
      </c>
      <c r="O134" s="264">
        <v>1.5</v>
      </c>
      <c r="P134" s="264" t="s">
        <v>373</v>
      </c>
      <c r="Q134" s="264" t="str">
        <f>IF($N$127&gt;200,"Y","N")</f>
        <v>N</v>
      </c>
      <c r="R134" s="264" t="str">
        <f t="shared" si="64"/>
        <v>N</v>
      </c>
      <c r="S134" s="264" t="str">
        <f t="shared" si="71"/>
        <v>N</v>
      </c>
      <c r="T134" s="264" t="str">
        <f t="shared" si="70"/>
        <v/>
      </c>
      <c r="U134" s="264" t="str">
        <f t="shared" si="65"/>
        <v/>
      </c>
      <c r="V134" s="264" t="str">
        <f t="shared" si="66"/>
        <v/>
      </c>
      <c r="W134" s="264" t="str">
        <f t="shared" si="67"/>
        <v/>
      </c>
      <c r="X134" s="264" t="str">
        <f t="shared" si="68"/>
        <v/>
      </c>
      <c r="Y134" s="264" t="str">
        <f t="shared" si="69"/>
        <v/>
      </c>
    </row>
    <row r="135" spans="3:25" ht="20.149999999999999" customHeight="1">
      <c r="C135" s="69" t="s">
        <v>425</v>
      </c>
      <c r="D135" s="69">
        <v>279</v>
      </c>
      <c r="I135" s="264" t="s">
        <v>291</v>
      </c>
      <c r="J135" s="264">
        <v>5</v>
      </c>
      <c r="K135" s="264">
        <v>3</v>
      </c>
      <c r="L135" s="264">
        <v>2</v>
      </c>
      <c r="M135" s="264">
        <v>1.5</v>
      </c>
      <c r="N135" s="264">
        <v>2</v>
      </c>
      <c r="O135" s="264">
        <v>1.5</v>
      </c>
      <c r="P135" s="264" t="s">
        <v>373</v>
      </c>
      <c r="Q135" s="264" t="str">
        <f>IF($N$127&gt;200,"Y","N")</f>
        <v>N</v>
      </c>
      <c r="R135" s="264" t="str">
        <f t="shared" si="64"/>
        <v>N</v>
      </c>
      <c r="S135" s="264" t="str">
        <f t="shared" si="71"/>
        <v>N</v>
      </c>
      <c r="T135" s="264" t="str">
        <f t="shared" si="70"/>
        <v/>
      </c>
      <c r="U135" s="264" t="str">
        <f t="shared" si="65"/>
        <v/>
      </c>
      <c r="V135" s="264" t="str">
        <f t="shared" si="66"/>
        <v/>
      </c>
      <c r="W135" s="264" t="str">
        <f t="shared" si="67"/>
        <v/>
      </c>
      <c r="X135" s="264" t="str">
        <f t="shared" si="68"/>
        <v/>
      </c>
      <c r="Y135" s="264" t="str">
        <f t="shared" si="69"/>
        <v/>
      </c>
    </row>
    <row r="136" spans="3:25" ht="20.149999999999999" customHeight="1">
      <c r="C136" s="69" t="s">
        <v>426</v>
      </c>
      <c r="D136" s="69">
        <v>282</v>
      </c>
      <c r="I136" s="264" t="s">
        <v>293</v>
      </c>
      <c r="J136" s="264">
        <v>5</v>
      </c>
      <c r="K136" s="264">
        <v>3</v>
      </c>
      <c r="L136" s="264">
        <v>2</v>
      </c>
      <c r="M136" s="264">
        <v>1.5</v>
      </c>
      <c r="N136" s="264">
        <v>2</v>
      </c>
      <c r="O136" s="264">
        <v>1.5</v>
      </c>
      <c r="P136" s="264" t="s">
        <v>373</v>
      </c>
      <c r="Q136" s="264" t="str">
        <f>IF($N$127&gt;200,"Y","N")</f>
        <v>N</v>
      </c>
      <c r="R136" s="264" t="str">
        <f t="shared" si="64"/>
        <v>N</v>
      </c>
      <c r="S136" s="264" t="str">
        <f t="shared" si="71"/>
        <v>N</v>
      </c>
      <c r="T136" s="264" t="str">
        <f t="shared" si="70"/>
        <v/>
      </c>
      <c r="U136" s="264" t="str">
        <f t="shared" si="65"/>
        <v/>
      </c>
      <c r="V136" s="264" t="str">
        <f t="shared" si="66"/>
        <v/>
      </c>
      <c r="W136" s="264" t="str">
        <f t="shared" si="67"/>
        <v/>
      </c>
      <c r="X136" s="264" t="str">
        <f t="shared" si="68"/>
        <v/>
      </c>
      <c r="Y136" s="264" t="str">
        <f t="shared" si="69"/>
        <v/>
      </c>
    </row>
    <row r="137" spans="3:25" ht="20.149999999999999" customHeight="1">
      <c r="C137" s="69" t="s">
        <v>427</v>
      </c>
      <c r="D137" s="69">
        <v>285</v>
      </c>
      <c r="I137" s="264" t="s">
        <v>297</v>
      </c>
      <c r="J137" s="264">
        <v>5</v>
      </c>
      <c r="K137" s="264">
        <v>3</v>
      </c>
      <c r="L137" s="264">
        <v>2</v>
      </c>
      <c r="M137" s="264">
        <v>1.5</v>
      </c>
      <c r="N137" s="264">
        <v>2</v>
      </c>
      <c r="O137" s="264">
        <v>1.5</v>
      </c>
      <c r="P137" s="264" t="s">
        <v>373</v>
      </c>
      <c r="Q137" s="264" t="str">
        <f>IF($N$127&gt;200,"Y","N")</f>
        <v>N</v>
      </c>
      <c r="R137" s="264" t="str">
        <f t="shared" si="64"/>
        <v>N</v>
      </c>
      <c r="S137" s="264" t="str">
        <f t="shared" si="71"/>
        <v>N</v>
      </c>
      <c r="T137" s="264" t="str">
        <f t="shared" si="70"/>
        <v/>
      </c>
      <c r="U137" s="264" t="str">
        <f t="shared" si="65"/>
        <v/>
      </c>
      <c r="V137" s="264" t="str">
        <f t="shared" si="66"/>
        <v/>
      </c>
      <c r="W137" s="264" t="str">
        <f t="shared" si="67"/>
        <v/>
      </c>
      <c r="X137" s="264" t="str">
        <f t="shared" si="68"/>
        <v/>
      </c>
      <c r="Y137" s="264" t="str">
        <f t="shared" si="69"/>
        <v/>
      </c>
    </row>
    <row r="138" spans="3:25" ht="20.149999999999999" customHeight="1">
      <c r="C138" s="69" t="s">
        <v>428</v>
      </c>
      <c r="D138" s="69">
        <v>288</v>
      </c>
      <c r="I138" s="264" t="s">
        <v>289</v>
      </c>
      <c r="J138" s="264">
        <v>6</v>
      </c>
      <c r="K138" s="264">
        <v>3</v>
      </c>
      <c r="L138" s="264">
        <v>2</v>
      </c>
      <c r="M138" s="264">
        <v>6</v>
      </c>
      <c r="N138" s="264">
        <v>4.5</v>
      </c>
      <c r="O138" s="264">
        <v>3</v>
      </c>
      <c r="P138" s="264" t="s">
        <v>378</v>
      </c>
      <c r="Q138" s="264" t="str">
        <f>IF($N$127&gt;500,"Y","N")</f>
        <v>N</v>
      </c>
      <c r="R138" s="264" t="str">
        <f t="shared" si="64"/>
        <v>N</v>
      </c>
      <c r="S138" s="264" t="str">
        <f t="shared" si="71"/>
        <v>N</v>
      </c>
      <c r="T138" s="264" t="str">
        <f t="shared" si="70"/>
        <v/>
      </c>
      <c r="U138" s="264" t="str">
        <f t="shared" si="65"/>
        <v/>
      </c>
      <c r="V138" s="264" t="str">
        <f t="shared" si="66"/>
        <v/>
      </c>
      <c r="W138" s="264" t="str">
        <f t="shared" si="67"/>
        <v/>
      </c>
      <c r="X138" s="264" t="str">
        <f t="shared" si="68"/>
        <v/>
      </c>
      <c r="Y138" s="264" t="str">
        <f t="shared" si="69"/>
        <v/>
      </c>
    </row>
    <row r="139" spans="3:25" ht="20.149999999999999" customHeight="1">
      <c r="C139" s="69" t="s">
        <v>429</v>
      </c>
      <c r="D139" s="69">
        <v>291</v>
      </c>
      <c r="I139" s="264" t="s">
        <v>291</v>
      </c>
      <c r="J139" s="264">
        <v>6</v>
      </c>
      <c r="K139" s="264">
        <v>3</v>
      </c>
      <c r="L139" s="264">
        <v>2</v>
      </c>
      <c r="M139" s="264">
        <v>6</v>
      </c>
      <c r="N139" s="264">
        <v>4.5</v>
      </c>
      <c r="O139" s="264">
        <v>3</v>
      </c>
      <c r="P139" s="264" t="s">
        <v>378</v>
      </c>
      <c r="Q139" s="264" t="str">
        <f>IF($N$127&gt;500,"Y","N")</f>
        <v>N</v>
      </c>
      <c r="R139" s="264" t="str">
        <f t="shared" si="64"/>
        <v>N</v>
      </c>
      <c r="S139" s="264" t="str">
        <f t="shared" si="71"/>
        <v>N</v>
      </c>
      <c r="T139" s="264" t="str">
        <f t="shared" si="70"/>
        <v/>
      </c>
      <c r="U139" s="264" t="str">
        <f t="shared" si="65"/>
        <v/>
      </c>
      <c r="V139" s="264" t="str">
        <f t="shared" si="66"/>
        <v/>
      </c>
      <c r="W139" s="264" t="str">
        <f t="shared" si="67"/>
        <v/>
      </c>
      <c r="X139" s="264" t="str">
        <f t="shared" si="68"/>
        <v/>
      </c>
      <c r="Y139" s="264" t="str">
        <f t="shared" si="69"/>
        <v/>
      </c>
    </row>
    <row r="140" spans="3:25" ht="20.149999999999999" customHeight="1">
      <c r="C140" s="69" t="s">
        <v>430</v>
      </c>
      <c r="D140" s="69">
        <v>294</v>
      </c>
      <c r="I140" s="264" t="s">
        <v>293</v>
      </c>
      <c r="J140" s="264">
        <v>6</v>
      </c>
      <c r="K140" s="264">
        <v>3</v>
      </c>
      <c r="L140" s="264">
        <v>2</v>
      </c>
      <c r="M140" s="264">
        <v>6</v>
      </c>
      <c r="N140" s="264">
        <v>4.5</v>
      </c>
      <c r="O140" s="264">
        <v>3</v>
      </c>
      <c r="P140" s="264" t="s">
        <v>378</v>
      </c>
      <c r="Q140" s="264" t="str">
        <f>IF($N$127&gt;500,"Y","N")</f>
        <v>N</v>
      </c>
      <c r="R140" s="264" t="str">
        <f t="shared" si="64"/>
        <v>N</v>
      </c>
      <c r="S140" s="264" t="str">
        <f t="shared" si="71"/>
        <v>N</v>
      </c>
      <c r="T140" s="264" t="str">
        <f t="shared" si="70"/>
        <v/>
      </c>
      <c r="U140" s="264" t="str">
        <f t="shared" si="65"/>
        <v/>
      </c>
      <c r="V140" s="264" t="str">
        <f t="shared" si="66"/>
        <v/>
      </c>
      <c r="W140" s="264" t="str">
        <f t="shared" si="67"/>
        <v/>
      </c>
      <c r="X140" s="264" t="str">
        <f t="shared" si="68"/>
        <v/>
      </c>
      <c r="Y140" s="264" t="str">
        <f t="shared" si="69"/>
        <v/>
      </c>
    </row>
    <row r="141" spans="3:25" ht="20.149999999999999" customHeight="1">
      <c r="C141" s="69" t="s">
        <v>431</v>
      </c>
      <c r="D141" s="69">
        <v>297</v>
      </c>
      <c r="I141" s="264" t="s">
        <v>297</v>
      </c>
      <c r="J141" s="264">
        <v>6</v>
      </c>
      <c r="K141" s="264">
        <v>3</v>
      </c>
      <c r="L141" s="264">
        <v>2</v>
      </c>
      <c r="M141" s="264">
        <v>6</v>
      </c>
      <c r="N141" s="264">
        <v>4.5</v>
      </c>
      <c r="O141" s="264">
        <v>3</v>
      </c>
      <c r="P141" s="264" t="s">
        <v>378</v>
      </c>
      <c r="Q141" s="264" t="str">
        <f>IF($N$127&gt;500,"Y","N")</f>
        <v>N</v>
      </c>
      <c r="R141" s="264" t="str">
        <f t="shared" si="64"/>
        <v>N</v>
      </c>
      <c r="S141" s="264" t="str">
        <f t="shared" si="71"/>
        <v>N</v>
      </c>
      <c r="T141" s="264" t="str">
        <f t="shared" si="70"/>
        <v/>
      </c>
      <c r="U141" s="264" t="str">
        <f t="shared" si="65"/>
        <v/>
      </c>
      <c r="V141" s="264" t="str">
        <f t="shared" si="66"/>
        <v/>
      </c>
      <c r="W141" s="264" t="str">
        <f t="shared" si="67"/>
        <v/>
      </c>
      <c r="X141" s="264" t="str">
        <f t="shared" si="68"/>
        <v/>
      </c>
      <c r="Y141" s="264" t="str">
        <f t="shared" si="69"/>
        <v/>
      </c>
    </row>
    <row r="142" spans="3:25" ht="20.149999999999999" customHeight="1">
      <c r="C142" s="69" t="s">
        <v>432</v>
      </c>
      <c r="D142" s="69">
        <v>300</v>
      </c>
      <c r="I142" s="264" t="s">
        <v>295</v>
      </c>
      <c r="J142" s="264">
        <v>6</v>
      </c>
      <c r="K142" s="264">
        <v>4.5</v>
      </c>
      <c r="L142" s="264">
        <v>3</v>
      </c>
      <c r="M142" s="264">
        <v>1.5</v>
      </c>
      <c r="N142" s="264">
        <v>1.5</v>
      </c>
      <c r="O142" s="264">
        <v>1.5</v>
      </c>
      <c r="P142" s="264" t="s">
        <v>373</v>
      </c>
      <c r="Q142" s="264" t="str">
        <f>IF($N$127&gt;200,"Y","N")</f>
        <v>N</v>
      </c>
      <c r="R142" s="264" t="str">
        <f t="shared" si="64"/>
        <v>N</v>
      </c>
      <c r="S142" s="264" t="str">
        <f t="shared" si="71"/>
        <v>N</v>
      </c>
      <c r="T142" s="264" t="str">
        <f t="shared" si="70"/>
        <v/>
      </c>
      <c r="U142" s="264" t="str">
        <f t="shared" si="65"/>
        <v/>
      </c>
      <c r="V142" s="264" t="str">
        <f t="shared" si="66"/>
        <v/>
      </c>
      <c r="W142" s="264" t="str">
        <f t="shared" si="67"/>
        <v/>
      </c>
      <c r="X142" s="264" t="str">
        <f t="shared" si="68"/>
        <v/>
      </c>
      <c r="Y142" s="264" t="str">
        <f t="shared" si="69"/>
        <v/>
      </c>
    </row>
    <row r="143" spans="3:25" ht="20.149999999999999" customHeight="1">
      <c r="C143" s="69" t="s">
        <v>433</v>
      </c>
      <c r="D143" s="69">
        <v>303</v>
      </c>
      <c r="I143" s="264" t="s">
        <v>295</v>
      </c>
      <c r="J143" s="264">
        <v>6</v>
      </c>
      <c r="K143" s="264">
        <v>4.5</v>
      </c>
      <c r="L143" s="264">
        <v>2</v>
      </c>
      <c r="M143" s="264">
        <v>2</v>
      </c>
      <c r="N143" s="264">
        <v>4</v>
      </c>
      <c r="O143" s="264">
        <v>5</v>
      </c>
      <c r="P143" s="264" t="s">
        <v>378</v>
      </c>
      <c r="Q143" s="264" t="str">
        <f>IF($N$127&gt;500,"Y","N")</f>
        <v>N</v>
      </c>
      <c r="R143" s="264" t="str">
        <f t="shared" si="64"/>
        <v>N</v>
      </c>
      <c r="S143" s="264" t="str">
        <f t="shared" si="71"/>
        <v>N</v>
      </c>
      <c r="T143" s="264" t="str">
        <f t="shared" si="70"/>
        <v/>
      </c>
      <c r="U143" s="264" t="str">
        <f t="shared" si="65"/>
        <v/>
      </c>
      <c r="V143" s="264" t="str">
        <f t="shared" si="66"/>
        <v/>
      </c>
      <c r="W143" s="264" t="str">
        <f t="shared" si="67"/>
        <v/>
      </c>
      <c r="X143" s="264" t="str">
        <f t="shared" si="68"/>
        <v/>
      </c>
      <c r="Y143" s="264" t="str">
        <f t="shared" si="69"/>
        <v/>
      </c>
    </row>
    <row r="144" spans="3:25" ht="20.149999999999999" customHeight="1">
      <c r="I144" s="264" t="s">
        <v>295</v>
      </c>
      <c r="J144" s="264">
        <v>7.5</v>
      </c>
      <c r="K144" s="264">
        <v>5</v>
      </c>
      <c r="L144" s="264">
        <v>3</v>
      </c>
      <c r="M144" s="264">
        <v>1.5</v>
      </c>
      <c r="N144" s="264">
        <v>1.5</v>
      </c>
      <c r="O144" s="264">
        <v>1.5</v>
      </c>
      <c r="P144" s="264" t="s">
        <v>385</v>
      </c>
      <c r="Q144" s="264" t="str">
        <f>IF($N$127&gt;800,"Y","N")</f>
        <v>N</v>
      </c>
      <c r="R144" s="264" t="str">
        <f t="shared" si="64"/>
        <v>N</v>
      </c>
      <c r="S144" s="264" t="str">
        <f t="shared" si="71"/>
        <v>N</v>
      </c>
      <c r="T144" s="264" t="str">
        <f t="shared" si="70"/>
        <v/>
      </c>
      <c r="U144" s="264" t="str">
        <f t="shared" si="65"/>
        <v/>
      </c>
      <c r="V144" s="264" t="str">
        <f t="shared" si="66"/>
        <v/>
      </c>
      <c r="W144" s="264" t="str">
        <f t="shared" si="67"/>
        <v/>
      </c>
      <c r="X144" s="264" t="str">
        <f t="shared" si="68"/>
        <v/>
      </c>
      <c r="Y144" s="264" t="str">
        <f t="shared" si="69"/>
        <v/>
      </c>
    </row>
    <row r="145" spans="9:28" ht="20.149999999999999" customHeight="1">
      <c r="I145" s="264" t="s">
        <v>299</v>
      </c>
      <c r="J145" s="266">
        <v>3</v>
      </c>
      <c r="K145" s="264">
        <v>3</v>
      </c>
      <c r="L145" s="266">
        <v>1.5</v>
      </c>
      <c r="M145" s="264">
        <v>1.5</v>
      </c>
      <c r="N145" s="266">
        <v>1</v>
      </c>
      <c r="O145" s="264">
        <v>1</v>
      </c>
      <c r="P145" s="264" t="s">
        <v>373</v>
      </c>
      <c r="Q145" s="264" t="str">
        <f>IF($N$127&gt;200,"Y","N")</f>
        <v>N</v>
      </c>
      <c r="R145" s="264" t="str">
        <f t="shared" si="64"/>
        <v>N</v>
      </c>
      <c r="S145" s="264" t="str">
        <f t="shared" si="71"/>
        <v>N</v>
      </c>
      <c r="T145" s="264" t="str">
        <f t="shared" si="70"/>
        <v/>
      </c>
      <c r="U145" s="264" t="str">
        <f t="shared" si="65"/>
        <v/>
      </c>
      <c r="V145" s="264" t="str">
        <f t="shared" si="66"/>
        <v/>
      </c>
      <c r="W145" s="264" t="str">
        <f t="shared" si="67"/>
        <v/>
      </c>
      <c r="X145" s="264" t="str">
        <f t="shared" si="68"/>
        <v/>
      </c>
      <c r="Y145" s="264" t="str">
        <f t="shared" si="69"/>
        <v/>
      </c>
    </row>
    <row r="146" spans="9:28" ht="20.149999999999999" customHeight="1">
      <c r="I146" s="264" t="s">
        <v>301</v>
      </c>
      <c r="J146" s="266">
        <v>3</v>
      </c>
      <c r="K146" s="264">
        <v>3</v>
      </c>
      <c r="L146" s="266">
        <v>2</v>
      </c>
      <c r="M146" s="264">
        <v>2</v>
      </c>
      <c r="N146" s="266">
        <v>2</v>
      </c>
      <c r="O146" s="264">
        <v>2</v>
      </c>
      <c r="P146" s="264" t="s">
        <v>388</v>
      </c>
      <c r="Q146" s="264" t="str">
        <f>IF($N$127&lt;200,"Y","N")</f>
        <v>Y</v>
      </c>
      <c r="R146" s="264" t="str">
        <f t="shared" si="64"/>
        <v>N</v>
      </c>
      <c r="S146" s="264" t="str">
        <f t="shared" si="71"/>
        <v>N</v>
      </c>
      <c r="T146" s="264" t="str">
        <f t="shared" si="70"/>
        <v/>
      </c>
      <c r="U146" s="264" t="str">
        <f t="shared" si="65"/>
        <v/>
      </c>
      <c r="V146" s="264" t="str">
        <f t="shared" si="66"/>
        <v/>
      </c>
      <c r="W146" s="264" t="str">
        <f t="shared" si="67"/>
        <v/>
      </c>
      <c r="X146" s="264" t="str">
        <f t="shared" si="68"/>
        <v/>
      </c>
      <c r="Y146" s="264" t="str">
        <f t="shared" si="69"/>
        <v/>
      </c>
    </row>
    <row r="147" spans="9:28" ht="20.149999999999999" customHeight="1">
      <c r="I147" s="264" t="s">
        <v>301</v>
      </c>
      <c r="J147" s="266">
        <v>3</v>
      </c>
      <c r="K147" s="264">
        <v>3</v>
      </c>
      <c r="L147" s="266">
        <v>3</v>
      </c>
      <c r="M147" s="264">
        <v>3</v>
      </c>
      <c r="N147" s="266">
        <v>3</v>
      </c>
      <c r="O147" s="264">
        <v>3</v>
      </c>
      <c r="P147" s="264" t="s">
        <v>373</v>
      </c>
      <c r="Q147" s="264" t="str">
        <f>IF($N$127&gt;200,"Y","N")</f>
        <v>N</v>
      </c>
      <c r="R147" s="264" t="str">
        <f t="shared" si="64"/>
        <v>N</v>
      </c>
      <c r="S147" s="264" t="str">
        <f t="shared" si="71"/>
        <v>N</v>
      </c>
      <c r="T147" s="264" t="str">
        <f t="shared" si="70"/>
        <v/>
      </c>
      <c r="U147" s="264" t="str">
        <f t="shared" si="65"/>
        <v/>
      </c>
      <c r="V147" s="264" t="str">
        <f t="shared" si="66"/>
        <v/>
      </c>
      <c r="W147" s="264" t="str">
        <f t="shared" si="67"/>
        <v/>
      </c>
      <c r="X147" s="264" t="str">
        <f t="shared" si="68"/>
        <v/>
      </c>
      <c r="Y147" s="264" t="str">
        <f t="shared" si="69"/>
        <v/>
      </c>
    </row>
    <row r="148" spans="9:28" ht="20.149999999999999" customHeight="1">
      <c r="I148" s="264" t="s">
        <v>303</v>
      </c>
      <c r="J148" s="266">
        <v>5</v>
      </c>
      <c r="K148" s="264">
        <v>5</v>
      </c>
      <c r="L148" s="266">
        <v>5</v>
      </c>
      <c r="M148" s="264">
        <v>5</v>
      </c>
      <c r="N148" s="266">
        <v>3</v>
      </c>
      <c r="O148" s="264">
        <v>3</v>
      </c>
      <c r="P148" s="264"/>
      <c r="Q148" s="264"/>
      <c r="R148" s="264" t="str">
        <f t="shared" si="64"/>
        <v>N</v>
      </c>
      <c r="S148" s="264" t="str">
        <f>R148</f>
        <v>N</v>
      </c>
      <c r="T148" s="264" t="str">
        <f t="shared" si="70"/>
        <v/>
      </c>
      <c r="U148" s="264" t="str">
        <f t="shared" si="65"/>
        <v/>
      </c>
      <c r="V148" s="264" t="str">
        <f t="shared" si="66"/>
        <v/>
      </c>
      <c r="W148" s="264" t="str">
        <f t="shared" si="67"/>
        <v/>
      </c>
      <c r="X148" s="264" t="str">
        <f t="shared" si="68"/>
        <v/>
      </c>
      <c r="Y148" s="264" t="str">
        <f t="shared" si="69"/>
        <v/>
      </c>
    </row>
    <row r="149" spans="9:28" ht="20.149999999999999" customHeight="1">
      <c r="I149" s="264" t="s">
        <v>305</v>
      </c>
      <c r="J149" s="266">
        <v>6</v>
      </c>
      <c r="K149" s="264">
        <v>6</v>
      </c>
      <c r="L149" s="266">
        <v>3</v>
      </c>
      <c r="M149" s="264">
        <v>3</v>
      </c>
      <c r="N149" s="266">
        <v>2</v>
      </c>
      <c r="O149" s="264">
        <v>2</v>
      </c>
      <c r="P149" s="264"/>
      <c r="Q149" s="264"/>
      <c r="R149" s="264" t="str">
        <f t="shared" si="64"/>
        <v>N</v>
      </c>
      <c r="S149" s="264" t="str">
        <f>R149</f>
        <v>N</v>
      </c>
      <c r="T149" s="264" t="str">
        <f t="shared" si="70"/>
        <v/>
      </c>
      <c r="U149" s="264" t="str">
        <f t="shared" si="65"/>
        <v/>
      </c>
      <c r="V149" s="264" t="str">
        <f t="shared" si="66"/>
        <v/>
      </c>
      <c r="W149" s="264" t="str">
        <f t="shared" si="67"/>
        <v/>
      </c>
      <c r="X149" s="264" t="str">
        <f t="shared" si="68"/>
        <v/>
      </c>
      <c r="Y149" s="264" t="str">
        <f t="shared" si="69"/>
        <v/>
      </c>
    </row>
    <row r="150" spans="9:28" ht="20.149999999999999" customHeight="1">
      <c r="I150" s="264" t="s">
        <v>307</v>
      </c>
      <c r="J150" s="266">
        <v>7.5</v>
      </c>
      <c r="K150" s="264">
        <v>7.5</v>
      </c>
      <c r="L150" s="266">
        <v>7.5</v>
      </c>
      <c r="M150" s="264">
        <v>7.5</v>
      </c>
      <c r="N150" s="266">
        <v>7.5</v>
      </c>
      <c r="O150" s="264">
        <v>7.5</v>
      </c>
      <c r="P150" s="264" t="s">
        <v>393</v>
      </c>
      <c r="Q150" s="264" t="str">
        <f>IF($N$127&gt;300,"Y","N")</f>
        <v>N</v>
      </c>
      <c r="R150" s="264" t="str">
        <f t="shared" si="64"/>
        <v>N</v>
      </c>
      <c r="S150" s="264" t="str">
        <f t="shared" ref="S150" si="72">IF(Q150="Y",IF(R150="Y","Y","N"),"N")</f>
        <v>N</v>
      </c>
      <c r="T150" s="264" t="str">
        <f t="shared" si="70"/>
        <v/>
      </c>
      <c r="U150" s="264" t="str">
        <f t="shared" si="65"/>
        <v/>
      </c>
      <c r="V150" s="264" t="str">
        <f t="shared" si="66"/>
        <v/>
      </c>
      <c r="W150" s="264" t="str">
        <f t="shared" si="67"/>
        <v/>
      </c>
      <c r="X150" s="264" t="str">
        <f t="shared" si="68"/>
        <v/>
      </c>
      <c r="Y150" s="264" t="str">
        <f t="shared" si="69"/>
        <v/>
      </c>
    </row>
    <row r="151" spans="9:28" ht="20.149999999999999" customHeight="1">
      <c r="I151" s="264" t="s">
        <v>309</v>
      </c>
      <c r="J151" s="266">
        <v>10.5</v>
      </c>
      <c r="K151" s="264">
        <v>10.5</v>
      </c>
      <c r="L151" s="266">
        <v>5</v>
      </c>
      <c r="M151" s="264">
        <v>5</v>
      </c>
      <c r="N151" s="266">
        <v>5</v>
      </c>
      <c r="O151" s="264">
        <v>5</v>
      </c>
      <c r="P151" s="264"/>
      <c r="Q151" s="264"/>
      <c r="R151" s="264" t="str">
        <f t="shared" si="64"/>
        <v>N</v>
      </c>
      <c r="S151" s="264" t="str">
        <f>R151</f>
        <v>N</v>
      </c>
      <c r="T151" s="267" t="str">
        <f t="shared" si="70"/>
        <v/>
      </c>
      <c r="U151" s="267" t="str">
        <f t="shared" si="65"/>
        <v/>
      </c>
      <c r="V151" s="267" t="str">
        <f t="shared" si="66"/>
        <v/>
      </c>
      <c r="W151" s="267" t="str">
        <f t="shared" si="67"/>
        <v/>
      </c>
      <c r="X151" s="267" t="str">
        <f t="shared" si="68"/>
        <v/>
      </c>
      <c r="Y151" s="267" t="str">
        <f t="shared" si="69"/>
        <v/>
      </c>
    </row>
    <row r="152" spans="9:28" ht="20.149999999999999" customHeight="1">
      <c r="I152" s="264"/>
      <c r="J152" s="264"/>
      <c r="K152" s="264"/>
      <c r="L152" s="264"/>
      <c r="M152" s="264"/>
      <c r="N152" s="264"/>
      <c r="O152" s="264"/>
      <c r="P152" s="264"/>
      <c r="Q152" s="264"/>
      <c r="R152" s="264"/>
      <c r="S152" s="269"/>
      <c r="T152" s="270">
        <f>SUM(T129:T151)</f>
        <v>1.8</v>
      </c>
      <c r="U152" s="271">
        <f t="shared" ref="U152" si="73">SUM(U129:U151)</f>
        <v>1.2</v>
      </c>
      <c r="V152" s="271">
        <f t="shared" ref="V152" si="74">SUM(V129:V151)</f>
        <v>1</v>
      </c>
      <c r="W152" s="271">
        <f t="shared" ref="W152" si="75">SUM(W129:W151)</f>
        <v>0.5</v>
      </c>
      <c r="X152" s="271">
        <f t="shared" ref="X152" si="76">SUM(X129:X151)</f>
        <v>0.6</v>
      </c>
      <c r="Y152" s="271">
        <f t="shared" ref="Y152" si="77">SUM(Y129:Y151)</f>
        <v>0.6</v>
      </c>
      <c r="Z152" s="288">
        <f>X152</f>
        <v>0.6</v>
      </c>
      <c r="AA152" s="289">
        <f>Y152</f>
        <v>0.6</v>
      </c>
      <c r="AB152" s="290"/>
    </row>
    <row r="153" spans="9:28" ht="20.149999999999999" customHeight="1">
      <c r="I153" s="264"/>
      <c r="J153" s="264"/>
      <c r="K153" s="264"/>
      <c r="L153" s="264"/>
      <c r="M153" s="264"/>
      <c r="N153" s="264"/>
      <c r="O153" s="264"/>
      <c r="P153" s="267"/>
      <c r="Q153" s="267"/>
      <c r="R153" s="267"/>
      <c r="S153" s="272"/>
      <c r="T153" s="273" t="s">
        <v>397</v>
      </c>
      <c r="U153" s="264" t="s">
        <v>398</v>
      </c>
      <c r="V153" s="264" t="s">
        <v>399</v>
      </c>
      <c r="W153" s="264" t="s">
        <v>400</v>
      </c>
      <c r="X153" s="264" t="s">
        <v>401</v>
      </c>
      <c r="Y153" s="264" t="s">
        <v>402</v>
      </c>
      <c r="Z153" s="275" t="s">
        <v>403</v>
      </c>
      <c r="AA153" s="291" t="s">
        <v>404</v>
      </c>
      <c r="AB153" s="290"/>
    </row>
    <row r="154" spans="9:28" ht="20.149999999999999" customHeight="1">
      <c r="P154" s="268"/>
      <c r="Q154" s="268"/>
      <c r="R154" s="245" t="s">
        <v>128</v>
      </c>
      <c r="S154" s="245" t="s">
        <v>129</v>
      </c>
      <c r="T154" s="274">
        <f>(S155+S156)*0.5</f>
        <v>0</v>
      </c>
      <c r="U154" s="275">
        <f>S156</f>
        <v>0</v>
      </c>
      <c r="V154" s="275">
        <f>(S157+S158)*0.5</f>
        <v>0</v>
      </c>
      <c r="W154" s="275">
        <f>S158</f>
        <v>0</v>
      </c>
      <c r="X154" s="275">
        <f>(S159+S160)*0.5</f>
        <v>0</v>
      </c>
      <c r="Y154" s="275">
        <f>S160</f>
        <v>0</v>
      </c>
      <c r="Z154" s="275">
        <f>(S161+S162)*0.5</f>
        <v>0</v>
      </c>
      <c r="AA154" s="291">
        <f>S162</f>
        <v>0</v>
      </c>
      <c r="AB154" s="474" t="s">
        <v>434</v>
      </c>
    </row>
    <row r="155" spans="9:28" ht="20.149999999999999" customHeight="1">
      <c r="P155" s="249"/>
      <c r="Q155" s="276" t="s">
        <v>149</v>
      </c>
      <c r="S155" s="277">
        <f>MaGic_Avm_Building!D20</f>
        <v>0</v>
      </c>
      <c r="T155" s="278" t="str">
        <f>IF(T154&lt;T152,"1","0")</f>
        <v>1</v>
      </c>
      <c r="U155" s="279" t="str">
        <f t="shared" ref="U155" si="78">IF(U154&lt;U152,"1","0")</f>
        <v>1</v>
      </c>
      <c r="V155" s="279" t="str">
        <f t="shared" ref="V155" si="79">IF(V154&lt;V152,"1","0")</f>
        <v>1</v>
      </c>
      <c r="W155" s="279" t="str">
        <f t="shared" ref="W155" si="80">IF(W154&lt;W152,"1","0")</f>
        <v>1</v>
      </c>
      <c r="X155" s="279" t="str">
        <f t="shared" ref="X155" si="81">IF(X154&lt;X152,"1","0")</f>
        <v>1</v>
      </c>
      <c r="Y155" s="279" t="str">
        <f t="shared" ref="Y155" si="82">IF(Y154&lt;Y152,"1","0")</f>
        <v>1</v>
      </c>
      <c r="Z155" s="279" t="str">
        <f t="shared" ref="Z155" si="83">IF(Z154&lt;Z152,"1","0")</f>
        <v>1</v>
      </c>
      <c r="AA155" s="292" t="str">
        <f t="shared" ref="AA155" si="84">IF(AA154&lt;AA152,"1","0")</f>
        <v>1</v>
      </c>
      <c r="AB155" s="474"/>
    </row>
    <row r="156" spans="9:28" ht="20.149999999999999" customHeight="1">
      <c r="P156" s="249"/>
      <c r="Q156" s="276" t="s">
        <v>150</v>
      </c>
      <c r="S156" s="277">
        <f>MaGic_Avm_Building!D21</f>
        <v>0</v>
      </c>
      <c r="T156" s="478" t="str">
        <f>CONCATENATE("The ",T153," yard required is ",T152," m, whereas at the site it is only ",T154," m.")</f>
        <v>The Average Front yard required is 1.8 m, whereas at the site it is only 0 m.</v>
      </c>
      <c r="U156" s="470" t="str">
        <f t="shared" ref="U156:AA156" si="85">CONCATENATE("The ",U153," yard required is ",U152," m, whereas at the site it is only ",U154," m.")</f>
        <v>The Minimum Front yard required is 1.2 m, whereas at the site it is only 0 m.</v>
      </c>
      <c r="V156" s="470" t="str">
        <f t="shared" si="85"/>
        <v>The Average Rear yard required is 1 m, whereas at the site it is only 0 m.</v>
      </c>
      <c r="W156" s="470" t="str">
        <f t="shared" si="85"/>
        <v>The Minimum Rear yard required is 0.5 m, whereas at the site it is only 0 m.</v>
      </c>
      <c r="X156" s="470" t="str">
        <f t="shared" si="85"/>
        <v>The Average Side-1 yard required is 0.6 m, whereas at the site it is only 0 m.</v>
      </c>
      <c r="Y156" s="470" t="str">
        <f t="shared" si="85"/>
        <v>The Minimum Side-1 yard required is 0.6 m, whereas at the site it is only 0 m.</v>
      </c>
      <c r="Z156" s="470" t="str">
        <f t="shared" si="85"/>
        <v>The Average Side-2 yard required is 0.6 m, whereas at the site it is only 0 m.</v>
      </c>
      <c r="AA156" s="468" t="str">
        <f t="shared" si="85"/>
        <v>The Minimum Side-2 yard required is 0.6 m, whereas at the site it is only 0 m.</v>
      </c>
    </row>
    <row r="157" spans="9:28" ht="20.149999999999999" customHeight="1">
      <c r="P157" s="249"/>
      <c r="Q157" s="276" t="s">
        <v>151</v>
      </c>
      <c r="S157" s="277">
        <f>MaGic_Avm_Building!D22</f>
        <v>0</v>
      </c>
      <c r="T157" s="479"/>
      <c r="U157" s="471"/>
      <c r="V157" s="471"/>
      <c r="W157" s="471"/>
      <c r="X157" s="471"/>
      <c r="Y157" s="471"/>
      <c r="Z157" s="471"/>
      <c r="AA157" s="469"/>
    </row>
    <row r="158" spans="9:28" ht="20.149999999999999" customHeight="1">
      <c r="P158" s="249"/>
      <c r="Q158" s="276" t="s">
        <v>150</v>
      </c>
      <c r="S158" s="277">
        <f>MaGic_Avm_Building!D23</f>
        <v>0</v>
      </c>
      <c r="T158" s="479"/>
      <c r="U158" s="471"/>
      <c r="V158" s="471"/>
      <c r="W158" s="471"/>
      <c r="X158" s="471"/>
      <c r="Y158" s="471"/>
      <c r="Z158" s="471"/>
      <c r="AA158" s="469"/>
    </row>
    <row r="159" spans="9:28" ht="20.149999999999999" customHeight="1">
      <c r="P159" s="249"/>
      <c r="Q159" s="276" t="s">
        <v>152</v>
      </c>
      <c r="S159" s="277">
        <f>MaGic_Avm_Building!D24</f>
        <v>0</v>
      </c>
      <c r="T159" s="479"/>
      <c r="U159" s="471"/>
      <c r="V159" s="471"/>
      <c r="W159" s="471"/>
      <c r="X159" s="471"/>
      <c r="Y159" s="471"/>
      <c r="Z159" s="471"/>
      <c r="AA159" s="469"/>
    </row>
    <row r="160" spans="9:28" ht="20.149999999999999" customHeight="1">
      <c r="P160" s="249"/>
      <c r="Q160" s="276" t="s">
        <v>150</v>
      </c>
      <c r="S160" s="277">
        <f>MaGic_Avm_Building!D25</f>
        <v>0</v>
      </c>
      <c r="T160" s="479"/>
      <c r="U160" s="471"/>
      <c r="V160" s="471"/>
      <c r="W160" s="471"/>
      <c r="X160" s="471"/>
      <c r="Y160" s="471"/>
      <c r="Z160" s="471"/>
      <c r="AA160" s="469"/>
    </row>
    <row r="161" spans="9:28" ht="20.149999999999999" customHeight="1">
      <c r="P161" s="249"/>
      <c r="Q161" s="276" t="s">
        <v>153</v>
      </c>
      <c r="S161" s="277">
        <f>MaGic_Avm_Building!D26</f>
        <v>0</v>
      </c>
      <c r="T161" s="281" t="str">
        <f>IF(T155="1",T156,"")</f>
        <v>The Average Front yard required is 1.8 m, whereas at the site it is only 0 m.</v>
      </c>
      <c r="U161" s="281" t="str">
        <f t="shared" ref="U161:AA161" si="86">IF(U155="1",U156,"")</f>
        <v>The Minimum Front yard required is 1.2 m, whereas at the site it is only 0 m.</v>
      </c>
      <c r="V161" s="281" t="str">
        <f t="shared" si="86"/>
        <v>The Average Rear yard required is 1 m, whereas at the site it is only 0 m.</v>
      </c>
      <c r="W161" s="281" t="str">
        <f t="shared" si="86"/>
        <v>The Minimum Rear yard required is 0.5 m, whereas at the site it is only 0 m.</v>
      </c>
      <c r="X161" s="281" t="str">
        <f t="shared" si="86"/>
        <v>The Average Side-1 yard required is 0.6 m, whereas at the site it is only 0 m.</v>
      </c>
      <c r="Y161" s="281" t="str">
        <f t="shared" si="86"/>
        <v>The Minimum Side-1 yard required is 0.6 m, whereas at the site it is only 0 m.</v>
      </c>
      <c r="Z161" s="281" t="str">
        <f t="shared" si="86"/>
        <v>The Average Side-2 yard required is 0.6 m, whereas at the site it is only 0 m.</v>
      </c>
      <c r="AA161" s="281" t="str">
        <f t="shared" si="86"/>
        <v>The Minimum Side-2 yard required is 0.6 m, whereas at the site it is only 0 m.</v>
      </c>
      <c r="AB161" s="19" t="str">
        <f>_xlfn.TEXTJOIN(",",TRUE,T161:AA161)</f>
        <v>The Average Front yard required is 1.8 m, whereas at the site it is only 0 m.,The Minimum Front yard required is 1.2 m, whereas at the site it is only 0 m.,The Average Rear yard required is 1 m, whereas at the site it is only 0 m.,The Minimum Rear yard required is 0.5 m, whereas at the site it is only 0 m.,The Average Side-1 yard required is 0.6 m, whereas at the site it is only 0 m.,The Minimum Side-1 yard required is 0.6 m, whereas at the site it is only 0 m.,The Average Side-2 yard required is 0.6 m, whereas at the site it is only 0 m.,The Minimum Side-2 yard required is 0.6 m, whereas at the site it is only 0 m.</v>
      </c>
    </row>
    <row r="162" spans="9:28" ht="14.5">
      <c r="P162" s="250"/>
      <c r="Q162" s="282" t="s">
        <v>150</v>
      </c>
      <c r="R162" s="251"/>
      <c r="S162" s="277">
        <f>MaGic_Avm_Building!D27</f>
        <v>0</v>
      </c>
      <c r="T162" s="284" t="s">
        <v>415</v>
      </c>
      <c r="U162" s="285">
        <f>T155+U155+V155+W155+X155+Y155+Z155+AA155</f>
        <v>8</v>
      </c>
      <c r="V162" s="472" t="str">
        <f>IF(U162&gt;0,CONCATENATE(AB154,AB161),"")</f>
        <v>The setbacks of Building-2 are in violation of the Kerala Panchayat Building Rules, 2019 (as amended on 24/09/2020). The Average Front yard required is 1.8 m, whereas at the site it is only 0 m.,The Minimum Front yard required is 1.2 m, whereas at the site it is only 0 m.,The Average Rear yard required is 1 m, whereas at the site it is only 0 m.,The Minimum Rear yard required is 0.5 m, whereas at the site it is only 0 m.,The Average Side-1 yard required is 0.6 m, whereas at the site it is only 0 m.,The Minimum Side-1 yard required is 0.6 m, whereas at the site it is only 0 m.,The Average Side-2 yard required is 0.6 m, whereas at the site it is only 0 m.,The Minimum Side-2 yard required is 0.6 m, whereas at the site it is only 0 m.</v>
      </c>
      <c r="W162" s="472"/>
      <c r="X162" s="472"/>
      <c r="Y162" s="472"/>
      <c r="Z162" s="472"/>
      <c r="AA162" s="473"/>
    </row>
    <row r="163" spans="9:28" ht="20.149999999999999" customHeight="1">
      <c r="R163" s="69" t="s">
        <v>435</v>
      </c>
      <c r="S163" s="69">
        <f>SUM(S155:S162)</f>
        <v>0</v>
      </c>
      <c r="T163" s="286" t="str">
        <f>T126</f>
        <v>Grama Panchayat</v>
      </c>
      <c r="U163" s="19" t="str">
        <f>IF(T163="Grama Panchayat",V162,"")</f>
        <v>The setbacks of Building-2 are in violation of the Kerala Panchayat Building Rules, 2019 (as amended on 24/09/2020). The Average Front yard required is 1.8 m, whereas at the site it is only 0 m.,The Minimum Front yard required is 1.2 m, whereas at the site it is only 0 m.,The Average Rear yard required is 1 m, whereas at the site it is only 0 m.,The Minimum Rear yard required is 0.5 m, whereas at the site it is only 0 m.,The Average Side-1 yard required is 0.6 m, whereas at the site it is only 0 m.,The Minimum Side-1 yard required is 0.6 m, whereas at the site it is only 0 m.,The Average Side-2 yard required is 0.6 m, whereas at the site it is only 0 m.,The Minimum Side-2 yard required is 0.6 m, whereas at the site it is only 0 m.</v>
      </c>
      <c r="V163" s="476" t="str">
        <f>IF(S163=0,"",U163)</f>
        <v/>
      </c>
      <c r="W163" s="476"/>
      <c r="X163" s="476"/>
      <c r="Y163" s="476"/>
      <c r="Z163" s="476"/>
      <c r="AA163" s="476"/>
    </row>
    <row r="164" spans="9:28" ht="20.149999999999999" customHeight="1">
      <c r="T164" s="69" t="s">
        <v>113</v>
      </c>
    </row>
    <row r="165" spans="9:28" ht="20.149999999999999" customHeight="1">
      <c r="I165" s="263" t="s">
        <v>128</v>
      </c>
      <c r="J165" s="263" t="s">
        <v>196</v>
      </c>
      <c r="K165" s="263"/>
      <c r="L165" s="293" t="str">
        <f>MaGic_Avm_Building!C6</f>
        <v>Lodging houses &amp; 
Special Residential A2</v>
      </c>
      <c r="M165" s="263" t="s">
        <v>357</v>
      </c>
      <c r="N165" s="293">
        <f>MaGic_Avm_Building!C14</f>
        <v>0</v>
      </c>
      <c r="O165" s="263" t="s">
        <v>173</v>
      </c>
      <c r="P165" s="293">
        <f>P127</f>
        <v>415</v>
      </c>
      <c r="Q165" s="264"/>
      <c r="R165" s="264"/>
      <c r="S165" s="264"/>
      <c r="T165" s="264"/>
      <c r="U165" s="264"/>
      <c r="V165" s="264"/>
      <c r="W165" s="264"/>
      <c r="X165" s="264"/>
      <c r="Y165" s="264"/>
    </row>
    <row r="166" spans="9:28" ht="20.149999999999999" customHeight="1">
      <c r="I166" s="264"/>
      <c r="J166" s="264" t="s">
        <v>359</v>
      </c>
      <c r="K166" s="264" t="s">
        <v>360</v>
      </c>
      <c r="L166" s="264" t="s">
        <v>361</v>
      </c>
      <c r="M166" s="264" t="s">
        <v>362</v>
      </c>
      <c r="N166" s="264" t="s">
        <v>363</v>
      </c>
      <c r="O166" s="264" t="s">
        <v>364</v>
      </c>
      <c r="P166" s="264"/>
      <c r="Q166" s="264"/>
      <c r="R166" s="264"/>
      <c r="S166" s="264"/>
      <c r="T166" s="264" t="s">
        <v>359</v>
      </c>
      <c r="U166" s="264" t="s">
        <v>360</v>
      </c>
      <c r="V166" s="264" t="s">
        <v>361</v>
      </c>
      <c r="W166" s="264" t="s">
        <v>362</v>
      </c>
      <c r="X166" s="264" t="s">
        <v>363</v>
      </c>
      <c r="Y166" s="264" t="s">
        <v>364</v>
      </c>
    </row>
    <row r="167" spans="9:28" ht="20.149999999999999" customHeight="1">
      <c r="I167" s="265" t="s">
        <v>135</v>
      </c>
      <c r="J167" s="264">
        <v>3</v>
      </c>
      <c r="K167" s="264">
        <v>1.8</v>
      </c>
      <c r="L167" s="264">
        <v>1.5</v>
      </c>
      <c r="M167" s="264">
        <v>1</v>
      </c>
      <c r="N167" s="266">
        <v>1</v>
      </c>
      <c r="O167" s="264">
        <v>1</v>
      </c>
      <c r="P167" s="264"/>
      <c r="Q167" s="264" t="str">
        <f>IF($N$165&gt;200,"Y","N")</f>
        <v>N</v>
      </c>
      <c r="R167" s="264" t="str">
        <f t="shared" ref="R167:R187" si="87">IF($L$165=I167,"Y","N")</f>
        <v>N</v>
      </c>
      <c r="S167" s="264" t="str">
        <f>IF(Q167="Y",IF(R167="Y","Y","N"),"N")</f>
        <v>N</v>
      </c>
      <c r="T167" s="264" t="str">
        <f>IF($S167="Y",J167,"")</f>
        <v/>
      </c>
      <c r="U167" s="264" t="str">
        <f t="shared" ref="U167:U171" si="88">IF($S167="Y",K167,"")</f>
        <v/>
      </c>
      <c r="V167" s="264" t="str">
        <f t="shared" ref="V167:V171" si="89">IF($S167="Y",L167,"")</f>
        <v/>
      </c>
      <c r="W167" s="264" t="str">
        <f t="shared" ref="W167:W171" si="90">IF($S167="Y",M167,"")</f>
        <v/>
      </c>
      <c r="X167" s="264" t="str">
        <f t="shared" ref="X167:X171" si="91">IF($S167="Y",N167,"")</f>
        <v/>
      </c>
      <c r="Y167" s="264" t="str">
        <f t="shared" ref="Y167:Y171" si="92">IF($S167="Y",O167,"")</f>
        <v/>
      </c>
    </row>
    <row r="168" spans="9:28" ht="20.149999999999999" customHeight="1">
      <c r="I168" s="264" t="s">
        <v>134</v>
      </c>
      <c r="J168" s="264">
        <v>3</v>
      </c>
      <c r="K168" s="264">
        <v>1.8</v>
      </c>
      <c r="L168" s="264">
        <v>1.5</v>
      </c>
      <c r="M168" s="264">
        <v>1</v>
      </c>
      <c r="N168" s="266">
        <v>1</v>
      </c>
      <c r="O168" s="264">
        <v>1</v>
      </c>
      <c r="P168" s="264"/>
      <c r="Q168" s="265"/>
      <c r="R168" s="264" t="str">
        <f t="shared" si="87"/>
        <v>Y</v>
      </c>
      <c r="S168" s="264" t="str">
        <f>R168</f>
        <v>Y</v>
      </c>
      <c r="T168" s="264">
        <f t="shared" ref="T168:T171" si="93">IF($S168="Y",J168,"")</f>
        <v>3</v>
      </c>
      <c r="U168" s="264">
        <f t="shared" si="88"/>
        <v>1.8</v>
      </c>
      <c r="V168" s="264">
        <f t="shared" si="89"/>
        <v>1.5</v>
      </c>
      <c r="W168" s="264">
        <f t="shared" si="90"/>
        <v>1</v>
      </c>
      <c r="X168" s="264">
        <f t="shared" si="91"/>
        <v>1</v>
      </c>
      <c r="Y168" s="264">
        <f t="shared" si="92"/>
        <v>1</v>
      </c>
    </row>
    <row r="169" spans="9:28" ht="20.149999999999999" customHeight="1">
      <c r="I169" s="264" t="s">
        <v>299</v>
      </c>
      <c r="J169" s="264">
        <v>3</v>
      </c>
      <c r="K169" s="264">
        <v>1.8</v>
      </c>
      <c r="L169" s="264">
        <v>1.5</v>
      </c>
      <c r="M169" s="264">
        <v>1</v>
      </c>
      <c r="N169" s="266">
        <v>1</v>
      </c>
      <c r="O169" s="264">
        <v>1</v>
      </c>
      <c r="P169" s="264" t="s">
        <v>368</v>
      </c>
      <c r="Q169" s="264" t="str">
        <f>IF($N$165&lt;=200,"Y","N")</f>
        <v>Y</v>
      </c>
      <c r="R169" s="264" t="str">
        <f t="shared" si="87"/>
        <v>N</v>
      </c>
      <c r="S169" s="264" t="str">
        <f>IF(Q169="Y",IF(R169="Y","Y","N"),"N")</f>
        <v>N</v>
      </c>
      <c r="T169" s="264" t="str">
        <f t="shared" si="93"/>
        <v/>
      </c>
      <c r="U169" s="264" t="str">
        <f t="shared" si="88"/>
        <v/>
      </c>
      <c r="V169" s="264" t="str">
        <f t="shared" si="89"/>
        <v/>
      </c>
      <c r="W169" s="264" t="str">
        <f t="shared" si="90"/>
        <v/>
      </c>
      <c r="X169" s="264" t="str">
        <f t="shared" si="91"/>
        <v/>
      </c>
      <c r="Y169" s="264" t="str">
        <f t="shared" si="92"/>
        <v/>
      </c>
    </row>
    <row r="170" spans="9:28" ht="64.5" customHeight="1">
      <c r="I170" s="265" t="s">
        <v>135</v>
      </c>
      <c r="J170" s="264">
        <v>1.8</v>
      </c>
      <c r="K170" s="264">
        <v>1.2</v>
      </c>
      <c r="L170" s="264">
        <v>1</v>
      </c>
      <c r="M170" s="264">
        <v>0.5</v>
      </c>
      <c r="N170" s="266">
        <v>0.6</v>
      </c>
      <c r="O170" s="264">
        <v>0.6</v>
      </c>
      <c r="P170" s="264" t="s">
        <v>370</v>
      </c>
      <c r="Q170" s="264" t="str">
        <f>IF($N$165&lt;=200,"Y","N")</f>
        <v>Y</v>
      </c>
      <c r="R170" s="264" t="str">
        <f t="shared" si="87"/>
        <v>N</v>
      </c>
      <c r="S170" s="264" t="str">
        <f t="shared" ref="S170:S183" si="94">IF(Q170="Y",IF(R170="Y","Y","N"),"N")</f>
        <v>N</v>
      </c>
      <c r="T170" s="264" t="str">
        <f>IF($S170="Y",IF(P165&lt;=125,J170,J167),"")</f>
        <v/>
      </c>
      <c r="U170" s="264" t="str">
        <f>IF($S170="Y",IF(P165&lt;=125,K170,K167),"")</f>
        <v/>
      </c>
      <c r="V170" s="264" t="str">
        <f>IF($S170="Y",IF(P165&lt;=125,L170,L167),"")</f>
        <v/>
      </c>
      <c r="W170" s="264" t="str">
        <f>IF($S170="Y",IF(P165&lt;=125,M170,M167),"")</f>
        <v/>
      </c>
      <c r="X170" s="264" t="str">
        <f>IF($S170="Y",IF(P165&lt;=125,N170,N167),"")</f>
        <v/>
      </c>
      <c r="Y170" s="264" t="str">
        <f>IF($S170="Y",IF(P165&lt;=125,O170,O167),"")</f>
        <v/>
      </c>
    </row>
    <row r="171" spans="9:28" ht="20.149999999999999" customHeight="1">
      <c r="I171" s="264" t="s">
        <v>299</v>
      </c>
      <c r="J171" s="264">
        <v>1.8</v>
      </c>
      <c r="K171" s="264">
        <v>1.2</v>
      </c>
      <c r="L171" s="264">
        <v>1</v>
      </c>
      <c r="M171" s="264">
        <v>0.5</v>
      </c>
      <c r="N171" s="266">
        <v>0.6</v>
      </c>
      <c r="O171" s="264">
        <v>0.6</v>
      </c>
      <c r="P171" s="264" t="s">
        <v>370</v>
      </c>
      <c r="Q171" s="264" t="str">
        <f>IF($N$165&lt;=200,"Y","N")</f>
        <v>Y</v>
      </c>
      <c r="R171" s="264" t="str">
        <f t="shared" si="87"/>
        <v>N</v>
      </c>
      <c r="S171" s="264" t="str">
        <f t="shared" si="94"/>
        <v>N</v>
      </c>
      <c r="T171" s="264" t="str">
        <f t="shared" si="93"/>
        <v/>
      </c>
      <c r="U171" s="264" t="str">
        <f t="shared" si="88"/>
        <v/>
      </c>
      <c r="V171" s="264" t="str">
        <f t="shared" si="89"/>
        <v/>
      </c>
      <c r="W171" s="264" t="str">
        <f t="shared" si="90"/>
        <v/>
      </c>
      <c r="X171" s="264" t="str">
        <f t="shared" si="91"/>
        <v/>
      </c>
      <c r="Y171" s="264" t="str">
        <f t="shared" si="92"/>
        <v/>
      </c>
    </row>
    <row r="172" spans="9:28" ht="20.149999999999999" customHeight="1">
      <c r="I172" s="264" t="s">
        <v>289</v>
      </c>
      <c r="J172" s="264">
        <v>5</v>
      </c>
      <c r="K172" s="264">
        <v>3</v>
      </c>
      <c r="L172" s="264">
        <v>2</v>
      </c>
      <c r="M172" s="264">
        <v>1.5</v>
      </c>
      <c r="N172" s="264">
        <v>2</v>
      </c>
      <c r="O172" s="264">
        <v>1.5</v>
      </c>
      <c r="P172" s="264" t="s">
        <v>436</v>
      </c>
      <c r="Q172" s="264" t="str">
        <f>IF($N$165&lt;500,"Y","N")</f>
        <v>Y</v>
      </c>
      <c r="R172" s="264" t="str">
        <f t="shared" si="87"/>
        <v>N</v>
      </c>
      <c r="S172" s="264" t="str">
        <f t="shared" si="94"/>
        <v>N</v>
      </c>
      <c r="T172" s="264" t="str">
        <f t="shared" ref="T172:T187" si="95">IF($S172="Y",J172,"")</f>
        <v/>
      </c>
      <c r="U172" s="264" t="str">
        <f t="shared" ref="U172:U187" si="96">IF($S172="Y",K172,"")</f>
        <v/>
      </c>
      <c r="V172" s="264" t="str">
        <f t="shared" ref="V172:V187" si="97">IF($S172="Y",L172,"")</f>
        <v/>
      </c>
      <c r="W172" s="264" t="str">
        <f t="shared" ref="W172:W187" si="98">IF($S172="Y",M172,"")</f>
        <v/>
      </c>
      <c r="X172" s="264" t="str">
        <f t="shared" ref="X172:X187" si="99">IF($S172="Y",N172,"")</f>
        <v/>
      </c>
      <c r="Y172" s="264" t="str">
        <f t="shared" ref="Y172:Y187" si="100">IF($S172="Y",O172,"")</f>
        <v/>
      </c>
    </row>
    <row r="173" spans="9:28" ht="20.149999999999999" customHeight="1">
      <c r="I173" s="264" t="s">
        <v>289</v>
      </c>
      <c r="J173" s="264">
        <v>6</v>
      </c>
      <c r="K173" s="264">
        <v>4.5</v>
      </c>
      <c r="L173" s="264">
        <v>3</v>
      </c>
      <c r="M173" s="264">
        <v>1.5</v>
      </c>
      <c r="N173" s="264">
        <v>2</v>
      </c>
      <c r="O173" s="264">
        <v>1.5</v>
      </c>
      <c r="P173" s="264" t="s">
        <v>437</v>
      </c>
      <c r="Q173" s="264" t="str">
        <f>IF($N$165&gt;=500,"Y","N")</f>
        <v>N</v>
      </c>
      <c r="R173" s="264" t="str">
        <f t="shared" si="87"/>
        <v>N</v>
      </c>
      <c r="S173" s="264" t="str">
        <f t="shared" ref="S173" si="101">IF(Q173="Y",IF(R173="Y","Y","N"),"N")</f>
        <v>N</v>
      </c>
      <c r="T173" s="264" t="str">
        <f t="shared" si="95"/>
        <v/>
      </c>
      <c r="U173" s="264" t="str">
        <f t="shared" si="96"/>
        <v/>
      </c>
      <c r="V173" s="264" t="str">
        <f t="shared" si="97"/>
        <v/>
      </c>
      <c r="W173" s="264" t="str">
        <f t="shared" si="98"/>
        <v/>
      </c>
      <c r="X173" s="264" t="str">
        <f t="shared" si="99"/>
        <v/>
      </c>
      <c r="Y173" s="264" t="str">
        <f t="shared" si="100"/>
        <v/>
      </c>
    </row>
    <row r="174" spans="9:28" ht="20.149999999999999" customHeight="1">
      <c r="I174" s="264" t="s">
        <v>293</v>
      </c>
      <c r="J174" s="264">
        <v>5</v>
      </c>
      <c r="K174" s="264">
        <v>3</v>
      </c>
      <c r="L174" s="264">
        <v>2</v>
      </c>
      <c r="M174" s="264">
        <v>1.5</v>
      </c>
      <c r="N174" s="264">
        <v>2</v>
      </c>
      <c r="O174" s="264">
        <v>1.5</v>
      </c>
      <c r="P174" s="264" t="s">
        <v>436</v>
      </c>
      <c r="Q174" s="264" t="str">
        <f>IF($N$165&lt;500,"Y","N")</f>
        <v>Y</v>
      </c>
      <c r="R174" s="264" t="str">
        <f t="shared" si="87"/>
        <v>N</v>
      </c>
      <c r="S174" s="264" t="str">
        <f t="shared" si="94"/>
        <v>N</v>
      </c>
      <c r="T174" s="264" t="str">
        <f t="shared" si="95"/>
        <v/>
      </c>
      <c r="U174" s="264" t="str">
        <f t="shared" si="96"/>
        <v/>
      </c>
      <c r="V174" s="264" t="str">
        <f t="shared" si="97"/>
        <v/>
      </c>
      <c r="W174" s="264" t="str">
        <f t="shared" si="98"/>
        <v/>
      </c>
      <c r="X174" s="264" t="str">
        <f t="shared" si="99"/>
        <v/>
      </c>
      <c r="Y174" s="264" t="str">
        <f t="shared" si="100"/>
        <v/>
      </c>
    </row>
    <row r="175" spans="9:28" ht="20.149999999999999" customHeight="1">
      <c r="I175" s="264" t="s">
        <v>293</v>
      </c>
      <c r="J175" s="264">
        <v>6</v>
      </c>
      <c r="K175" s="264">
        <v>4.5</v>
      </c>
      <c r="L175" s="264">
        <v>3</v>
      </c>
      <c r="M175" s="264">
        <v>1.5</v>
      </c>
      <c r="N175" s="264">
        <v>2</v>
      </c>
      <c r="O175" s="264">
        <v>1.5</v>
      </c>
      <c r="P175" s="264" t="s">
        <v>378</v>
      </c>
      <c r="Q175" s="264" t="str">
        <f>IF($N$165&gt;=500,"Y","N")</f>
        <v>N</v>
      </c>
      <c r="R175" s="264" t="str">
        <f t="shared" si="87"/>
        <v>N</v>
      </c>
      <c r="S175" s="264" t="str">
        <f t="shared" ref="S175" si="102">IF(Q175="Y",IF(R175="Y","Y","N"),"N")</f>
        <v>N</v>
      </c>
      <c r="T175" s="264" t="str">
        <f t="shared" si="95"/>
        <v/>
      </c>
      <c r="U175" s="264" t="str">
        <f t="shared" si="96"/>
        <v/>
      </c>
      <c r="V175" s="264" t="str">
        <f t="shared" si="97"/>
        <v/>
      </c>
      <c r="W175" s="264" t="str">
        <f t="shared" si="98"/>
        <v/>
      </c>
      <c r="X175" s="264" t="str">
        <f t="shared" si="99"/>
        <v/>
      </c>
      <c r="Y175" s="264" t="str">
        <f t="shared" si="100"/>
        <v/>
      </c>
    </row>
    <row r="176" spans="9:28" ht="20.149999999999999" customHeight="1">
      <c r="I176" s="264" t="s">
        <v>297</v>
      </c>
      <c r="J176" s="264">
        <v>5</v>
      </c>
      <c r="K176" s="264">
        <v>3</v>
      </c>
      <c r="L176" s="264">
        <v>2</v>
      </c>
      <c r="M176" s="264">
        <v>1.5</v>
      </c>
      <c r="N176" s="264">
        <v>2</v>
      </c>
      <c r="O176" s="264">
        <v>1.5</v>
      </c>
      <c r="P176" s="264" t="s">
        <v>436</v>
      </c>
      <c r="Q176" s="264" t="str">
        <f>IF($N$165&gt;200,"Y","N")</f>
        <v>N</v>
      </c>
      <c r="R176" s="264" t="str">
        <f t="shared" si="87"/>
        <v>N</v>
      </c>
      <c r="S176" s="264" t="str">
        <f t="shared" si="94"/>
        <v>N</v>
      </c>
      <c r="T176" s="264" t="str">
        <f t="shared" si="95"/>
        <v/>
      </c>
      <c r="U176" s="264" t="str">
        <f t="shared" si="96"/>
        <v/>
      </c>
      <c r="V176" s="264" t="str">
        <f t="shared" si="97"/>
        <v/>
      </c>
      <c r="W176" s="264" t="str">
        <f t="shared" si="98"/>
        <v/>
      </c>
      <c r="X176" s="264" t="str">
        <f t="shared" si="99"/>
        <v/>
      </c>
      <c r="Y176" s="264" t="str">
        <f t="shared" si="100"/>
        <v/>
      </c>
    </row>
    <row r="177" spans="8:28" ht="20.149999999999999" customHeight="1">
      <c r="I177" s="264" t="s">
        <v>297</v>
      </c>
      <c r="J177" s="264">
        <v>6</v>
      </c>
      <c r="K177" s="264">
        <v>4.5</v>
      </c>
      <c r="L177" s="264">
        <v>3</v>
      </c>
      <c r="M177" s="264">
        <v>1.5</v>
      </c>
      <c r="N177" s="264">
        <v>2</v>
      </c>
      <c r="O177" s="264">
        <v>1.5</v>
      </c>
      <c r="P177" s="264" t="s">
        <v>438</v>
      </c>
      <c r="Q177" s="264" t="str">
        <f>IF($N$165&gt;=500,"Y","N")</f>
        <v>N</v>
      </c>
      <c r="R177" s="264" t="str">
        <f t="shared" si="87"/>
        <v>N</v>
      </c>
      <c r="S177" s="264" t="str">
        <f t="shared" ref="S177" si="103">IF(Q177="Y",IF(R177="Y","Y","N"),"N")</f>
        <v>N</v>
      </c>
      <c r="T177" s="264" t="str">
        <f t="shared" si="95"/>
        <v/>
      </c>
      <c r="U177" s="264" t="str">
        <f t="shared" si="96"/>
        <v/>
      </c>
      <c r="V177" s="264" t="str">
        <f t="shared" si="97"/>
        <v/>
      </c>
      <c r="W177" s="264" t="str">
        <f t="shared" si="98"/>
        <v/>
      </c>
      <c r="X177" s="264" t="str">
        <f t="shared" si="99"/>
        <v/>
      </c>
      <c r="Y177" s="264" t="str">
        <f t="shared" si="100"/>
        <v/>
      </c>
    </row>
    <row r="178" spans="8:28" ht="20.149999999999999" customHeight="1">
      <c r="H178" s="69">
        <v>1</v>
      </c>
      <c r="I178" s="264" t="s">
        <v>295</v>
      </c>
      <c r="J178" s="264">
        <v>6</v>
      </c>
      <c r="K178" s="264">
        <v>4.5</v>
      </c>
      <c r="L178" s="264">
        <v>2</v>
      </c>
      <c r="M178" s="264">
        <v>1.5</v>
      </c>
      <c r="N178" s="264">
        <v>2</v>
      </c>
      <c r="O178" s="264">
        <v>1.5</v>
      </c>
      <c r="P178" s="264" t="s">
        <v>436</v>
      </c>
      <c r="Q178" s="264" t="str">
        <f>IF($N$165&lt;500,"Y","N")</f>
        <v>Y</v>
      </c>
      <c r="R178" s="264" t="str">
        <f t="shared" si="87"/>
        <v>N</v>
      </c>
      <c r="S178" s="264" t="str">
        <f t="shared" si="94"/>
        <v>N</v>
      </c>
      <c r="T178" s="264" t="str">
        <f t="shared" si="95"/>
        <v/>
      </c>
      <c r="U178" s="264" t="str">
        <f t="shared" si="96"/>
        <v/>
      </c>
      <c r="V178" s="264" t="str">
        <f t="shared" si="97"/>
        <v/>
      </c>
      <c r="W178" s="264" t="str">
        <f t="shared" si="98"/>
        <v/>
      </c>
      <c r="X178" s="264" t="str">
        <f t="shared" si="99"/>
        <v/>
      </c>
      <c r="Y178" s="264" t="str">
        <f t="shared" si="100"/>
        <v/>
      </c>
    </row>
    <row r="179" spans="8:28" ht="20.149999999999999" customHeight="1">
      <c r="I179" s="264" t="s">
        <v>295</v>
      </c>
      <c r="J179" s="264">
        <v>7.5</v>
      </c>
      <c r="K179" s="264">
        <v>5</v>
      </c>
      <c r="L179" s="264">
        <v>3</v>
      </c>
      <c r="M179" s="264">
        <v>1.5</v>
      </c>
      <c r="N179" s="264">
        <v>4</v>
      </c>
      <c r="O179" s="264">
        <v>1.5</v>
      </c>
      <c r="P179" s="264" t="s">
        <v>439</v>
      </c>
      <c r="Q179" s="265" t="str">
        <f>IF($N$165&lt;800,IF($N$165&gt;500,"Y","N"),"N")</f>
        <v>N</v>
      </c>
      <c r="R179" s="264" t="str">
        <f t="shared" si="87"/>
        <v>N</v>
      </c>
      <c r="S179" s="264" t="str">
        <f t="shared" si="94"/>
        <v>N</v>
      </c>
      <c r="T179" s="264" t="str">
        <f t="shared" si="95"/>
        <v/>
      </c>
      <c r="U179" s="264" t="str">
        <f t="shared" si="96"/>
        <v/>
      </c>
      <c r="V179" s="264" t="str">
        <f t="shared" si="97"/>
        <v/>
      </c>
      <c r="W179" s="264" t="str">
        <f t="shared" si="98"/>
        <v/>
      </c>
      <c r="X179" s="264" t="str">
        <f t="shared" si="99"/>
        <v/>
      </c>
      <c r="Y179" s="264" t="str">
        <f t="shared" si="100"/>
        <v/>
      </c>
    </row>
    <row r="180" spans="8:28" ht="20.149999999999999" customHeight="1">
      <c r="I180" s="264" t="s">
        <v>295</v>
      </c>
      <c r="J180" s="264">
        <v>10.5</v>
      </c>
      <c r="K180" s="264">
        <v>6</v>
      </c>
      <c r="L180" s="264">
        <v>3</v>
      </c>
      <c r="M180" s="264">
        <v>1.5</v>
      </c>
      <c r="N180" s="264">
        <v>5</v>
      </c>
      <c r="O180" s="264">
        <v>1.5</v>
      </c>
      <c r="P180" s="264" t="s">
        <v>385</v>
      </c>
      <c r="Q180" s="264" t="str">
        <f>IF($N$165&gt;800,"Y","N")</f>
        <v>N</v>
      </c>
      <c r="R180" s="264" t="str">
        <f t="shared" si="87"/>
        <v>N</v>
      </c>
      <c r="S180" s="264" t="str">
        <f t="shared" si="94"/>
        <v>N</v>
      </c>
      <c r="T180" s="264" t="str">
        <f t="shared" si="95"/>
        <v/>
      </c>
      <c r="U180" s="264" t="str">
        <f t="shared" si="96"/>
        <v/>
      </c>
      <c r="V180" s="264" t="str">
        <f t="shared" si="97"/>
        <v/>
      </c>
      <c r="W180" s="264" t="str">
        <f t="shared" si="98"/>
        <v/>
      </c>
      <c r="X180" s="264" t="str">
        <f t="shared" si="99"/>
        <v/>
      </c>
      <c r="Y180" s="264" t="str">
        <f t="shared" si="100"/>
        <v/>
      </c>
    </row>
    <row r="181" spans="8:28" ht="20.149999999999999" customHeight="1">
      <c r="I181" s="264" t="s">
        <v>299</v>
      </c>
      <c r="J181" s="264">
        <v>3</v>
      </c>
      <c r="K181" s="264">
        <v>3</v>
      </c>
      <c r="L181" s="264">
        <v>1.5</v>
      </c>
      <c r="M181" s="264">
        <v>1.5</v>
      </c>
      <c r="N181" s="264">
        <v>1</v>
      </c>
      <c r="O181" s="264">
        <v>1</v>
      </c>
      <c r="P181" s="264" t="s">
        <v>373</v>
      </c>
      <c r="Q181" s="264" t="str">
        <f>IF($N$165&gt;200,"Y","N")</f>
        <v>N</v>
      </c>
      <c r="R181" s="264" t="str">
        <f t="shared" si="87"/>
        <v>N</v>
      </c>
      <c r="S181" s="264" t="str">
        <f t="shared" si="94"/>
        <v>N</v>
      </c>
      <c r="T181" s="264" t="str">
        <f t="shared" si="95"/>
        <v/>
      </c>
      <c r="U181" s="264" t="str">
        <f t="shared" si="96"/>
        <v/>
      </c>
      <c r="V181" s="264" t="str">
        <f t="shared" si="97"/>
        <v/>
      </c>
      <c r="W181" s="264" t="str">
        <f t="shared" si="98"/>
        <v/>
      </c>
      <c r="X181" s="264" t="str">
        <f t="shared" si="99"/>
        <v/>
      </c>
      <c r="Y181" s="264" t="str">
        <f t="shared" si="100"/>
        <v/>
      </c>
    </row>
    <row r="182" spans="8:28" ht="20.149999999999999" customHeight="1">
      <c r="I182" s="264" t="s">
        <v>301</v>
      </c>
      <c r="J182" s="266">
        <v>3</v>
      </c>
      <c r="K182" s="264">
        <v>3</v>
      </c>
      <c r="L182" s="266">
        <v>2</v>
      </c>
      <c r="M182" s="264">
        <v>2</v>
      </c>
      <c r="N182" s="266">
        <v>2</v>
      </c>
      <c r="O182" s="264">
        <v>2</v>
      </c>
      <c r="P182" s="264" t="s">
        <v>388</v>
      </c>
      <c r="Q182" s="264" t="str">
        <f>IF($N$165&lt;200,"Y","N")</f>
        <v>Y</v>
      </c>
      <c r="R182" s="264" t="str">
        <f t="shared" si="87"/>
        <v>N</v>
      </c>
      <c r="S182" s="264" t="str">
        <f t="shared" si="94"/>
        <v>N</v>
      </c>
      <c r="T182" s="264" t="str">
        <f t="shared" si="95"/>
        <v/>
      </c>
      <c r="U182" s="264" t="str">
        <f t="shared" si="96"/>
        <v/>
      </c>
      <c r="V182" s="264" t="str">
        <f t="shared" si="97"/>
        <v/>
      </c>
      <c r="W182" s="264" t="str">
        <f t="shared" si="98"/>
        <v/>
      </c>
      <c r="X182" s="264" t="str">
        <f t="shared" si="99"/>
        <v/>
      </c>
      <c r="Y182" s="264" t="str">
        <f t="shared" si="100"/>
        <v/>
      </c>
    </row>
    <row r="183" spans="8:28" ht="20.149999999999999" customHeight="1">
      <c r="I183" s="264" t="s">
        <v>301</v>
      </c>
      <c r="J183" s="266">
        <v>3</v>
      </c>
      <c r="K183" s="264">
        <v>3</v>
      </c>
      <c r="L183" s="266">
        <v>3</v>
      </c>
      <c r="M183" s="264">
        <v>3</v>
      </c>
      <c r="N183" s="266">
        <v>3</v>
      </c>
      <c r="O183" s="264">
        <v>3</v>
      </c>
      <c r="P183" s="264" t="s">
        <v>373</v>
      </c>
      <c r="Q183" s="264" t="str">
        <f>IF($N$165&gt;200,"Y","N")</f>
        <v>N</v>
      </c>
      <c r="R183" s="264" t="str">
        <f t="shared" si="87"/>
        <v>N</v>
      </c>
      <c r="S183" s="264" t="str">
        <f t="shared" si="94"/>
        <v>N</v>
      </c>
      <c r="T183" s="264" t="str">
        <f t="shared" si="95"/>
        <v/>
      </c>
      <c r="U183" s="264" t="str">
        <f t="shared" si="96"/>
        <v/>
      </c>
      <c r="V183" s="264" t="str">
        <f t="shared" si="97"/>
        <v/>
      </c>
      <c r="W183" s="264" t="str">
        <f t="shared" si="98"/>
        <v/>
      </c>
      <c r="X183" s="264" t="str">
        <f t="shared" si="99"/>
        <v/>
      </c>
      <c r="Y183" s="264" t="str">
        <f t="shared" si="100"/>
        <v/>
      </c>
    </row>
    <row r="184" spans="8:28" ht="20.149999999999999" customHeight="1">
      <c r="I184" s="264" t="s">
        <v>303</v>
      </c>
      <c r="J184" s="266">
        <v>5</v>
      </c>
      <c r="K184" s="264">
        <v>5</v>
      </c>
      <c r="L184" s="266">
        <v>5</v>
      </c>
      <c r="M184" s="264">
        <v>5</v>
      </c>
      <c r="N184" s="266">
        <v>3</v>
      </c>
      <c r="O184" s="264">
        <v>3</v>
      </c>
      <c r="P184" s="264"/>
      <c r="Q184" s="264"/>
      <c r="R184" s="264" t="str">
        <f t="shared" si="87"/>
        <v>N</v>
      </c>
      <c r="S184" s="264" t="str">
        <f>R184</f>
        <v>N</v>
      </c>
      <c r="T184" s="264" t="str">
        <f t="shared" si="95"/>
        <v/>
      </c>
      <c r="U184" s="264" t="str">
        <f t="shared" si="96"/>
        <v/>
      </c>
      <c r="V184" s="264" t="str">
        <f t="shared" si="97"/>
        <v/>
      </c>
      <c r="W184" s="264" t="str">
        <f t="shared" si="98"/>
        <v/>
      </c>
      <c r="X184" s="264" t="str">
        <f t="shared" si="99"/>
        <v/>
      </c>
      <c r="Y184" s="264" t="str">
        <f t="shared" si="100"/>
        <v/>
      </c>
    </row>
    <row r="185" spans="8:28" ht="20.149999999999999" customHeight="1">
      <c r="I185" s="264" t="s">
        <v>305</v>
      </c>
      <c r="J185" s="266">
        <v>6</v>
      </c>
      <c r="K185" s="264">
        <v>6</v>
      </c>
      <c r="L185" s="266">
        <v>3</v>
      </c>
      <c r="M185" s="264">
        <v>3</v>
      </c>
      <c r="N185" s="266">
        <v>2</v>
      </c>
      <c r="O185" s="264">
        <v>2</v>
      </c>
      <c r="P185" s="264"/>
      <c r="Q185" s="264"/>
      <c r="R185" s="264" t="str">
        <f t="shared" si="87"/>
        <v>N</v>
      </c>
      <c r="S185" s="264" t="str">
        <f>R185</f>
        <v>N</v>
      </c>
      <c r="T185" s="264" t="str">
        <f t="shared" si="95"/>
        <v/>
      </c>
      <c r="U185" s="264" t="str">
        <f t="shared" si="96"/>
        <v/>
      </c>
      <c r="V185" s="264" t="str">
        <f t="shared" si="97"/>
        <v/>
      </c>
      <c r="W185" s="264" t="str">
        <f t="shared" si="98"/>
        <v/>
      </c>
      <c r="X185" s="264" t="str">
        <f t="shared" si="99"/>
        <v/>
      </c>
      <c r="Y185" s="264" t="str">
        <f t="shared" si="100"/>
        <v/>
      </c>
    </row>
    <row r="186" spans="8:28" ht="20.149999999999999" customHeight="1">
      <c r="I186" s="264" t="s">
        <v>307</v>
      </c>
      <c r="J186" s="266">
        <v>7.5</v>
      </c>
      <c r="K186" s="264">
        <v>7.5</v>
      </c>
      <c r="L186" s="266">
        <v>7.5</v>
      </c>
      <c r="M186" s="264">
        <v>7.5</v>
      </c>
      <c r="N186" s="266">
        <v>7.5</v>
      </c>
      <c r="O186" s="264">
        <v>7.5</v>
      </c>
      <c r="P186" s="264" t="s">
        <v>393</v>
      </c>
      <c r="Q186" s="264" t="str">
        <f>IF($N$165&gt;300,"Y","N")</f>
        <v>N</v>
      </c>
      <c r="R186" s="264" t="str">
        <f t="shared" si="87"/>
        <v>N</v>
      </c>
      <c r="S186" s="264" t="str">
        <f t="shared" ref="S186" si="104">IF(Q186="Y",IF(R186="Y","Y","N"),"N")</f>
        <v>N</v>
      </c>
      <c r="T186" s="264" t="str">
        <f t="shared" si="95"/>
        <v/>
      </c>
      <c r="U186" s="264" t="str">
        <f t="shared" si="96"/>
        <v/>
      </c>
      <c r="V186" s="264" t="str">
        <f t="shared" si="97"/>
        <v/>
      </c>
      <c r="W186" s="264" t="str">
        <f t="shared" si="98"/>
        <v/>
      </c>
      <c r="X186" s="264" t="str">
        <f t="shared" si="99"/>
        <v/>
      </c>
      <c r="Y186" s="264" t="str">
        <f t="shared" si="100"/>
        <v/>
      </c>
    </row>
    <row r="187" spans="8:28" ht="20.149999999999999" customHeight="1">
      <c r="I187" s="264" t="s">
        <v>309</v>
      </c>
      <c r="J187" s="266">
        <v>10.5</v>
      </c>
      <c r="K187" s="264">
        <v>10.5</v>
      </c>
      <c r="L187" s="266">
        <v>5</v>
      </c>
      <c r="M187" s="264">
        <v>5</v>
      </c>
      <c r="N187" s="266">
        <v>5</v>
      </c>
      <c r="O187" s="264">
        <v>5</v>
      </c>
      <c r="P187" s="264"/>
      <c r="Q187" s="264"/>
      <c r="R187" s="264" t="str">
        <f t="shared" si="87"/>
        <v>N</v>
      </c>
      <c r="S187" s="264" t="str">
        <f>R187</f>
        <v>N</v>
      </c>
      <c r="T187" s="264" t="str">
        <f t="shared" si="95"/>
        <v/>
      </c>
      <c r="U187" s="264" t="str">
        <f t="shared" si="96"/>
        <v/>
      </c>
      <c r="V187" s="264" t="str">
        <f t="shared" si="97"/>
        <v/>
      </c>
      <c r="W187" s="264" t="str">
        <f t="shared" si="98"/>
        <v/>
      </c>
      <c r="X187" s="264" t="str">
        <f t="shared" si="99"/>
        <v/>
      </c>
      <c r="Y187" s="264" t="str">
        <f t="shared" si="100"/>
        <v/>
      </c>
    </row>
    <row r="188" spans="8:28" ht="20.149999999999999" customHeight="1">
      <c r="I188" s="264"/>
      <c r="J188" s="264"/>
      <c r="K188" s="264"/>
      <c r="L188" s="264"/>
      <c r="M188" s="264"/>
      <c r="N188" s="264"/>
      <c r="O188" s="264"/>
      <c r="P188" s="264"/>
      <c r="Q188" s="264"/>
      <c r="R188" s="264"/>
      <c r="S188" s="269"/>
      <c r="T188" s="270">
        <f t="shared" ref="T188:Y188" si="105">SUM(T167:T187)</f>
        <v>3</v>
      </c>
      <c r="U188" s="271">
        <f t="shared" si="105"/>
        <v>1.8</v>
      </c>
      <c r="V188" s="271">
        <f t="shared" si="105"/>
        <v>1.5</v>
      </c>
      <c r="W188" s="271">
        <f t="shared" si="105"/>
        <v>1</v>
      </c>
      <c r="X188" s="271">
        <f t="shared" si="105"/>
        <v>1</v>
      </c>
      <c r="Y188" s="271">
        <f t="shared" si="105"/>
        <v>1</v>
      </c>
      <c r="Z188" s="288">
        <f>X188</f>
        <v>1</v>
      </c>
      <c r="AA188" s="289">
        <f>Y188</f>
        <v>1</v>
      </c>
      <c r="AB188" s="290"/>
    </row>
    <row r="189" spans="8:28" ht="20.149999999999999" customHeight="1">
      <c r="I189" s="264"/>
      <c r="J189" s="264"/>
      <c r="K189" s="264"/>
      <c r="L189" s="264"/>
      <c r="M189" s="264"/>
      <c r="N189" s="264"/>
      <c r="O189" s="264"/>
      <c r="P189" s="267"/>
      <c r="Q189" s="267"/>
      <c r="R189" s="267"/>
      <c r="S189" s="272"/>
      <c r="T189" s="273" t="s">
        <v>397</v>
      </c>
      <c r="U189" s="264" t="s">
        <v>398</v>
      </c>
      <c r="V189" s="264" t="s">
        <v>399</v>
      </c>
      <c r="W189" s="264" t="s">
        <v>400</v>
      </c>
      <c r="X189" s="264" t="s">
        <v>401</v>
      </c>
      <c r="Y189" s="264" t="s">
        <v>402</v>
      </c>
      <c r="Z189" s="275" t="s">
        <v>403</v>
      </c>
      <c r="AA189" s="291" t="s">
        <v>404</v>
      </c>
      <c r="AB189" s="290"/>
    </row>
    <row r="190" spans="8:28" ht="20.149999999999999" customHeight="1">
      <c r="P190" s="268"/>
      <c r="Q190" s="268"/>
      <c r="R190" s="245" t="s">
        <v>128</v>
      </c>
      <c r="S190" s="245" t="s">
        <v>129</v>
      </c>
      <c r="T190" s="274">
        <f>(R191+R192)*0.5</f>
        <v>0</v>
      </c>
      <c r="U190" s="275">
        <f>R192</f>
        <v>0</v>
      </c>
      <c r="V190" s="275">
        <f>(R193+R194)*0.5</f>
        <v>0</v>
      </c>
      <c r="W190" s="275">
        <f>R194</f>
        <v>0</v>
      </c>
      <c r="X190" s="275">
        <f>(R195+R196)*0.5</f>
        <v>0</v>
      </c>
      <c r="Y190" s="275">
        <f>R196</f>
        <v>0</v>
      </c>
      <c r="Z190" s="275">
        <f>(R197+R198)*0.5</f>
        <v>0</v>
      </c>
      <c r="AA190" s="291">
        <f>R198</f>
        <v>0</v>
      </c>
      <c r="AB190" s="474" t="s">
        <v>440</v>
      </c>
    </row>
    <row r="191" spans="8:28" ht="20.149999999999999" customHeight="1">
      <c r="P191" s="249"/>
      <c r="Q191" s="276" t="s">
        <v>149</v>
      </c>
      <c r="R191" s="69">
        <f>MaGic_Avm_Building!C20</f>
        <v>0</v>
      </c>
      <c r="S191" s="277"/>
      <c r="T191" s="278" t="str">
        <f>IF(T190&lt;T188,"1","0")</f>
        <v>1</v>
      </c>
      <c r="U191" s="279" t="str">
        <f t="shared" ref="U191" si="106">IF(U190&lt;U188,"1","0")</f>
        <v>1</v>
      </c>
      <c r="V191" s="279" t="str">
        <f t="shared" ref="V191" si="107">IF(V190&lt;V188,"1","0")</f>
        <v>1</v>
      </c>
      <c r="W191" s="279" t="str">
        <f t="shared" ref="W191" si="108">IF(W190&lt;W188,"1","0")</f>
        <v>1</v>
      </c>
      <c r="X191" s="279" t="str">
        <f t="shared" ref="X191" si="109">IF(X190&lt;X188,"1","0")</f>
        <v>1</v>
      </c>
      <c r="Y191" s="279" t="str">
        <f t="shared" ref="Y191" si="110">IF(Y190&lt;Y188,"1","0")</f>
        <v>1</v>
      </c>
      <c r="Z191" s="279" t="str">
        <f t="shared" ref="Z191" si="111">IF(Z190&lt;Z188,"1","0")</f>
        <v>1</v>
      </c>
      <c r="AA191" s="292" t="str">
        <f t="shared" ref="AA191" si="112">IF(AA190&lt;AA188,"1","0")</f>
        <v>1</v>
      </c>
      <c r="AB191" s="474"/>
    </row>
    <row r="192" spans="8:28" ht="20.149999999999999" customHeight="1">
      <c r="P192" s="249"/>
      <c r="Q192" s="276" t="s">
        <v>150</v>
      </c>
      <c r="R192" s="69">
        <f>MaGic_Avm_Building!C21</f>
        <v>0</v>
      </c>
      <c r="S192" s="277"/>
      <c r="T192" s="478" t="str">
        <f>CONCATENATE("The ",T189," yard required is ",T188," m, whereas at the site it is only ",T190," m.")</f>
        <v>The Average Front yard required is 3 m, whereas at the site it is only 0 m.</v>
      </c>
      <c r="U192" s="470" t="str">
        <f t="shared" ref="U192:AA192" si="113">CONCATENATE("The ",U189," yard required is ",U188," m, whereas at the site it is only ",U190," m.")</f>
        <v>The Minimum Front yard required is 1.8 m, whereas at the site it is only 0 m.</v>
      </c>
      <c r="V192" s="470" t="str">
        <f t="shared" si="113"/>
        <v>The Average Rear yard required is 1.5 m, whereas at the site it is only 0 m.</v>
      </c>
      <c r="W192" s="470" t="str">
        <f t="shared" si="113"/>
        <v>The Minimum Rear yard required is 1 m, whereas at the site it is only 0 m.</v>
      </c>
      <c r="X192" s="470" t="str">
        <f t="shared" si="113"/>
        <v>The Average Side-1 yard required is 1 m, whereas at the site it is only 0 m.</v>
      </c>
      <c r="Y192" s="470" t="str">
        <f t="shared" si="113"/>
        <v>The Minimum Side-1 yard required is 1 m, whereas at the site it is only 0 m.</v>
      </c>
      <c r="Z192" s="470" t="str">
        <f t="shared" si="113"/>
        <v>The Average Side-2 yard required is 1 m, whereas at the site it is only 0 m.</v>
      </c>
      <c r="AA192" s="468" t="str">
        <f t="shared" si="113"/>
        <v>The Minimum Side-2 yard required is 1 m, whereas at the site it is only 0 m.</v>
      </c>
    </row>
    <row r="193" spans="9:28" ht="20.149999999999999" customHeight="1">
      <c r="P193" s="249"/>
      <c r="Q193" s="276" t="s">
        <v>151</v>
      </c>
      <c r="R193" s="69">
        <f>MaGic_Avm_Building!C22</f>
        <v>0</v>
      </c>
      <c r="S193" s="277"/>
      <c r="T193" s="479"/>
      <c r="U193" s="471"/>
      <c r="V193" s="471"/>
      <c r="W193" s="471"/>
      <c r="X193" s="471"/>
      <c r="Y193" s="471"/>
      <c r="Z193" s="471"/>
      <c r="AA193" s="469"/>
    </row>
    <row r="194" spans="9:28" ht="20.149999999999999" customHeight="1">
      <c r="P194" s="249"/>
      <c r="Q194" s="276" t="s">
        <v>150</v>
      </c>
      <c r="R194" s="69">
        <f>MaGic_Avm_Building!C23</f>
        <v>0</v>
      </c>
      <c r="S194" s="277"/>
      <c r="T194" s="479"/>
      <c r="U194" s="471"/>
      <c r="V194" s="471"/>
      <c r="W194" s="471"/>
      <c r="X194" s="471"/>
      <c r="Y194" s="471"/>
      <c r="Z194" s="471"/>
      <c r="AA194" s="469"/>
    </row>
    <row r="195" spans="9:28" ht="20.149999999999999" customHeight="1">
      <c r="P195" s="249"/>
      <c r="Q195" s="276" t="s">
        <v>152</v>
      </c>
      <c r="R195" s="69">
        <f>MaGic_Avm_Building!C24</f>
        <v>0</v>
      </c>
      <c r="S195" s="277"/>
      <c r="T195" s="479"/>
      <c r="U195" s="471"/>
      <c r="V195" s="471"/>
      <c r="W195" s="471"/>
      <c r="X195" s="471"/>
      <c r="Y195" s="471"/>
      <c r="Z195" s="471"/>
      <c r="AA195" s="469"/>
    </row>
    <row r="196" spans="9:28" ht="20.149999999999999" customHeight="1">
      <c r="P196" s="249"/>
      <c r="Q196" s="276" t="s">
        <v>150</v>
      </c>
      <c r="R196" s="69">
        <f>MaGic_Avm_Building!C25</f>
        <v>0</v>
      </c>
      <c r="S196" s="277"/>
      <c r="T196" s="479"/>
      <c r="U196" s="471"/>
      <c r="V196" s="471"/>
      <c r="W196" s="471"/>
      <c r="X196" s="471"/>
      <c r="Y196" s="471"/>
      <c r="Z196" s="471"/>
      <c r="AA196" s="469"/>
    </row>
    <row r="197" spans="9:28" ht="20.149999999999999" customHeight="1">
      <c r="P197" s="249"/>
      <c r="Q197" s="276" t="s">
        <v>153</v>
      </c>
      <c r="R197" s="69">
        <f>MaGic_Avm_Building!C26</f>
        <v>0</v>
      </c>
      <c r="S197" s="277"/>
      <c r="T197" s="294" t="str">
        <f>IF(T191="1",T192,"")</f>
        <v>The Average Front yard required is 3 m, whereas at the site it is only 0 m.</v>
      </c>
      <c r="U197" s="281" t="str">
        <f t="shared" ref="U197:AA197" si="114">IF(U191="1",U192,"")</f>
        <v>The Minimum Front yard required is 1.8 m, whereas at the site it is only 0 m.</v>
      </c>
      <c r="V197" s="281" t="str">
        <f t="shared" si="114"/>
        <v>The Average Rear yard required is 1.5 m, whereas at the site it is only 0 m.</v>
      </c>
      <c r="W197" s="281" t="str">
        <f t="shared" si="114"/>
        <v>The Minimum Rear yard required is 1 m, whereas at the site it is only 0 m.</v>
      </c>
      <c r="X197" s="281" t="str">
        <f t="shared" si="114"/>
        <v>The Average Side-1 yard required is 1 m, whereas at the site it is only 0 m.</v>
      </c>
      <c r="Y197" s="281" t="str">
        <f t="shared" si="114"/>
        <v>The Minimum Side-1 yard required is 1 m, whereas at the site it is only 0 m.</v>
      </c>
      <c r="Z197" s="281" t="str">
        <f t="shared" si="114"/>
        <v>The Average Side-2 yard required is 1 m, whereas at the site it is only 0 m.</v>
      </c>
      <c r="AA197" s="281" t="str">
        <f t="shared" si="114"/>
        <v>The Minimum Side-2 yard required is 1 m, whereas at the site it is only 0 m.</v>
      </c>
      <c r="AB197" s="19" t="str">
        <f>_xlfn.TEXTJOIN(",",TRUE,T197:AA197)</f>
        <v>The Average Front yard required is 3 m, whereas at the site it is only 0 m.,The Minimum Front yard required is 1.8 m, whereas at the site it is only 0 m.,The Average Rear yard required is 1.5 m, whereas at the site it is only 0 m.,The Minimum Rear yard required is 1 m, whereas at the site it is only 0 m.,The Average Side-1 yard required is 1 m, whereas at the site it is only 0 m.,The Minimum Side-1 yard required is 1 m, whereas at the site it is only 0 m.,The Average Side-2 yard required is 1 m, whereas at the site it is only 0 m.,The Minimum Side-2 yard required is 1 m, whereas at the site it is only 0 m.</v>
      </c>
    </row>
    <row r="198" spans="9:28" ht="20.149999999999999" customHeight="1">
      <c r="P198" s="250"/>
      <c r="Q198" s="282" t="s">
        <v>150</v>
      </c>
      <c r="R198" s="69">
        <f>MaGic_Avm_Building!C27</f>
        <v>0</v>
      </c>
      <c r="S198" s="277"/>
      <c r="T198" s="284" t="s">
        <v>415</v>
      </c>
      <c r="U198" s="285">
        <f>T191+U191+V191+W191+X191+Y191+Z191+AA191</f>
        <v>8</v>
      </c>
      <c r="V198" s="472" t="str">
        <f>IF(U198&gt;0,CONCATENATE(AB190,AB197),"")</f>
        <v>The setbacks of Building are in violation of the Kerala Municipality Building Rules, 2019 (as amended on 24/09/2020). The Average Front yard required is 3 m, whereas at the site it is only 0 m.,The Minimum Front yard required is 1.8 m, whereas at the site it is only 0 m.,The Average Rear yard required is 1.5 m, whereas at the site it is only 0 m.,The Minimum Rear yard required is 1 m, whereas at the site it is only 0 m.,The Average Side-1 yard required is 1 m, whereas at the site it is only 0 m.,The Minimum Side-1 yard required is 1 m, whereas at the site it is only 0 m.,The Average Side-2 yard required is 1 m, whereas at the site it is only 0 m.,The Minimum Side-2 yard required is 1 m, whereas at the site it is only 0 m.</v>
      </c>
      <c r="W198" s="472"/>
      <c r="X198" s="472"/>
      <c r="Y198" s="472"/>
      <c r="Z198" s="472"/>
      <c r="AA198" s="473"/>
    </row>
    <row r="199" spans="9:28" ht="20.149999999999999" customHeight="1">
      <c r="Q199" s="69" t="s">
        <v>415</v>
      </c>
      <c r="R199" s="69">
        <f>SUM(R191:R198)</f>
        <v>0</v>
      </c>
      <c r="S199" s="69" t="s">
        <v>113</v>
      </c>
      <c r="T199" s="286" t="str">
        <f>T163</f>
        <v>Grama Panchayat</v>
      </c>
      <c r="U199" s="69" t="str">
        <f>IF(T199="Grama Panchayat","",V198)</f>
        <v/>
      </c>
      <c r="V199" s="475" t="str">
        <f>IF(R199=0,"",U199)</f>
        <v/>
      </c>
      <c r="W199" s="475"/>
      <c r="X199" s="475"/>
      <c r="Y199" s="475"/>
      <c r="Z199" s="475"/>
      <c r="AA199" s="475"/>
    </row>
    <row r="201" spans="9:28" ht="49" customHeight="1">
      <c r="I201" s="263" t="s">
        <v>128</v>
      </c>
      <c r="J201" s="263" t="s">
        <v>196</v>
      </c>
      <c r="K201" s="263"/>
      <c r="L201" s="293" t="str">
        <f>MaGic_Avm_Building!D6</f>
        <v>Residential A1</v>
      </c>
      <c r="M201" s="263" t="s">
        <v>357</v>
      </c>
      <c r="N201" s="293">
        <f>MaGic_Avm_Building!D14</f>
        <v>0</v>
      </c>
      <c r="O201" s="263" t="s">
        <v>173</v>
      </c>
      <c r="P201" s="293">
        <f>P165</f>
        <v>415</v>
      </c>
      <c r="Q201" s="264"/>
      <c r="R201" s="264"/>
      <c r="S201" s="264"/>
      <c r="T201" s="264"/>
      <c r="U201" s="264"/>
      <c r="V201" s="264"/>
      <c r="W201" s="264"/>
      <c r="X201" s="264"/>
      <c r="Y201" s="264"/>
    </row>
    <row r="202" spans="9:28" ht="20.149999999999999" customHeight="1">
      <c r="I202" s="264"/>
      <c r="J202" s="264" t="s">
        <v>359</v>
      </c>
      <c r="K202" s="264" t="s">
        <v>360</v>
      </c>
      <c r="L202" s="264" t="s">
        <v>361</v>
      </c>
      <c r="M202" s="264" t="s">
        <v>362</v>
      </c>
      <c r="N202" s="264" t="s">
        <v>363</v>
      </c>
      <c r="O202" s="264" t="s">
        <v>364</v>
      </c>
      <c r="P202" s="264"/>
      <c r="Q202" s="264"/>
      <c r="R202" s="264"/>
      <c r="S202" s="264"/>
      <c r="T202" s="264" t="s">
        <v>359</v>
      </c>
      <c r="U202" s="264" t="s">
        <v>360</v>
      </c>
      <c r="V202" s="264" t="s">
        <v>361</v>
      </c>
      <c r="W202" s="264" t="s">
        <v>362</v>
      </c>
      <c r="X202" s="264" t="s">
        <v>363</v>
      </c>
      <c r="Y202" s="264" t="s">
        <v>364</v>
      </c>
    </row>
    <row r="203" spans="9:28" ht="20.149999999999999" customHeight="1">
      <c r="I203" s="265" t="s">
        <v>135</v>
      </c>
      <c r="J203" s="264">
        <v>3</v>
      </c>
      <c r="K203" s="264">
        <v>1.8</v>
      </c>
      <c r="L203" s="264">
        <v>1.5</v>
      </c>
      <c r="M203" s="264">
        <v>1</v>
      </c>
      <c r="N203" s="266">
        <v>1</v>
      </c>
      <c r="O203" s="264">
        <v>1</v>
      </c>
      <c r="P203" s="264"/>
      <c r="Q203" s="264" t="str">
        <f>IF($N$201&gt;200,"Y","N")</f>
        <v>N</v>
      </c>
      <c r="R203" s="264" t="str">
        <f t="shared" ref="R203:R214" si="115">IF($L$201=I203,"Y","N")</f>
        <v>Y</v>
      </c>
      <c r="S203" s="264" t="str">
        <f>IF(Q203="Y",IF(R203="Y","Y","N"),"N")</f>
        <v>N</v>
      </c>
      <c r="T203" s="264" t="str">
        <f>IF($S203="Y",J203,"")</f>
        <v/>
      </c>
      <c r="U203" s="264" t="str">
        <f t="shared" ref="U203:U205" si="116">IF($S203="Y",K203,"")</f>
        <v/>
      </c>
      <c r="V203" s="264" t="str">
        <f t="shared" ref="V203:V205" si="117">IF($S203="Y",L203,"")</f>
        <v/>
      </c>
      <c r="W203" s="264" t="str">
        <f t="shared" ref="W203:W205" si="118">IF($S203="Y",M203,"")</f>
        <v/>
      </c>
      <c r="X203" s="264" t="str">
        <f t="shared" ref="X203:X205" si="119">IF($S203="Y",N203,"")</f>
        <v/>
      </c>
      <c r="Y203" s="264" t="str">
        <f t="shared" ref="Y203:Y205" si="120">IF($S203="Y",O203,"")</f>
        <v/>
      </c>
    </row>
    <row r="204" spans="9:28" ht="20.149999999999999" customHeight="1">
      <c r="I204" s="264" t="s">
        <v>134</v>
      </c>
      <c r="J204" s="264">
        <v>3</v>
      </c>
      <c r="K204" s="264">
        <v>1.8</v>
      </c>
      <c r="L204" s="264">
        <v>1.5</v>
      </c>
      <c r="M204" s="264">
        <v>1</v>
      </c>
      <c r="N204" s="266">
        <v>1</v>
      </c>
      <c r="O204" s="264">
        <v>1</v>
      </c>
      <c r="P204" s="264"/>
      <c r="Q204" s="265"/>
      <c r="R204" s="264" t="str">
        <f t="shared" si="115"/>
        <v>N</v>
      </c>
      <c r="S204" s="264" t="str">
        <f>R204</f>
        <v>N</v>
      </c>
      <c r="T204" s="264" t="str">
        <f t="shared" ref="T204:T205" si="121">IF($S204="Y",J204,"")</f>
        <v/>
      </c>
      <c r="U204" s="264" t="str">
        <f t="shared" si="116"/>
        <v/>
      </c>
      <c r="V204" s="264" t="str">
        <f t="shared" si="117"/>
        <v/>
      </c>
      <c r="W204" s="264" t="str">
        <f t="shared" si="118"/>
        <v/>
      </c>
      <c r="X204" s="264" t="str">
        <f t="shared" si="119"/>
        <v/>
      </c>
      <c r="Y204" s="264" t="str">
        <f t="shared" si="120"/>
        <v/>
      </c>
    </row>
    <row r="205" spans="9:28" ht="20.149999999999999" customHeight="1">
      <c r="I205" s="264" t="s">
        <v>299</v>
      </c>
      <c r="J205" s="264">
        <v>3</v>
      </c>
      <c r="K205" s="264">
        <v>1.8</v>
      </c>
      <c r="L205" s="264">
        <v>1.5</v>
      </c>
      <c r="M205" s="264">
        <v>1</v>
      </c>
      <c r="N205" s="266">
        <v>1</v>
      </c>
      <c r="O205" s="264">
        <v>1</v>
      </c>
      <c r="P205" s="264" t="s">
        <v>368</v>
      </c>
      <c r="Q205" s="264" t="str">
        <f>IF($N$201&lt;=200,"Y","N")</f>
        <v>Y</v>
      </c>
      <c r="R205" s="264" t="str">
        <f t="shared" si="115"/>
        <v>N</v>
      </c>
      <c r="S205" s="264" t="str">
        <f>IF(Q205="Y",IF(R205="Y","Y","N"),"N")</f>
        <v>N</v>
      </c>
      <c r="T205" s="264" t="str">
        <f t="shared" si="121"/>
        <v/>
      </c>
      <c r="U205" s="264" t="str">
        <f t="shared" si="116"/>
        <v/>
      </c>
      <c r="V205" s="264" t="str">
        <f t="shared" si="117"/>
        <v/>
      </c>
      <c r="W205" s="264" t="str">
        <f t="shared" si="118"/>
        <v/>
      </c>
      <c r="X205" s="264" t="str">
        <f t="shared" si="119"/>
        <v/>
      </c>
      <c r="Y205" s="264" t="str">
        <f t="shared" si="120"/>
        <v/>
      </c>
    </row>
    <row r="206" spans="9:28" ht="20.149999999999999" customHeight="1">
      <c r="I206" s="265" t="s">
        <v>135</v>
      </c>
      <c r="J206" s="264">
        <v>1.8</v>
      </c>
      <c r="K206" s="264">
        <v>1.2</v>
      </c>
      <c r="L206" s="264">
        <v>1</v>
      </c>
      <c r="M206" s="264">
        <v>0.5</v>
      </c>
      <c r="N206" s="266">
        <v>0.6</v>
      </c>
      <c r="O206" s="264">
        <v>0.6</v>
      </c>
      <c r="P206" s="264" t="s">
        <v>370</v>
      </c>
      <c r="Q206" s="264" t="str">
        <f>IF($N$18&lt;=200,"Y","N")</f>
        <v>Y</v>
      </c>
      <c r="R206" s="264" t="str">
        <f t="shared" si="115"/>
        <v>Y</v>
      </c>
      <c r="S206" s="264" t="str">
        <f t="shared" ref="S206:S219" si="122">IF(Q206="Y",IF(R206="Y","Y","N"),"N")</f>
        <v>Y</v>
      </c>
      <c r="T206" s="264">
        <f>IF($S206="Y",IF(P201&lt;=125,J206,J203),"")</f>
        <v>3</v>
      </c>
      <c r="U206" s="264">
        <f>IF($S206="Y",IF(P201&lt;=125,K206,K203),"")</f>
        <v>1.8</v>
      </c>
      <c r="V206" s="264">
        <f>IF($S206="Y",IF(P201&lt;=125,L206,L203),"")</f>
        <v>1.5</v>
      </c>
      <c r="W206" s="264">
        <f>IF($S206="Y",IF(P201&lt;=125,M206,M203),"")</f>
        <v>1</v>
      </c>
      <c r="X206" s="264">
        <f>IF($S206="Y",IF(P201&lt;=125,N206,N203),"")</f>
        <v>1</v>
      </c>
      <c r="Y206" s="264">
        <f>IF($S206="Y",IF(P201&lt;=125,O206,O203),"")</f>
        <v>1</v>
      </c>
    </row>
    <row r="207" spans="9:28" ht="20.149999999999999" customHeight="1">
      <c r="I207" s="264" t="s">
        <v>299</v>
      </c>
      <c r="J207" s="264">
        <v>1.8</v>
      </c>
      <c r="K207" s="264">
        <v>1.2</v>
      </c>
      <c r="L207" s="264">
        <v>1</v>
      </c>
      <c r="M207" s="264">
        <v>0.5</v>
      </c>
      <c r="N207" s="266">
        <v>0.6</v>
      </c>
      <c r="O207" s="264">
        <v>0.6</v>
      </c>
      <c r="P207" s="264" t="s">
        <v>370</v>
      </c>
      <c r="Q207" s="264" t="str">
        <f>IF($N$165&lt;=200,"Y","N")</f>
        <v>Y</v>
      </c>
      <c r="R207" s="264" t="str">
        <f t="shared" si="115"/>
        <v>N</v>
      </c>
      <c r="S207" s="264" t="str">
        <f t="shared" si="122"/>
        <v>N</v>
      </c>
      <c r="T207" s="264" t="str">
        <f t="shared" ref="T207:T223" si="123">IF($S207="Y",J207,"")</f>
        <v/>
      </c>
      <c r="U207" s="264" t="str">
        <f t="shared" ref="U207:U223" si="124">IF($S207="Y",K207,"")</f>
        <v/>
      </c>
      <c r="V207" s="264" t="str">
        <f t="shared" ref="V207:V223" si="125">IF($S207="Y",L207,"")</f>
        <v/>
      </c>
      <c r="W207" s="264" t="str">
        <f t="shared" ref="W207:W223" si="126">IF($S207="Y",M207,"")</f>
        <v/>
      </c>
      <c r="X207" s="264" t="str">
        <f t="shared" ref="X207:X223" si="127">IF($S207="Y",N207,"")</f>
        <v/>
      </c>
      <c r="Y207" s="264" t="str">
        <f t="shared" ref="Y207:Y223" si="128">IF($S207="Y",O207,"")</f>
        <v/>
      </c>
    </row>
    <row r="208" spans="9:28" ht="20.149999999999999" customHeight="1">
      <c r="I208" s="264" t="s">
        <v>289</v>
      </c>
      <c r="J208" s="264">
        <v>5</v>
      </c>
      <c r="K208" s="264">
        <v>3</v>
      </c>
      <c r="L208" s="264">
        <v>2</v>
      </c>
      <c r="M208" s="264">
        <v>1.5</v>
      </c>
      <c r="N208" s="264">
        <v>2</v>
      </c>
      <c r="O208" s="264">
        <v>1.5</v>
      </c>
      <c r="P208" s="264" t="s">
        <v>436</v>
      </c>
      <c r="Q208" s="264" t="str">
        <f>IF($N$201&lt;500,"Y","N")</f>
        <v>Y</v>
      </c>
      <c r="R208" s="264" t="str">
        <f t="shared" si="115"/>
        <v>N</v>
      </c>
      <c r="S208" s="264" t="str">
        <f t="shared" si="122"/>
        <v>N</v>
      </c>
      <c r="T208" s="264" t="str">
        <f t="shared" si="123"/>
        <v/>
      </c>
      <c r="U208" s="264" t="str">
        <f t="shared" si="124"/>
        <v/>
      </c>
      <c r="V208" s="264" t="str">
        <f t="shared" si="125"/>
        <v/>
      </c>
      <c r="W208" s="264" t="str">
        <f t="shared" si="126"/>
        <v/>
      </c>
      <c r="X208" s="264" t="str">
        <f t="shared" si="127"/>
        <v/>
      </c>
      <c r="Y208" s="264" t="str">
        <f t="shared" si="128"/>
        <v/>
      </c>
    </row>
    <row r="209" spans="9:28" ht="20.149999999999999" customHeight="1">
      <c r="I209" s="264" t="s">
        <v>289</v>
      </c>
      <c r="J209" s="264">
        <v>6</v>
      </c>
      <c r="K209" s="264">
        <v>4.5</v>
      </c>
      <c r="L209" s="264">
        <v>3</v>
      </c>
      <c r="M209" s="264">
        <v>1.5</v>
      </c>
      <c r="N209" s="264">
        <v>2</v>
      </c>
      <c r="O209" s="264">
        <v>1.5</v>
      </c>
      <c r="P209" s="264" t="s">
        <v>437</v>
      </c>
      <c r="Q209" s="264" t="str">
        <f>IF($N$201&gt;=500,"Y","N")</f>
        <v>N</v>
      </c>
      <c r="R209" s="264" t="str">
        <f t="shared" si="115"/>
        <v>N</v>
      </c>
      <c r="S209" s="264" t="str">
        <f t="shared" si="122"/>
        <v>N</v>
      </c>
      <c r="T209" s="264" t="str">
        <f t="shared" si="123"/>
        <v/>
      </c>
      <c r="U209" s="264" t="str">
        <f t="shared" si="124"/>
        <v/>
      </c>
      <c r="V209" s="264" t="str">
        <f t="shared" si="125"/>
        <v/>
      </c>
      <c r="W209" s="264" t="str">
        <f t="shared" si="126"/>
        <v/>
      </c>
      <c r="X209" s="264" t="str">
        <f t="shared" si="127"/>
        <v/>
      </c>
      <c r="Y209" s="264" t="str">
        <f t="shared" si="128"/>
        <v/>
      </c>
    </row>
    <row r="210" spans="9:28" ht="20.149999999999999" customHeight="1">
      <c r="I210" s="264" t="s">
        <v>293</v>
      </c>
      <c r="J210" s="264">
        <v>5</v>
      </c>
      <c r="K210" s="264">
        <v>3</v>
      </c>
      <c r="L210" s="264">
        <v>2</v>
      </c>
      <c r="M210" s="264">
        <v>1.5</v>
      </c>
      <c r="N210" s="264">
        <v>2</v>
      </c>
      <c r="O210" s="264">
        <v>1.5</v>
      </c>
      <c r="P210" s="264" t="s">
        <v>436</v>
      </c>
      <c r="Q210" s="264" t="str">
        <f>IF($N$201&lt;500,"Y","N")</f>
        <v>Y</v>
      </c>
      <c r="R210" s="264" t="str">
        <f t="shared" si="115"/>
        <v>N</v>
      </c>
      <c r="S210" s="264" t="str">
        <f t="shared" si="122"/>
        <v>N</v>
      </c>
      <c r="T210" s="264" t="str">
        <f t="shared" si="123"/>
        <v/>
      </c>
      <c r="U210" s="264" t="str">
        <f t="shared" si="124"/>
        <v/>
      </c>
      <c r="V210" s="264" t="str">
        <f t="shared" si="125"/>
        <v/>
      </c>
      <c r="W210" s="264" t="str">
        <f t="shared" si="126"/>
        <v/>
      </c>
      <c r="X210" s="264" t="str">
        <f t="shared" si="127"/>
        <v/>
      </c>
      <c r="Y210" s="264" t="str">
        <f t="shared" si="128"/>
        <v/>
      </c>
    </row>
    <row r="211" spans="9:28" ht="20.149999999999999" customHeight="1">
      <c r="I211" s="264" t="s">
        <v>293</v>
      </c>
      <c r="J211" s="264">
        <v>6</v>
      </c>
      <c r="K211" s="264">
        <v>4.5</v>
      </c>
      <c r="L211" s="264">
        <v>3</v>
      </c>
      <c r="M211" s="264">
        <v>1.5</v>
      </c>
      <c r="N211" s="264">
        <v>2</v>
      </c>
      <c r="O211" s="264">
        <v>1.5</v>
      </c>
      <c r="P211" s="264" t="s">
        <v>378</v>
      </c>
      <c r="Q211" s="264" t="str">
        <f>IF($N$201&gt;=500,"Y","N")</f>
        <v>N</v>
      </c>
      <c r="R211" s="264" t="str">
        <f t="shared" si="115"/>
        <v>N</v>
      </c>
      <c r="S211" s="264" t="str">
        <f t="shared" si="122"/>
        <v>N</v>
      </c>
      <c r="T211" s="264" t="str">
        <f t="shared" si="123"/>
        <v/>
      </c>
      <c r="U211" s="264" t="str">
        <f t="shared" si="124"/>
        <v/>
      </c>
      <c r="V211" s="264" t="str">
        <f t="shared" si="125"/>
        <v/>
      </c>
      <c r="W211" s="264" t="str">
        <f t="shared" si="126"/>
        <v/>
      </c>
      <c r="X211" s="264" t="str">
        <f t="shared" si="127"/>
        <v/>
      </c>
      <c r="Y211" s="264" t="str">
        <f t="shared" si="128"/>
        <v/>
      </c>
    </row>
    <row r="212" spans="9:28" ht="20.149999999999999" customHeight="1">
      <c r="I212" s="264" t="s">
        <v>297</v>
      </c>
      <c r="J212" s="264">
        <v>5</v>
      </c>
      <c r="K212" s="264">
        <v>3</v>
      </c>
      <c r="L212" s="264">
        <v>2</v>
      </c>
      <c r="M212" s="264">
        <v>1.5</v>
      </c>
      <c r="N212" s="264">
        <v>2</v>
      </c>
      <c r="O212" s="264">
        <v>1.5</v>
      </c>
      <c r="P212" s="264" t="s">
        <v>436</v>
      </c>
      <c r="Q212" s="264" t="str">
        <f>IF($N$201&gt;200,"Y","N")</f>
        <v>N</v>
      </c>
      <c r="R212" s="264" t="str">
        <f t="shared" si="115"/>
        <v>N</v>
      </c>
      <c r="S212" s="264" t="str">
        <f t="shared" si="122"/>
        <v>N</v>
      </c>
      <c r="T212" s="264" t="str">
        <f t="shared" si="123"/>
        <v/>
      </c>
      <c r="U212" s="264" t="str">
        <f t="shared" si="124"/>
        <v/>
      </c>
      <c r="V212" s="264" t="str">
        <f t="shared" si="125"/>
        <v/>
      </c>
      <c r="W212" s="264" t="str">
        <f t="shared" si="126"/>
        <v/>
      </c>
      <c r="X212" s="264" t="str">
        <f t="shared" si="127"/>
        <v/>
      </c>
      <c r="Y212" s="264" t="str">
        <f t="shared" si="128"/>
        <v/>
      </c>
    </row>
    <row r="213" spans="9:28" ht="20.149999999999999" customHeight="1">
      <c r="I213" s="264" t="s">
        <v>297</v>
      </c>
      <c r="J213" s="264">
        <v>6</v>
      </c>
      <c r="K213" s="264">
        <v>4.5</v>
      </c>
      <c r="L213" s="264">
        <v>3</v>
      </c>
      <c r="M213" s="264">
        <v>1.5</v>
      </c>
      <c r="N213" s="264">
        <v>2</v>
      </c>
      <c r="O213" s="264">
        <v>1.5</v>
      </c>
      <c r="P213" s="264" t="s">
        <v>438</v>
      </c>
      <c r="Q213" s="264" t="str">
        <f>IF($N$201&gt;=500,"Y","N")</f>
        <v>N</v>
      </c>
      <c r="R213" s="264" t="str">
        <f t="shared" si="115"/>
        <v>N</v>
      </c>
      <c r="S213" s="264" t="str">
        <f t="shared" si="122"/>
        <v>N</v>
      </c>
      <c r="T213" s="264" t="str">
        <f t="shared" si="123"/>
        <v/>
      </c>
      <c r="U213" s="264" t="str">
        <f t="shared" si="124"/>
        <v/>
      </c>
      <c r="V213" s="264" t="str">
        <f t="shared" si="125"/>
        <v/>
      </c>
      <c r="W213" s="264" t="str">
        <f t="shared" si="126"/>
        <v/>
      </c>
      <c r="X213" s="264" t="str">
        <f t="shared" si="127"/>
        <v/>
      </c>
      <c r="Y213" s="264" t="str">
        <f t="shared" si="128"/>
        <v/>
      </c>
    </row>
    <row r="214" spans="9:28" ht="20.149999999999999" customHeight="1">
      <c r="I214" s="264" t="s">
        <v>295</v>
      </c>
      <c r="J214" s="264">
        <v>6</v>
      </c>
      <c r="K214" s="264">
        <v>4.5</v>
      </c>
      <c r="L214" s="264">
        <v>2</v>
      </c>
      <c r="M214" s="264">
        <v>1.5</v>
      </c>
      <c r="N214" s="264">
        <v>2</v>
      </c>
      <c r="O214" s="264">
        <v>1.5</v>
      </c>
      <c r="P214" s="264" t="s">
        <v>436</v>
      </c>
      <c r="Q214" s="264" t="str">
        <f>IF($N$201&lt;500,"Y","N")</f>
        <v>Y</v>
      </c>
      <c r="R214" s="264" t="str">
        <f t="shared" si="115"/>
        <v>N</v>
      </c>
      <c r="S214" s="264" t="str">
        <f t="shared" si="122"/>
        <v>N</v>
      </c>
      <c r="T214" s="264" t="str">
        <f t="shared" si="123"/>
        <v/>
      </c>
      <c r="U214" s="264" t="str">
        <f t="shared" si="124"/>
        <v/>
      </c>
      <c r="V214" s="264" t="str">
        <f t="shared" si="125"/>
        <v/>
      </c>
      <c r="W214" s="264" t="str">
        <f t="shared" si="126"/>
        <v/>
      </c>
      <c r="X214" s="264" t="str">
        <f t="shared" si="127"/>
        <v/>
      </c>
      <c r="Y214" s="264" t="str">
        <f t="shared" si="128"/>
        <v/>
      </c>
    </row>
    <row r="215" spans="9:28" ht="20.149999999999999" customHeight="1">
      <c r="I215" s="264" t="s">
        <v>295</v>
      </c>
      <c r="J215" s="264">
        <v>7.5</v>
      </c>
      <c r="K215" s="264">
        <v>5</v>
      </c>
      <c r="L215" s="264">
        <v>3</v>
      </c>
      <c r="M215" s="264">
        <v>1.5</v>
      </c>
      <c r="N215" s="264">
        <v>4</v>
      </c>
      <c r="O215" s="264">
        <v>1.5</v>
      </c>
      <c r="P215" s="264" t="s">
        <v>439</v>
      </c>
      <c r="Q215" s="265" t="str">
        <f>IF($N$201&lt;800,IF($N$165&gt;500,"Y","N"),"N")</f>
        <v>N</v>
      </c>
      <c r="R215" s="264" t="str">
        <f>IF($L$1201=I215,"Y","N")</f>
        <v>N</v>
      </c>
      <c r="S215" s="264" t="str">
        <f t="shared" si="122"/>
        <v>N</v>
      </c>
      <c r="T215" s="264" t="str">
        <f t="shared" si="123"/>
        <v/>
      </c>
      <c r="U215" s="264" t="str">
        <f t="shared" si="124"/>
        <v/>
      </c>
      <c r="V215" s="264" t="str">
        <f t="shared" si="125"/>
        <v/>
      </c>
      <c r="W215" s="264" t="str">
        <f t="shared" si="126"/>
        <v/>
      </c>
      <c r="X215" s="264" t="str">
        <f t="shared" si="127"/>
        <v/>
      </c>
      <c r="Y215" s="264" t="str">
        <f t="shared" si="128"/>
        <v/>
      </c>
    </row>
    <row r="216" spans="9:28" ht="20.149999999999999" customHeight="1">
      <c r="I216" s="264" t="s">
        <v>295</v>
      </c>
      <c r="J216" s="264">
        <v>10.5</v>
      </c>
      <c r="K216" s="264">
        <v>6</v>
      </c>
      <c r="L216" s="264">
        <v>3</v>
      </c>
      <c r="M216" s="264">
        <v>1.5</v>
      </c>
      <c r="N216" s="264">
        <v>5</v>
      </c>
      <c r="O216" s="264">
        <v>1.5</v>
      </c>
      <c r="P216" s="264" t="s">
        <v>385</v>
      </c>
      <c r="Q216" s="264" t="str">
        <f>IF($N$201&gt;800,"Y","N")</f>
        <v>N</v>
      </c>
      <c r="R216" s="264" t="str">
        <f>IF($L$1201=I216,"Y","N")</f>
        <v>N</v>
      </c>
      <c r="S216" s="264" t="str">
        <f t="shared" si="122"/>
        <v>N</v>
      </c>
      <c r="T216" s="264" t="str">
        <f t="shared" si="123"/>
        <v/>
      </c>
      <c r="U216" s="264" t="str">
        <f t="shared" si="124"/>
        <v/>
      </c>
      <c r="V216" s="264" t="str">
        <f t="shared" si="125"/>
        <v/>
      </c>
      <c r="W216" s="264" t="str">
        <f t="shared" si="126"/>
        <v/>
      </c>
      <c r="X216" s="264" t="str">
        <f t="shared" si="127"/>
        <v/>
      </c>
      <c r="Y216" s="264" t="str">
        <f t="shared" si="128"/>
        <v/>
      </c>
    </row>
    <row r="217" spans="9:28" ht="20.149999999999999" customHeight="1">
      <c r="I217" s="264" t="s">
        <v>299</v>
      </c>
      <c r="J217" s="264">
        <v>3</v>
      </c>
      <c r="K217" s="264">
        <v>3</v>
      </c>
      <c r="L217" s="264">
        <v>1.5</v>
      </c>
      <c r="M217" s="264">
        <v>1.5</v>
      </c>
      <c r="N217" s="264">
        <v>1</v>
      </c>
      <c r="O217" s="264">
        <v>1</v>
      </c>
      <c r="P217" s="264" t="s">
        <v>373</v>
      </c>
      <c r="Q217" s="264" t="str">
        <f>IF($N$201&gt;200,"Y","N")</f>
        <v>N</v>
      </c>
      <c r="R217" s="264" t="str">
        <f>IF($L$1201=I217,"Y","N")</f>
        <v>N</v>
      </c>
      <c r="S217" s="264" t="str">
        <f t="shared" si="122"/>
        <v>N</v>
      </c>
      <c r="T217" s="264" t="str">
        <f t="shared" si="123"/>
        <v/>
      </c>
      <c r="U217" s="264" t="str">
        <f t="shared" si="124"/>
        <v/>
      </c>
      <c r="V217" s="264" t="str">
        <f t="shared" si="125"/>
        <v/>
      </c>
      <c r="W217" s="264" t="str">
        <f t="shared" si="126"/>
        <v/>
      </c>
      <c r="X217" s="264" t="str">
        <f t="shared" si="127"/>
        <v/>
      </c>
      <c r="Y217" s="264" t="str">
        <f t="shared" si="128"/>
        <v/>
      </c>
    </row>
    <row r="218" spans="9:28" ht="20.149999999999999" customHeight="1">
      <c r="I218" s="264" t="s">
        <v>301</v>
      </c>
      <c r="J218" s="266">
        <v>3</v>
      </c>
      <c r="K218" s="264">
        <v>3</v>
      </c>
      <c r="L218" s="266">
        <v>2</v>
      </c>
      <c r="M218" s="264">
        <v>2</v>
      </c>
      <c r="N218" s="266">
        <v>2</v>
      </c>
      <c r="O218" s="264">
        <v>2</v>
      </c>
      <c r="P218" s="264" t="s">
        <v>388</v>
      </c>
      <c r="Q218" s="264" t="str">
        <f>IF($N$201&lt;200,"Y","N")</f>
        <v>Y</v>
      </c>
      <c r="R218" s="264" t="str">
        <f t="shared" ref="R218:R223" si="129">IF($L$201=I218,"Y","N")</f>
        <v>N</v>
      </c>
      <c r="S218" s="264" t="str">
        <f t="shared" si="122"/>
        <v>N</v>
      </c>
      <c r="T218" s="264" t="str">
        <f t="shared" si="123"/>
        <v/>
      </c>
      <c r="U218" s="264" t="str">
        <f t="shared" si="124"/>
        <v/>
      </c>
      <c r="V218" s="264" t="str">
        <f t="shared" si="125"/>
        <v/>
      </c>
      <c r="W218" s="264" t="str">
        <f t="shared" si="126"/>
        <v/>
      </c>
      <c r="X218" s="264" t="str">
        <f t="shared" si="127"/>
        <v/>
      </c>
      <c r="Y218" s="264" t="str">
        <f t="shared" si="128"/>
        <v/>
      </c>
    </row>
    <row r="219" spans="9:28" ht="20.149999999999999" customHeight="1">
      <c r="I219" s="264" t="s">
        <v>301</v>
      </c>
      <c r="J219" s="266">
        <v>3</v>
      </c>
      <c r="K219" s="264">
        <v>3</v>
      </c>
      <c r="L219" s="266">
        <v>3</v>
      </c>
      <c r="M219" s="264">
        <v>3</v>
      </c>
      <c r="N219" s="266">
        <v>3</v>
      </c>
      <c r="O219" s="264">
        <v>3</v>
      </c>
      <c r="P219" s="264" t="s">
        <v>373</v>
      </c>
      <c r="Q219" s="264" t="str">
        <f>IF($N$201&gt;200,"Y","N")</f>
        <v>N</v>
      </c>
      <c r="R219" s="264" t="str">
        <f t="shared" si="129"/>
        <v>N</v>
      </c>
      <c r="S219" s="264" t="str">
        <f t="shared" si="122"/>
        <v>N</v>
      </c>
      <c r="T219" s="264" t="str">
        <f t="shared" si="123"/>
        <v/>
      </c>
      <c r="U219" s="264" t="str">
        <f t="shared" si="124"/>
        <v/>
      </c>
      <c r="V219" s="264" t="str">
        <f t="shared" si="125"/>
        <v/>
      </c>
      <c r="W219" s="264" t="str">
        <f t="shared" si="126"/>
        <v/>
      </c>
      <c r="X219" s="264" t="str">
        <f t="shared" si="127"/>
        <v/>
      </c>
      <c r="Y219" s="264" t="str">
        <f t="shared" si="128"/>
        <v/>
      </c>
    </row>
    <row r="220" spans="9:28" ht="20.149999999999999" customHeight="1">
      <c r="I220" s="264" t="s">
        <v>303</v>
      </c>
      <c r="J220" s="266">
        <v>5</v>
      </c>
      <c r="K220" s="264">
        <v>5</v>
      </c>
      <c r="L220" s="266">
        <v>5</v>
      </c>
      <c r="M220" s="264">
        <v>5</v>
      </c>
      <c r="N220" s="266">
        <v>3</v>
      </c>
      <c r="O220" s="264">
        <v>3</v>
      </c>
      <c r="P220" s="264"/>
      <c r="Q220" s="264"/>
      <c r="R220" s="264" t="str">
        <f t="shared" si="129"/>
        <v>N</v>
      </c>
      <c r="S220" s="264" t="str">
        <f>R220</f>
        <v>N</v>
      </c>
      <c r="T220" s="264" t="str">
        <f t="shared" si="123"/>
        <v/>
      </c>
      <c r="U220" s="264" t="str">
        <f t="shared" si="124"/>
        <v/>
      </c>
      <c r="V220" s="264" t="str">
        <f t="shared" si="125"/>
        <v/>
      </c>
      <c r="W220" s="264" t="str">
        <f t="shared" si="126"/>
        <v/>
      </c>
      <c r="X220" s="264" t="str">
        <f t="shared" si="127"/>
        <v/>
      </c>
      <c r="Y220" s="264" t="str">
        <f t="shared" si="128"/>
        <v/>
      </c>
    </row>
    <row r="221" spans="9:28" ht="20.149999999999999" customHeight="1">
      <c r="I221" s="264" t="s">
        <v>305</v>
      </c>
      <c r="J221" s="266">
        <v>6</v>
      </c>
      <c r="K221" s="264">
        <v>6</v>
      </c>
      <c r="L221" s="266">
        <v>3</v>
      </c>
      <c r="M221" s="264">
        <v>3</v>
      </c>
      <c r="N221" s="266">
        <v>2</v>
      </c>
      <c r="O221" s="264">
        <v>2</v>
      </c>
      <c r="P221" s="264"/>
      <c r="Q221" s="264"/>
      <c r="R221" s="264" t="str">
        <f t="shared" si="129"/>
        <v>N</v>
      </c>
      <c r="S221" s="264" t="str">
        <f>R221</f>
        <v>N</v>
      </c>
      <c r="T221" s="264" t="str">
        <f t="shared" si="123"/>
        <v/>
      </c>
      <c r="U221" s="264" t="str">
        <f t="shared" si="124"/>
        <v/>
      </c>
      <c r="V221" s="264" t="str">
        <f t="shared" si="125"/>
        <v/>
      </c>
      <c r="W221" s="264" t="str">
        <f t="shared" si="126"/>
        <v/>
      </c>
      <c r="X221" s="264" t="str">
        <f t="shared" si="127"/>
        <v/>
      </c>
      <c r="Y221" s="264" t="str">
        <f t="shared" si="128"/>
        <v/>
      </c>
    </row>
    <row r="222" spans="9:28" ht="20.149999999999999" customHeight="1">
      <c r="I222" s="264" t="s">
        <v>307</v>
      </c>
      <c r="J222" s="266">
        <v>7.5</v>
      </c>
      <c r="K222" s="264">
        <v>7.5</v>
      </c>
      <c r="L222" s="266">
        <v>7.5</v>
      </c>
      <c r="M222" s="264">
        <v>7.5</v>
      </c>
      <c r="N222" s="266">
        <v>7.5</v>
      </c>
      <c r="O222" s="264">
        <v>7.5</v>
      </c>
      <c r="P222" s="264" t="s">
        <v>393</v>
      </c>
      <c r="Q222" s="264" t="str">
        <f>IF($N$201&gt;300,"Y","N")</f>
        <v>N</v>
      </c>
      <c r="R222" s="264" t="str">
        <f t="shared" si="129"/>
        <v>N</v>
      </c>
      <c r="S222" s="264" t="str">
        <f t="shared" ref="S222" si="130">IF(Q222="Y",IF(R222="Y","Y","N"),"N")</f>
        <v>N</v>
      </c>
      <c r="T222" s="264" t="str">
        <f t="shared" si="123"/>
        <v/>
      </c>
      <c r="U222" s="264" t="str">
        <f t="shared" si="124"/>
        <v/>
      </c>
      <c r="V222" s="264" t="str">
        <f t="shared" si="125"/>
        <v/>
      </c>
      <c r="W222" s="264" t="str">
        <f t="shared" si="126"/>
        <v/>
      </c>
      <c r="X222" s="264" t="str">
        <f t="shared" si="127"/>
        <v/>
      </c>
      <c r="Y222" s="264" t="str">
        <f t="shared" si="128"/>
        <v/>
      </c>
    </row>
    <row r="223" spans="9:28" ht="20.149999999999999" customHeight="1">
      <c r="I223" s="264" t="s">
        <v>309</v>
      </c>
      <c r="J223" s="266">
        <v>10.5</v>
      </c>
      <c r="K223" s="264">
        <v>10.5</v>
      </c>
      <c r="L223" s="266">
        <v>5</v>
      </c>
      <c r="M223" s="264">
        <v>5</v>
      </c>
      <c r="N223" s="266">
        <v>5</v>
      </c>
      <c r="O223" s="264">
        <v>5</v>
      </c>
      <c r="P223" s="264"/>
      <c r="Q223" s="264"/>
      <c r="R223" s="264" t="str">
        <f t="shared" si="129"/>
        <v>N</v>
      </c>
      <c r="S223" s="264" t="str">
        <f>R223</f>
        <v>N</v>
      </c>
      <c r="T223" s="264" t="str">
        <f t="shared" si="123"/>
        <v/>
      </c>
      <c r="U223" s="264" t="str">
        <f t="shared" si="124"/>
        <v/>
      </c>
      <c r="V223" s="264" t="str">
        <f t="shared" si="125"/>
        <v/>
      </c>
      <c r="W223" s="264" t="str">
        <f t="shared" si="126"/>
        <v/>
      </c>
      <c r="X223" s="264" t="str">
        <f t="shared" si="127"/>
        <v/>
      </c>
      <c r="Y223" s="264" t="str">
        <f t="shared" si="128"/>
        <v/>
      </c>
    </row>
    <row r="224" spans="9:28" ht="20.149999999999999" customHeight="1">
      <c r="I224" s="264"/>
      <c r="J224" s="264"/>
      <c r="K224" s="264"/>
      <c r="L224" s="264"/>
      <c r="M224" s="264"/>
      <c r="N224" s="264"/>
      <c r="O224" s="264"/>
      <c r="P224" s="264"/>
      <c r="Q224" s="264"/>
      <c r="R224" s="264"/>
      <c r="S224" s="269"/>
      <c r="T224" s="270">
        <f t="shared" ref="T224:Y224" si="131">SUM(T203:T223)</f>
        <v>3</v>
      </c>
      <c r="U224" s="271">
        <f t="shared" si="131"/>
        <v>1.8</v>
      </c>
      <c r="V224" s="271">
        <f t="shared" si="131"/>
        <v>1.5</v>
      </c>
      <c r="W224" s="271">
        <f t="shared" si="131"/>
        <v>1</v>
      </c>
      <c r="X224" s="271">
        <f t="shared" si="131"/>
        <v>1</v>
      </c>
      <c r="Y224" s="271">
        <f t="shared" si="131"/>
        <v>1</v>
      </c>
      <c r="Z224" s="288">
        <f>X224</f>
        <v>1</v>
      </c>
      <c r="AA224" s="289">
        <f>Y224</f>
        <v>1</v>
      </c>
      <c r="AB224" s="290"/>
    </row>
    <row r="225" spans="9:28" ht="20.149999999999999" customHeight="1">
      <c r="I225" s="264"/>
      <c r="J225" s="264"/>
      <c r="K225" s="264"/>
      <c r="L225" s="264"/>
      <c r="M225" s="264"/>
      <c r="N225" s="264"/>
      <c r="O225" s="264"/>
      <c r="P225" s="267"/>
      <c r="Q225" s="267"/>
      <c r="R225" s="267"/>
      <c r="S225" s="272"/>
      <c r="T225" s="273" t="s">
        <v>397</v>
      </c>
      <c r="U225" s="264" t="s">
        <v>398</v>
      </c>
      <c r="V225" s="264" t="s">
        <v>399</v>
      </c>
      <c r="W225" s="264" t="s">
        <v>400</v>
      </c>
      <c r="X225" s="264" t="s">
        <v>401</v>
      </c>
      <c r="Y225" s="264" t="s">
        <v>402</v>
      </c>
      <c r="Z225" s="275" t="s">
        <v>403</v>
      </c>
      <c r="AA225" s="291" t="s">
        <v>404</v>
      </c>
      <c r="AB225" s="290"/>
    </row>
    <row r="226" spans="9:28" ht="20.149999999999999" customHeight="1">
      <c r="P226" s="268"/>
      <c r="Q226" s="268"/>
      <c r="R226" s="245" t="s">
        <v>128</v>
      </c>
      <c r="S226" s="245" t="s">
        <v>129</v>
      </c>
      <c r="T226" s="274">
        <f>(S227+S228)*0.5</f>
        <v>0</v>
      </c>
      <c r="U226" s="275">
        <f>S228</f>
        <v>0</v>
      </c>
      <c r="V226" s="275">
        <f>(S229+S230)*0.5</f>
        <v>0</v>
      </c>
      <c r="W226" s="275">
        <f>S230</f>
        <v>0</v>
      </c>
      <c r="X226" s="275">
        <f>(S231+S232)*0.5</f>
        <v>0</v>
      </c>
      <c r="Y226" s="275">
        <f>S232</f>
        <v>0</v>
      </c>
      <c r="Z226" s="275">
        <f>(S233+S234)*0.5</f>
        <v>0</v>
      </c>
      <c r="AA226" s="291">
        <f>S234</f>
        <v>0</v>
      </c>
      <c r="AB226" s="474" t="s">
        <v>441</v>
      </c>
    </row>
    <row r="227" spans="9:28" ht="20.149999999999999" customHeight="1">
      <c r="P227" s="249"/>
      <c r="Q227" s="276" t="s">
        <v>149</v>
      </c>
      <c r="S227" s="277">
        <f>MaGic_Avm_Building!D20</f>
        <v>0</v>
      </c>
      <c r="T227" s="278" t="str">
        <f>IF(T226&lt;T224,"1","0")</f>
        <v>1</v>
      </c>
      <c r="U227" s="279" t="str">
        <f t="shared" ref="U227" si="132">IF(U226&lt;U224,"1","0")</f>
        <v>1</v>
      </c>
      <c r="V227" s="279" t="str">
        <f t="shared" ref="V227" si="133">IF(V226&lt;V224,"1","0")</f>
        <v>1</v>
      </c>
      <c r="W227" s="279" t="str">
        <f t="shared" ref="W227" si="134">IF(W226&lt;W224,"1","0")</f>
        <v>1</v>
      </c>
      <c r="X227" s="279" t="str">
        <f t="shared" ref="X227" si="135">IF(X226&lt;X224,"1","0")</f>
        <v>1</v>
      </c>
      <c r="Y227" s="279" t="str">
        <f t="shared" ref="Y227" si="136">IF(Y226&lt;Y224,"1","0")</f>
        <v>1</v>
      </c>
      <c r="Z227" s="279" t="str">
        <f t="shared" ref="Z227" si="137">IF(Z226&lt;Z224,"1","0")</f>
        <v>1</v>
      </c>
      <c r="AA227" s="292" t="str">
        <f t="shared" ref="AA227" si="138">IF(AA226&lt;AA224,"1","0")</f>
        <v>1</v>
      </c>
      <c r="AB227" s="474"/>
    </row>
    <row r="228" spans="9:28" ht="20.149999999999999" customHeight="1">
      <c r="P228" s="249"/>
      <c r="Q228" s="276" t="s">
        <v>150</v>
      </c>
      <c r="S228" s="277">
        <f>MaGic_Avm_Building!D21</f>
        <v>0</v>
      </c>
      <c r="T228" s="478" t="str">
        <f>CONCATENATE("The ",T225," yard required is ",T224," m, whereas at the site it is only ",T226," m.")</f>
        <v>The Average Front yard required is 3 m, whereas at the site it is only 0 m.</v>
      </c>
      <c r="U228" s="470" t="str">
        <f t="shared" ref="U228:AA228" si="139">CONCATENATE("The ",U225," yard required is ",U224," m, whereas at the site it is only ",U226," m.")</f>
        <v>The Minimum Front yard required is 1.8 m, whereas at the site it is only 0 m.</v>
      </c>
      <c r="V228" s="470" t="str">
        <f t="shared" si="139"/>
        <v>The Average Rear yard required is 1.5 m, whereas at the site it is only 0 m.</v>
      </c>
      <c r="W228" s="470" t="str">
        <f t="shared" si="139"/>
        <v>The Minimum Rear yard required is 1 m, whereas at the site it is only 0 m.</v>
      </c>
      <c r="X228" s="470" t="str">
        <f t="shared" si="139"/>
        <v>The Average Side-1 yard required is 1 m, whereas at the site it is only 0 m.</v>
      </c>
      <c r="Y228" s="470" t="str">
        <f t="shared" si="139"/>
        <v>The Minimum Side-1 yard required is 1 m, whereas at the site it is only 0 m.</v>
      </c>
      <c r="Z228" s="470" t="str">
        <f t="shared" si="139"/>
        <v>The Average Side-2 yard required is 1 m, whereas at the site it is only 0 m.</v>
      </c>
      <c r="AA228" s="468" t="str">
        <f t="shared" si="139"/>
        <v>The Minimum Side-2 yard required is 1 m, whereas at the site it is only 0 m.</v>
      </c>
    </row>
    <row r="229" spans="9:28" ht="20.149999999999999" customHeight="1">
      <c r="P229" s="249"/>
      <c r="Q229" s="276" t="s">
        <v>151</v>
      </c>
      <c r="S229" s="277">
        <f>MaGic_Avm_Building!D22</f>
        <v>0</v>
      </c>
      <c r="T229" s="479"/>
      <c r="U229" s="471"/>
      <c r="V229" s="471"/>
      <c r="W229" s="471"/>
      <c r="X229" s="471"/>
      <c r="Y229" s="471"/>
      <c r="Z229" s="471"/>
      <c r="AA229" s="469"/>
    </row>
    <row r="230" spans="9:28" ht="20.149999999999999" customHeight="1">
      <c r="P230" s="249"/>
      <c r="Q230" s="276" t="s">
        <v>150</v>
      </c>
      <c r="S230" s="277">
        <f>MaGic_Avm_Building!D23</f>
        <v>0</v>
      </c>
      <c r="T230" s="479"/>
      <c r="U230" s="471"/>
      <c r="V230" s="471"/>
      <c r="W230" s="471"/>
      <c r="X230" s="471"/>
      <c r="Y230" s="471"/>
      <c r="Z230" s="471"/>
      <c r="AA230" s="469"/>
    </row>
    <row r="231" spans="9:28" ht="20.149999999999999" customHeight="1">
      <c r="P231" s="249"/>
      <c r="Q231" s="276" t="s">
        <v>152</v>
      </c>
      <c r="S231" s="277">
        <f>MaGic_Avm_Building!D24</f>
        <v>0</v>
      </c>
      <c r="T231" s="479"/>
      <c r="U231" s="471"/>
      <c r="V231" s="471"/>
      <c r="W231" s="471"/>
      <c r="X231" s="471"/>
      <c r="Y231" s="471"/>
      <c r="Z231" s="471"/>
      <c r="AA231" s="469"/>
    </row>
    <row r="232" spans="9:28" ht="20.149999999999999" customHeight="1">
      <c r="P232" s="249"/>
      <c r="Q232" s="276" t="s">
        <v>150</v>
      </c>
      <c r="S232" s="277">
        <f>MaGic_Avm_Building!D25</f>
        <v>0</v>
      </c>
      <c r="T232" s="479"/>
      <c r="U232" s="471"/>
      <c r="V232" s="471"/>
      <c r="W232" s="471"/>
      <c r="X232" s="471"/>
      <c r="Y232" s="471"/>
      <c r="Z232" s="471"/>
      <c r="AA232" s="469"/>
    </row>
    <row r="233" spans="9:28" ht="20.149999999999999" customHeight="1">
      <c r="P233" s="249"/>
      <c r="Q233" s="276" t="s">
        <v>153</v>
      </c>
      <c r="S233" s="277">
        <f>MaGic_Avm_Building!D26</f>
        <v>0</v>
      </c>
      <c r="T233" s="294" t="str">
        <f>IF(T227="1",T228,"")</f>
        <v>The Average Front yard required is 3 m, whereas at the site it is only 0 m.</v>
      </c>
      <c r="U233" s="281" t="str">
        <f t="shared" ref="U233:AA233" si="140">IF(U227="1",U228,"")</f>
        <v>The Minimum Front yard required is 1.8 m, whereas at the site it is only 0 m.</v>
      </c>
      <c r="V233" s="281" t="str">
        <f t="shared" si="140"/>
        <v>The Average Rear yard required is 1.5 m, whereas at the site it is only 0 m.</v>
      </c>
      <c r="W233" s="281" t="str">
        <f t="shared" si="140"/>
        <v>The Minimum Rear yard required is 1 m, whereas at the site it is only 0 m.</v>
      </c>
      <c r="X233" s="281" t="str">
        <f t="shared" si="140"/>
        <v>The Average Side-1 yard required is 1 m, whereas at the site it is only 0 m.</v>
      </c>
      <c r="Y233" s="281" t="str">
        <f t="shared" si="140"/>
        <v>The Minimum Side-1 yard required is 1 m, whereas at the site it is only 0 m.</v>
      </c>
      <c r="Z233" s="281" t="str">
        <f t="shared" si="140"/>
        <v>The Average Side-2 yard required is 1 m, whereas at the site it is only 0 m.</v>
      </c>
      <c r="AA233" s="281" t="str">
        <f t="shared" si="140"/>
        <v>The Minimum Side-2 yard required is 1 m, whereas at the site it is only 0 m.</v>
      </c>
      <c r="AB233" s="19" t="str">
        <f>_xlfn.TEXTJOIN(",",TRUE,T233:AA233)</f>
        <v>The Average Front yard required is 3 m, whereas at the site it is only 0 m.,The Minimum Front yard required is 1.8 m, whereas at the site it is only 0 m.,The Average Rear yard required is 1.5 m, whereas at the site it is only 0 m.,The Minimum Rear yard required is 1 m, whereas at the site it is only 0 m.,The Average Side-1 yard required is 1 m, whereas at the site it is only 0 m.,The Minimum Side-1 yard required is 1 m, whereas at the site it is only 0 m.,The Average Side-2 yard required is 1 m, whereas at the site it is only 0 m.,The Minimum Side-2 yard required is 1 m, whereas at the site it is only 0 m.</v>
      </c>
    </row>
    <row r="234" spans="9:28" ht="20.149999999999999" customHeight="1">
      <c r="P234" s="250"/>
      <c r="Q234" s="282" t="s">
        <v>150</v>
      </c>
      <c r="S234" s="277">
        <f>MaGic_Avm_Building!D27</f>
        <v>0</v>
      </c>
      <c r="T234" s="284" t="s">
        <v>415</v>
      </c>
      <c r="U234" s="285">
        <f>T227+U227+V227+W227+X227+Y227+Z227+AA227</f>
        <v>8</v>
      </c>
      <c r="V234" s="472" t="str">
        <f>IF(U234&gt;0,CONCATENATE(AB226,AB233),"")</f>
        <v>The setbacks of Building-2 are in violation of the Kerala Municipality Building Rules, 2019 (as amended on 24/09/2020). The Average Front yard required is 3 m, whereas at the site it is only 0 m.,The Minimum Front yard required is 1.8 m, whereas at the site it is only 0 m.,The Average Rear yard required is 1.5 m, whereas at the site it is only 0 m.,The Minimum Rear yard required is 1 m, whereas at the site it is only 0 m.,The Average Side-1 yard required is 1 m, whereas at the site it is only 0 m.,The Minimum Side-1 yard required is 1 m, whereas at the site it is only 0 m.,The Average Side-2 yard required is 1 m, whereas at the site it is only 0 m.,The Minimum Side-2 yard required is 1 m, whereas at the site it is only 0 m.</v>
      </c>
      <c r="W234" s="472"/>
      <c r="X234" s="472"/>
      <c r="Y234" s="472"/>
      <c r="Z234" s="472"/>
      <c r="AA234" s="473"/>
    </row>
    <row r="235" spans="9:28" ht="20.149999999999999" customHeight="1">
      <c r="R235" s="69" t="s">
        <v>435</v>
      </c>
      <c r="S235" s="69">
        <f>SUM(S227:S234)</f>
        <v>0</v>
      </c>
      <c r="T235" s="286" t="str">
        <f>T199</f>
        <v>Grama Panchayat</v>
      </c>
      <c r="U235" s="19" t="str">
        <f>IF(T235="Grama Panchayat","",V234)</f>
        <v/>
      </c>
      <c r="V235" s="476" t="str">
        <f>IF(S235=0,"",U235)</f>
        <v/>
      </c>
      <c r="W235" s="476"/>
      <c r="X235" s="476"/>
      <c r="Y235" s="476"/>
      <c r="Z235" s="476"/>
      <c r="AA235" s="476"/>
    </row>
    <row r="236" spans="9:28" ht="20.149999999999999" customHeight="1">
      <c r="T236" s="69" t="s">
        <v>113</v>
      </c>
    </row>
    <row r="239" spans="9:28" ht="20.149999999999999" customHeight="1">
      <c r="M239" s="477" t="s">
        <v>442</v>
      </c>
      <c r="N239" s="477"/>
      <c r="O239" s="477"/>
      <c r="P239" s="467" t="str">
        <f>_xlfn.TEXTJOIN(",",TRUE,V126,V163,V199,V235)</f>
        <v/>
      </c>
      <c r="Q239" s="467"/>
      <c r="R239" s="467"/>
      <c r="S239" s="467"/>
      <c r="T239" s="467"/>
      <c r="U239" s="467"/>
      <c r="V239" s="467"/>
      <c r="W239" s="467"/>
      <c r="X239" s="467"/>
      <c r="Y239" s="467"/>
      <c r="Z239" s="467"/>
      <c r="AA239" s="467"/>
    </row>
    <row r="240" spans="9:28" ht="20.149999999999999" customHeight="1">
      <c r="P240" s="467"/>
      <c r="Q240" s="467"/>
      <c r="R240" s="467"/>
      <c r="S240" s="467"/>
      <c r="T240" s="467"/>
      <c r="U240" s="467"/>
      <c r="V240" s="467"/>
      <c r="W240" s="467"/>
      <c r="X240" s="467"/>
      <c r="Y240" s="467"/>
      <c r="Z240" s="467"/>
      <c r="AA240" s="467"/>
    </row>
    <row r="241" spans="16:27" ht="20.149999999999999" customHeight="1">
      <c r="P241" s="467"/>
      <c r="Q241" s="467"/>
      <c r="R241" s="467"/>
      <c r="S241" s="467"/>
      <c r="T241" s="467"/>
      <c r="U241" s="467"/>
      <c r="V241" s="467"/>
      <c r="W241" s="467"/>
      <c r="X241" s="467"/>
      <c r="Y241" s="467"/>
      <c r="Z241" s="467"/>
      <c r="AA241" s="467"/>
    </row>
    <row r="242" spans="16:27" ht="20.149999999999999" customHeight="1">
      <c r="P242" s="467"/>
      <c r="Q242" s="467"/>
      <c r="R242" s="467"/>
      <c r="S242" s="467"/>
      <c r="T242" s="467"/>
      <c r="U242" s="467"/>
      <c r="V242" s="467"/>
      <c r="W242" s="467"/>
      <c r="X242" s="467"/>
      <c r="Y242" s="467"/>
      <c r="Z242" s="467"/>
      <c r="AA242" s="467"/>
    </row>
    <row r="243" spans="16:27" ht="20.149999999999999" customHeight="1">
      <c r="P243" s="467"/>
      <c r="Q243" s="467"/>
      <c r="R243" s="467"/>
      <c r="S243" s="467"/>
      <c r="T243" s="467"/>
      <c r="U243" s="467"/>
      <c r="V243" s="467"/>
      <c r="W243" s="467"/>
      <c r="X243" s="467"/>
      <c r="Y243" s="467"/>
      <c r="Z243" s="467"/>
      <c r="AA243" s="467"/>
    </row>
    <row r="244" spans="16:27" ht="20.149999999999999" customHeight="1">
      <c r="P244" s="467"/>
      <c r="Q244" s="467"/>
      <c r="R244" s="467"/>
      <c r="S244" s="467"/>
      <c r="T244" s="467"/>
      <c r="U244" s="467"/>
      <c r="V244" s="467"/>
      <c r="W244" s="467"/>
      <c r="X244" s="467"/>
      <c r="Y244" s="467"/>
      <c r="Z244" s="467"/>
      <c r="AA244" s="467"/>
    </row>
    <row r="245" spans="16:27" ht="20.149999999999999" customHeight="1">
      <c r="P245" s="467"/>
      <c r="Q245" s="467"/>
      <c r="R245" s="467"/>
      <c r="S245" s="467"/>
      <c r="T245" s="467"/>
      <c r="U245" s="467"/>
      <c r="V245" s="467"/>
      <c r="W245" s="467"/>
      <c r="X245" s="467"/>
      <c r="Y245" s="467"/>
      <c r="Z245" s="467"/>
      <c r="AA245" s="467"/>
    </row>
    <row r="246" spans="16:27" ht="20.149999999999999" customHeight="1">
      <c r="P246" s="467"/>
      <c r="Q246" s="467"/>
      <c r="R246" s="467"/>
      <c r="S246" s="467"/>
      <c r="T246" s="467"/>
      <c r="U246" s="467"/>
      <c r="V246" s="467"/>
      <c r="W246" s="467"/>
      <c r="X246" s="467"/>
      <c r="Y246" s="467"/>
      <c r="Z246" s="467"/>
      <c r="AA246" s="467"/>
    </row>
    <row r="247" spans="16:27" ht="20.149999999999999" customHeight="1">
      <c r="P247" s="467"/>
      <c r="Q247" s="467"/>
      <c r="R247" s="467"/>
      <c r="S247" s="467"/>
      <c r="T247" s="467"/>
      <c r="U247" s="467"/>
      <c r="V247" s="467"/>
      <c r="W247" s="467"/>
      <c r="X247" s="467"/>
      <c r="Y247" s="467"/>
      <c r="Z247" s="467"/>
      <c r="AA247" s="467"/>
    </row>
  </sheetData>
  <mergeCells count="61">
    <mergeCell ref="J41:L41"/>
    <mergeCell ref="M41:O41"/>
    <mergeCell ref="S41:U41"/>
    <mergeCell ref="W41:Y41"/>
    <mergeCell ref="J58:L58"/>
    <mergeCell ref="J59:L59"/>
    <mergeCell ref="J60:K60"/>
    <mergeCell ref="J65:L65"/>
    <mergeCell ref="M65:O65"/>
    <mergeCell ref="S65:U65"/>
    <mergeCell ref="W65:Y65"/>
    <mergeCell ref="J82:L82"/>
    <mergeCell ref="J83:L83"/>
    <mergeCell ref="J84:K84"/>
    <mergeCell ref="I89:Y89"/>
    <mergeCell ref="V235:AA235"/>
    <mergeCell ref="M239:O239"/>
    <mergeCell ref="T119:T123"/>
    <mergeCell ref="T156:T160"/>
    <mergeCell ref="T192:T196"/>
    <mergeCell ref="T228:T232"/>
    <mergeCell ref="U119:U123"/>
    <mergeCell ref="U156:U160"/>
    <mergeCell ref="U192:U196"/>
    <mergeCell ref="U228:U232"/>
    <mergeCell ref="V119:V123"/>
    <mergeCell ref="V156:V160"/>
    <mergeCell ref="V192:V196"/>
    <mergeCell ref="V228:V232"/>
    <mergeCell ref="V125:AA125"/>
    <mergeCell ref="V126:AA126"/>
    <mergeCell ref="AB117:AB118"/>
    <mergeCell ref="AB154:AB155"/>
    <mergeCell ref="AB190:AB191"/>
    <mergeCell ref="AB226:AB227"/>
    <mergeCell ref="Y119:Y123"/>
    <mergeCell ref="Y156:Y160"/>
    <mergeCell ref="Y192:Y196"/>
    <mergeCell ref="Z119:Z123"/>
    <mergeCell ref="Z156:Z160"/>
    <mergeCell ref="Z192:Z196"/>
    <mergeCell ref="V199:AA199"/>
    <mergeCell ref="V162:AA162"/>
    <mergeCell ref="V163:AA163"/>
    <mergeCell ref="V198:AA198"/>
    <mergeCell ref="P239:AA247"/>
    <mergeCell ref="AA119:AA123"/>
    <mergeCell ref="AA156:AA160"/>
    <mergeCell ref="AA192:AA196"/>
    <mergeCell ref="AA228:AA232"/>
    <mergeCell ref="Y228:Y232"/>
    <mergeCell ref="Z228:Z232"/>
    <mergeCell ref="W119:W123"/>
    <mergeCell ref="W156:W160"/>
    <mergeCell ref="W192:W196"/>
    <mergeCell ref="W228:W232"/>
    <mergeCell ref="X119:X123"/>
    <mergeCell ref="X156:X160"/>
    <mergeCell ref="X192:X196"/>
    <mergeCell ref="X228:X232"/>
    <mergeCell ref="V234:AA234"/>
  </mergeCell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5"/>
  <dimension ref="A1:AX70"/>
  <sheetViews>
    <sheetView topLeftCell="N1" workbookViewId="0">
      <selection activeCell="X16" sqref="X16"/>
    </sheetView>
  </sheetViews>
  <sheetFormatPr defaultColWidth="20.54296875" defaultRowHeight="14.5"/>
  <cols>
    <col min="1" max="1" width="20.54296875" style="19"/>
    <col min="2" max="2" width="36" style="19" customWidth="1"/>
    <col min="3" max="3" width="20.54296875" style="19"/>
    <col min="4" max="4" width="27" style="19" customWidth="1"/>
    <col min="5" max="5" width="65.54296875" style="19" customWidth="1"/>
    <col min="6" max="19" width="20.54296875" style="19"/>
    <col min="20" max="20" width="29" style="19" customWidth="1"/>
    <col min="21" max="16384" width="20.54296875" style="19"/>
  </cols>
  <sheetData>
    <row r="1" spans="1:16" ht="25.5">
      <c r="A1" s="212" t="s">
        <v>443</v>
      </c>
      <c r="B1" s="213">
        <f>'02.GeneralFileDetails'!V13</f>
        <v>100101</v>
      </c>
      <c r="C1" s="214"/>
      <c r="D1" s="214"/>
      <c r="E1" s="215" t="s">
        <v>444</v>
      </c>
      <c r="F1" s="214"/>
      <c r="G1" s="214"/>
      <c r="H1" s="214"/>
      <c r="I1" s="214"/>
      <c r="J1" s="214"/>
      <c r="K1" s="225">
        <v>9999</v>
      </c>
      <c r="L1" s="225">
        <v>1</v>
      </c>
      <c r="M1" s="225">
        <v>2</v>
      </c>
      <c r="N1" s="214"/>
      <c r="O1" s="219"/>
    </row>
    <row r="2" spans="1:16" s="210" customFormat="1" ht="15.5">
      <c r="A2" s="216" t="s">
        <v>445</v>
      </c>
      <c r="B2" s="217" t="e" cm="1">
        <f t="array" ref="B2" ca="1">_xlfn._xlws.FILTER(INDIRECT("'pub_output=csv'!$B$"&amp;L1&amp;":$U$"&amp;K1),"Office File No."=INDIRECT("'pub_output=csv'!$B$"&amp;L1&amp;":$B$"&amp;K1))</f>
        <v>#REF!</v>
      </c>
      <c r="C2" s="218"/>
      <c r="D2" s="218"/>
      <c r="E2" s="218"/>
      <c r="F2" s="218"/>
      <c r="G2" s="218"/>
      <c r="H2" s="218"/>
      <c r="I2" s="218"/>
      <c r="J2" s="218"/>
      <c r="K2" s="218"/>
      <c r="L2" s="218"/>
      <c r="M2" s="218"/>
      <c r="N2" s="218"/>
      <c r="O2" s="218"/>
    </row>
    <row r="3" spans="1:16">
      <c r="A3" s="219" t="s">
        <v>446</v>
      </c>
      <c r="B3" s="219" t="e" cm="1">
        <f t="array" ref="B3" ca="1">_xlfn._xlws.FILTER(INDIRECT("'pub_output=csv'!$B$"&amp;M1&amp;":$T$"&amp;K1),B1=INDIRECT("'pub_output=csv'!$B$"&amp;M1&amp;":$B$"&amp;K1))</f>
        <v>#REF!</v>
      </c>
      <c r="C3" s="219"/>
      <c r="D3" s="219"/>
      <c r="E3" s="219"/>
      <c r="F3" s="219"/>
      <c r="G3" s="219"/>
      <c r="H3" s="219"/>
      <c r="I3" s="226"/>
      <c r="J3" s="226"/>
      <c r="K3" s="219"/>
      <c r="L3" s="219"/>
      <c r="M3" s="219"/>
      <c r="N3" s="227"/>
      <c r="O3" s="219"/>
    </row>
    <row r="4" spans="1:16">
      <c r="A4" s="25" t="s">
        <v>229</v>
      </c>
      <c r="B4" s="25">
        <f>'[1]03.ValRepo'!G7</f>
        <v>4225</v>
      </c>
      <c r="C4" s="25">
        <f>'[1]03.ValRepo'!G17</f>
        <v>0</v>
      </c>
      <c r="D4" s="25" t="str">
        <f>'[1]03.ValRepo'!G19</f>
        <v>SBI</v>
      </c>
      <c r="E4" s="25" t="str">
        <f>'[1]03.ValRepo'!G23</f>
        <v>Basheer A K</v>
      </c>
      <c r="F4" s="25">
        <f>'[1]03.ValRepo'!G25</f>
        <v>0</v>
      </c>
      <c r="G4" s="25">
        <f>'[1]03.ValRepo'!J25</f>
        <v>0</v>
      </c>
      <c r="H4" s="25" t="str">
        <f>'[1]03.ValRepo'!G21</f>
        <v>Loan Against Property</v>
      </c>
      <c r="I4" s="228">
        <f>'[1]03.ValRepo'!G27</f>
        <v>45810</v>
      </c>
      <c r="J4" s="228">
        <f>'[1]4.LandAndBuilding_2'!L17</f>
        <v>0</v>
      </c>
      <c r="K4" s="25">
        <f>'[1]4.LandAndBuilding_2'!J20</f>
        <v>0</v>
      </c>
      <c r="L4" s="25" t="str">
        <f>'[1]03.ValRepo'!G9</f>
        <v>109NNU</v>
      </c>
      <c r="M4" s="25" t="str">
        <f>'[1]03.ValRepo'!G11</f>
        <v>109NNU</v>
      </c>
      <c r="N4" s="229" t="str">
        <f>'[1]4.LandAndBuilding_2'!E19</f>
        <v>Land and Building</v>
      </c>
      <c r="O4" s="25"/>
    </row>
    <row r="5" spans="1:16">
      <c r="A5" s="219" t="s">
        <v>447</v>
      </c>
      <c r="B5" s="219">
        <f>IF(B4=0,B3,B4)</f>
        <v>4225</v>
      </c>
      <c r="C5" s="219">
        <f t="shared" ref="C5:O5" si="0">IF(C4=0,C3,C4)</f>
        <v>0</v>
      </c>
      <c r="D5" s="219" t="str">
        <f t="shared" si="0"/>
        <v>SBI</v>
      </c>
      <c r="E5" s="219" t="str">
        <f t="shared" si="0"/>
        <v>Basheer A K</v>
      </c>
      <c r="F5" s="219">
        <f t="shared" si="0"/>
        <v>0</v>
      </c>
      <c r="G5" s="220">
        <f t="shared" si="0"/>
        <v>0</v>
      </c>
      <c r="H5" s="219" t="str">
        <f t="shared" si="0"/>
        <v>Loan Against Property</v>
      </c>
      <c r="I5" s="226">
        <f t="shared" si="0"/>
        <v>45810</v>
      </c>
      <c r="J5" s="226">
        <f t="shared" si="0"/>
        <v>0</v>
      </c>
      <c r="K5" s="219">
        <f t="shared" si="0"/>
        <v>0</v>
      </c>
      <c r="L5" s="219" t="str">
        <f t="shared" si="0"/>
        <v>109NNU</v>
      </c>
      <c r="M5" s="219" t="str">
        <f t="shared" si="0"/>
        <v>109NNU</v>
      </c>
      <c r="N5" s="219" t="str">
        <f t="shared" si="0"/>
        <v>Land and Building</v>
      </c>
      <c r="O5" s="219">
        <f t="shared" si="0"/>
        <v>0</v>
      </c>
      <c r="P5" s="19" t="s">
        <v>448</v>
      </c>
    </row>
    <row r="6" spans="1:16">
      <c r="A6" s="219" t="s">
        <v>449</v>
      </c>
      <c r="B6" s="219"/>
      <c r="C6" s="219"/>
      <c r="D6" s="219" t="str">
        <f>VLOOKUP(D5,[1]AppDropdown!D2:E7,2,FALSE)</f>
        <v>Axis Bank</v>
      </c>
      <c r="E6" s="219"/>
      <c r="F6" s="221" t="str">
        <f>IF(F5=0,"",F5)</f>
        <v/>
      </c>
      <c r="G6" s="221" t="str">
        <f>IF(G5=0,"",G5)</f>
        <v/>
      </c>
      <c r="H6" s="222" t="str">
        <f>VLOOKUP(H5,[1]AppDropdown!F2:G16,2,FALSE)</f>
        <v>LAPL</v>
      </c>
      <c r="I6" s="219"/>
      <c r="J6" s="219"/>
      <c r="K6" s="219"/>
      <c r="L6" s="219"/>
      <c r="M6" s="219"/>
      <c r="N6" s="227"/>
      <c r="O6" s="219"/>
    </row>
    <row r="7" spans="1:16">
      <c r="A7" s="219"/>
      <c r="B7" s="219"/>
      <c r="C7" s="219"/>
      <c r="D7" s="219"/>
      <c r="E7" s="219"/>
      <c r="F7" s="493" t="str">
        <f>CONCATENATE(F6,"                  ",G6)</f>
        <v xml:space="preserve">                  </v>
      </c>
      <c r="G7" s="494"/>
      <c r="H7" s="219"/>
      <c r="I7" s="219"/>
      <c r="J7" s="219"/>
      <c r="K7" s="219"/>
      <c r="L7" s="219"/>
      <c r="M7" s="219"/>
      <c r="N7" s="227"/>
      <c r="O7" s="219"/>
    </row>
    <row r="8" spans="1:16">
      <c r="A8" s="219"/>
      <c r="B8" s="219"/>
      <c r="C8" s="219"/>
      <c r="D8" s="219"/>
      <c r="E8" s="219"/>
      <c r="F8" s="219"/>
      <c r="G8" s="219"/>
      <c r="H8" s="219"/>
      <c r="I8" s="219"/>
      <c r="J8" s="219"/>
      <c r="K8" s="219"/>
      <c r="L8" s="219"/>
      <c r="M8" s="219"/>
      <c r="N8" s="227"/>
      <c r="O8" s="219"/>
    </row>
    <row r="9" spans="1:16">
      <c r="A9" s="219"/>
      <c r="B9" s="219"/>
      <c r="C9" s="219"/>
      <c r="D9" s="219"/>
      <c r="E9" s="219"/>
      <c r="F9" s="219"/>
      <c r="G9" s="219"/>
      <c r="H9" s="219"/>
      <c r="I9" s="219"/>
      <c r="J9" s="219"/>
      <c r="K9" s="219"/>
      <c r="L9" s="219"/>
      <c r="M9" s="219"/>
      <c r="N9" s="227"/>
      <c r="O9" s="219"/>
    </row>
    <row r="10" spans="1:16">
      <c r="A10" s="220"/>
      <c r="B10" s="220"/>
      <c r="C10" s="220"/>
      <c r="D10" s="220"/>
      <c r="E10" s="220"/>
      <c r="F10" s="220"/>
      <c r="G10" s="220"/>
      <c r="H10" s="220"/>
      <c r="I10" s="220"/>
      <c r="J10" s="220"/>
      <c r="K10" s="220"/>
      <c r="L10" s="220"/>
      <c r="M10" s="220"/>
      <c r="N10" s="230"/>
      <c r="O10" s="220"/>
    </row>
    <row r="11" spans="1:16" ht="51" customHeight="1">
      <c r="A11" s="495" t="s">
        <v>450</v>
      </c>
      <c r="B11" s="495"/>
      <c r="C11" s="495"/>
      <c r="D11" s="495"/>
      <c r="E11" s="495"/>
      <c r="F11" s="495"/>
      <c r="G11" s="495"/>
      <c r="H11" s="495"/>
      <c r="I11" s="495"/>
      <c r="J11" s="495"/>
      <c r="K11" s="231">
        <v>9999</v>
      </c>
      <c r="L11" s="231">
        <v>2</v>
      </c>
      <c r="M11" s="231">
        <v>2</v>
      </c>
      <c r="N11" s="224"/>
      <c r="O11" s="224"/>
    </row>
    <row r="12" spans="1:16" s="211" customFormat="1">
      <c r="A12" s="223" t="s">
        <v>445</v>
      </c>
      <c r="B12" s="223" t="e" cm="1">
        <f t="array" ref="B12" ca="1">_xlfn._xlws.FILTER(INDIRECT("'02.Documents'!$C$"&amp;M11&amp;":$P$"&amp;K11),"File ID"=INDIRECT("'02.Documents'!$C$"&amp;M11&amp;":$C$"&amp;K11))</f>
        <v>#REF!</v>
      </c>
      <c r="C12" s="223"/>
      <c r="D12" s="223"/>
      <c r="E12" s="223"/>
      <c r="F12" s="223"/>
      <c r="G12" s="223"/>
      <c r="H12" s="223"/>
      <c r="I12" s="223"/>
      <c r="J12" s="223"/>
      <c r="K12" s="223"/>
      <c r="L12" s="223"/>
      <c r="M12" s="223"/>
      <c r="N12" s="223"/>
      <c r="O12" s="223"/>
    </row>
    <row r="13" spans="1:16">
      <c r="A13" s="224" t="s">
        <v>446</v>
      </c>
      <c r="B13" s="224" t="e" cm="1">
        <f t="array" ref="B13" ca="1">_xlfn._xlws.FILTER(INDIRECT("'02.Documents'!$C$"&amp;L11&amp;":$P$"&amp;K11),O3=INDIRECT("'02.Documents'!$C$"&amp;L11&amp;":$C$"&amp;K11))</f>
        <v>#REF!</v>
      </c>
      <c r="C13" s="224"/>
      <c r="D13" s="224"/>
      <c r="E13" s="224"/>
      <c r="F13" s="224"/>
      <c r="G13" s="224"/>
      <c r="H13" s="224"/>
      <c r="I13" s="224"/>
      <c r="J13" s="224"/>
      <c r="K13" s="224"/>
      <c r="L13" s="224"/>
      <c r="M13" s="224"/>
      <c r="N13" s="224"/>
      <c r="O13" s="224"/>
    </row>
    <row r="14" spans="1:16">
      <c r="A14" s="224" t="s">
        <v>229</v>
      </c>
      <c r="B14" s="224"/>
      <c r="C14" s="224"/>
      <c r="D14" s="224" t="str">
        <f>'[1]03.ValRepo'!D40</f>
        <v/>
      </c>
      <c r="E14" s="224" t="str">
        <f>'[1]03.ValRepo'!D42</f>
        <v/>
      </c>
      <c r="F14" s="224" t="str">
        <f>'[1]03.ValRepo'!D44</f>
        <v/>
      </c>
      <c r="G14" s="224" t="str">
        <f>'[1]03.ValRepo'!D46</f>
        <v/>
      </c>
      <c r="H14" s="224" t="str">
        <f>'[1]03.ValRepo'!D48</f>
        <v/>
      </c>
      <c r="I14" s="224">
        <f>IF('[1]03.ValRepo'!D50=0,0,IF('[1]03.ValRepo'!D50="AVAILABLE","TRUE","FALSE"))</f>
        <v>0</v>
      </c>
      <c r="J14" s="224">
        <f>'[1]03.ValRepo'!O40</f>
        <v>0</v>
      </c>
      <c r="K14" s="224" t="str">
        <f>IF('[1]03.ValRepo'!O42=0,"",'[1]03.ValRepo'!O42)</f>
        <v/>
      </c>
      <c r="L14" s="224" t="str">
        <f>IF('[1]03.ValRepo'!O44=0,"",'[1]03.ValRepo'!O44)</f>
        <v/>
      </c>
      <c r="M14" s="224" t="str">
        <f>IF('[1]03.ValRepo'!O46=0,"",'[1]03.ValRepo'!O46)</f>
        <v/>
      </c>
      <c r="N14" s="224" t="str">
        <f>IF('[1]03.ValRepo'!O48=0,"",'[1]03.ValRepo'!O48)</f>
        <v/>
      </c>
      <c r="O14" s="224" t="str">
        <f>IF('[1]03.ValRepo'!O50=0,"",'[1]03.ValRepo'!O50)</f>
        <v/>
      </c>
    </row>
    <row r="15" spans="1:16">
      <c r="A15" s="224" t="s">
        <v>451</v>
      </c>
      <c r="B15" s="224"/>
      <c r="C15" s="224"/>
      <c r="D15" s="224">
        <f>IF(D14="",D13,D14)</f>
        <v>0</v>
      </c>
      <c r="E15" s="224">
        <f t="shared" ref="E15:O15" si="1">IF(E14="",E13,E14)</f>
        <v>0</v>
      </c>
      <c r="F15" s="224">
        <f t="shared" si="1"/>
        <v>0</v>
      </c>
      <c r="G15" s="224">
        <f t="shared" si="1"/>
        <v>0</v>
      </c>
      <c r="H15" s="224">
        <f t="shared" si="1"/>
        <v>0</v>
      </c>
      <c r="I15" s="224">
        <f t="shared" si="1"/>
        <v>0</v>
      </c>
      <c r="J15" s="224">
        <f t="shared" si="1"/>
        <v>0</v>
      </c>
      <c r="K15" s="224">
        <f t="shared" si="1"/>
        <v>0</v>
      </c>
      <c r="L15" s="224">
        <f t="shared" si="1"/>
        <v>0</v>
      </c>
      <c r="M15" s="224">
        <f t="shared" si="1"/>
        <v>0</v>
      </c>
      <c r="N15" s="224">
        <f t="shared" si="1"/>
        <v>0</v>
      </c>
      <c r="O15" s="224">
        <f t="shared" si="1"/>
        <v>0</v>
      </c>
    </row>
    <row r="16" spans="1:16" ht="76.5" customHeight="1">
      <c r="A16" s="224" t="s">
        <v>452</v>
      </c>
      <c r="B16" s="224"/>
      <c r="C16" s="224"/>
      <c r="D16" s="224" t="str">
        <f>IF(D15=0,"NA",CONCATENATE(D15,", ",H25," SRO"))</f>
        <v>NA</v>
      </c>
      <c r="E16" s="224" t="str">
        <f>IF(E15=0,"NA",CONCATENATE(E15,", ",J25," Village"))</f>
        <v>NA</v>
      </c>
      <c r="F16" s="224" t="str">
        <f>IF(F15=0,"NA",CONCATENATE(F15,", ",J25," Village"))</f>
        <v>NA</v>
      </c>
      <c r="G16" s="224" t="str">
        <f>IF(G15=0,"NA",CONCATENATE(G15,", ",J25," Village"))</f>
        <v>NA</v>
      </c>
      <c r="H16" s="224" t="str">
        <f>IF(H15=0,"NA",CONCATENATE(H15,", ",J25," Village"))</f>
        <v>NA</v>
      </c>
      <c r="I16" s="224">
        <f>IF(I15=0,0,IF(I15="TRUE","Available","NA"))</f>
        <v>0</v>
      </c>
      <c r="J16" s="224" t="str">
        <f>IF(J15=0,"NA",CONCATENATE(J15,", ",Q25," ",P25))</f>
        <v>NA</v>
      </c>
      <c r="K16" s="224" t="str">
        <f>IF(K15=0,"NA",CONCATENATE(K15))</f>
        <v>NA</v>
      </c>
      <c r="L16" s="224" t="str">
        <f>IF(L15=0,"NA",CONCATENATE(L15,", ",Q25," ",P25))</f>
        <v>NA</v>
      </c>
      <c r="M16" s="224" t="str">
        <f>IF(M15=0,"NA",CONCATENATE(M15,", ",J25," Village"))</f>
        <v>NA</v>
      </c>
      <c r="N16" s="224" t="str">
        <f>IF(N15=0,"NA",CONCATENATE(N15,", ",H25," SRO"))</f>
        <v>NA</v>
      </c>
      <c r="O16" s="224" t="str">
        <f>IF(O15=0,"NA",CONCATENATE(O15,", ",J25," Village"))</f>
        <v>NA</v>
      </c>
    </row>
    <row r="17" spans="1:42" ht="81" customHeight="1">
      <c r="A17" s="224" t="s">
        <v>453</v>
      </c>
      <c r="B17" s="224"/>
      <c r="C17" s="224"/>
      <c r="D17" s="224" t="str">
        <f>CONCATENATE(D12,"(No. ",D16,"),")</f>
        <v>(No. NA),</v>
      </c>
      <c r="E17" s="224" t="str">
        <f t="shared" ref="E17:N17" si="2">CONCATENATE(E12,"(No. ",E16,"),")</f>
        <v>(No. NA),</v>
      </c>
      <c r="F17" s="224" t="str">
        <f>CONCATENATE(F12," ",F16,",")</f>
        <v xml:space="preserve"> NA,</v>
      </c>
      <c r="G17" s="224" t="str">
        <f t="shared" si="2"/>
        <v>(No. NA),</v>
      </c>
      <c r="H17" s="224" t="str">
        <f t="shared" si="2"/>
        <v>(No. NA),</v>
      </c>
      <c r="I17" s="224" t="str">
        <f t="shared" si="2"/>
        <v>(No. 0),</v>
      </c>
      <c r="J17" s="224" t="str">
        <f t="shared" si="2"/>
        <v>(No. NA),</v>
      </c>
      <c r="K17" s="224"/>
      <c r="L17" s="224" t="str">
        <f t="shared" si="2"/>
        <v>(No. NA),</v>
      </c>
      <c r="M17" s="224" t="str">
        <f t="shared" si="2"/>
        <v>(No. NA),</v>
      </c>
      <c r="N17" s="224" t="str">
        <f t="shared" si="2"/>
        <v>(No. NA),</v>
      </c>
      <c r="O17" s="224" t="str">
        <f>CONCATENATE("(ROR No. ",O16,"),")</f>
        <v>(ROR No. NA),</v>
      </c>
    </row>
    <row r="18" spans="1:42">
      <c r="A18" s="484" t="str">
        <f>CONCATENATE(D18,E18,F18,G18,H18,I18,J18,K18,L18,M18,N18,O18)</f>
        <v xml:space="preserve">Agreement, </v>
      </c>
      <c r="B18" s="485"/>
      <c r="C18" s="224"/>
      <c r="D18" s="224" t="str">
        <f>IF(D16="NA","",D17)</f>
        <v/>
      </c>
      <c r="E18" s="224" t="str">
        <f t="shared" ref="E18:O18" si="3">IF(E16="NA","",E17)</f>
        <v/>
      </c>
      <c r="F18" s="224" t="str">
        <f t="shared" si="3"/>
        <v/>
      </c>
      <c r="G18" s="224" t="str">
        <f t="shared" si="3"/>
        <v/>
      </c>
      <c r="H18" s="224" t="str">
        <f t="shared" si="3"/>
        <v/>
      </c>
      <c r="I18" s="224" t="str">
        <f>IF(I16="NA","","Agreement, ")</f>
        <v xml:space="preserve">Agreement, </v>
      </c>
      <c r="J18" s="224" t="str">
        <f t="shared" si="3"/>
        <v/>
      </c>
      <c r="K18" s="224" t="str">
        <f>IF(K16="NA","",CONCATENATE(K15,", "))</f>
        <v/>
      </c>
      <c r="L18" s="224" t="str">
        <f t="shared" si="3"/>
        <v/>
      </c>
      <c r="M18" s="224" t="str">
        <f t="shared" si="3"/>
        <v/>
      </c>
      <c r="N18" s="224" t="str">
        <f t="shared" si="3"/>
        <v/>
      </c>
      <c r="O18" s="224" t="str">
        <f t="shared" si="3"/>
        <v/>
      </c>
    </row>
    <row r="19" spans="1:42">
      <c r="A19" s="486"/>
      <c r="B19" s="487"/>
      <c r="C19" s="224"/>
      <c r="D19" s="224"/>
      <c r="E19" s="224"/>
      <c r="F19" s="224"/>
      <c r="G19" s="224"/>
      <c r="H19" s="224"/>
      <c r="I19" s="224"/>
      <c r="J19" s="224"/>
      <c r="K19" s="224"/>
      <c r="L19" s="224"/>
      <c r="M19" s="224"/>
      <c r="N19" s="224"/>
      <c r="O19" s="224"/>
    </row>
    <row r="20" spans="1:42">
      <c r="A20" s="488"/>
      <c r="B20" s="489"/>
      <c r="C20" s="224"/>
      <c r="D20" s="224"/>
      <c r="E20" s="224"/>
      <c r="F20" s="224"/>
      <c r="G20" s="224"/>
      <c r="H20" s="224"/>
      <c r="I20" s="224"/>
      <c r="J20" s="224"/>
      <c r="K20" s="224"/>
      <c r="L20" s="224"/>
      <c r="M20" s="224"/>
      <c r="N20" s="224"/>
      <c r="O20" s="224"/>
    </row>
    <row r="21" spans="1:42" ht="25.5">
      <c r="A21" s="483" t="s">
        <v>454</v>
      </c>
      <c r="B21" s="483"/>
      <c r="C21" s="483"/>
      <c r="D21" s="483"/>
      <c r="E21" s="483"/>
      <c r="F21" s="483"/>
      <c r="G21" s="483"/>
      <c r="H21" s="483"/>
      <c r="I21" s="483"/>
      <c r="J21" s="483"/>
      <c r="K21" s="232">
        <v>9999</v>
      </c>
      <c r="L21" s="232">
        <v>2</v>
      </c>
      <c r="M21" s="232">
        <v>2</v>
      </c>
    </row>
    <row r="22" spans="1:42" s="211" customFormat="1">
      <c r="A22" s="211" t="s">
        <v>445</v>
      </c>
      <c r="B22" s="211" t="e" cm="1">
        <f t="array" ref="B22" ca="1">_xlfn._xlws.FILTER(INDIRECT("'03.Property'!$C$"&amp;M21&amp;":$AQ$"&amp;K21),"File ID"=INDIRECT("'03.property'!$C$"&amp;M21&amp;":$C$"&amp;K21))</f>
        <v>#REF!</v>
      </c>
    </row>
    <row r="23" spans="1:42">
      <c r="A23" s="19" t="s">
        <v>446</v>
      </c>
      <c r="B23" s="19" t="e" cm="1">
        <f t="array" ref="B23" ca="1">_xlfn._xlws.FILTER(INDIRECT("'03 Property'!$A$"&amp;M21&amp;":$AQ$"&amp;K21),O3=INDIRECT("'03 property'!$A$"&amp;M21&amp;":$A$"&amp;K21))</f>
        <v>#REF!</v>
      </c>
    </row>
    <row r="24" spans="1:42">
      <c r="A24" s="19" t="s">
        <v>229</v>
      </c>
      <c r="E24" s="19" t="str">
        <f>'[1]03.ValRepo'!G58</f>
        <v>BASHEER A K and SAUDA BEEVI</v>
      </c>
      <c r="F24" s="19" t="str">
        <f>'[1]03.ValRepo'!G60</f>
        <v>Duel Ownership</v>
      </c>
      <c r="G24" s="19" t="str">
        <f>'[1]03.ValRepo'!G13</f>
        <v>Ernakulam</v>
      </c>
      <c r="H24" s="19" t="str">
        <f>'[1]03.ValRepo'!G66</f>
        <v>Kochi</v>
      </c>
      <c r="I24" s="19" t="str">
        <f>'[1]03.ValRepo'!G68</f>
        <v>Kochi</v>
      </c>
      <c r="J24" s="19" t="str">
        <f>'[1]03.ValRepo'!G70</f>
        <v>Edakochi</v>
      </c>
      <c r="K24" s="19">
        <f>'[1]4.LandAndBuilding_2'!J106</f>
        <v>0</v>
      </c>
      <c r="L24" s="19">
        <f>IF('[1]03.ValRepo'!G77="",0,'[1]03.ValRepo'!G77)</f>
        <v>0</v>
      </c>
      <c r="N24" s="19">
        <f>'[1]4.LandAndBuilding_2'!J109</f>
        <v>0</v>
      </c>
      <c r="O24" s="19">
        <f>'[1]4.LandAndBuilding_2'!J112</f>
        <v>0</v>
      </c>
      <c r="P24" s="19" t="str">
        <f>'[1]03.ValRepo'!G72</f>
        <v>Corporation</v>
      </c>
      <c r="Q24" s="19" t="str">
        <f>'[1]03.ValRepo'!G74</f>
        <v>Cochin Corporation</v>
      </c>
      <c r="S24" s="19">
        <f>IF('[1]03.ValRepo'!G95="",0,'[1]03.ValRepo'!G95)</f>
        <v>3.14</v>
      </c>
      <c r="U24" s="19" t="str">
        <f>'[1]03.ValRepo'!G97</f>
        <v>Dry Land</v>
      </c>
      <c r="V24" s="19" t="str">
        <f>'[1]03.ValRepo'!G99</f>
        <v>NA</v>
      </c>
      <c r="Y24" s="19" t="str">
        <f>'[1]03.ValRepo'!G145</f>
        <v>Eby's tution centre</v>
      </c>
      <c r="Z24" s="19">
        <f>'[1]03.ValRepo'!G173</f>
        <v>6</v>
      </c>
      <c r="AA24" s="19">
        <f>'[1]03.ValRepo'!G175</f>
        <v>3.2</v>
      </c>
      <c r="AB24" s="19">
        <f>'[1]03.ValRepo'!G151</f>
        <v>682006</v>
      </c>
      <c r="AC24" s="19" t="str">
        <f>'[1]03.ValRepo'!G149</f>
        <v>Palluruthy</v>
      </c>
      <c r="AD24" s="19">
        <f>IF('[1]03.ValRepo'!G79="",0,'[1]03.ValRepo'!G79)</f>
        <v>0</v>
      </c>
      <c r="AE24" s="19">
        <f>IF('[1]03.ValRepo'!G81="",0,'[1]03.ValRepo'!G81)</f>
        <v>0</v>
      </c>
      <c r="AF24" s="19" t="str">
        <f>IF('[1]03.ValRepo'!G85="",0,'[1]03.ValRepo'!G85)</f>
        <v>476</v>
      </c>
      <c r="AG24" s="19" t="str">
        <f>IF('[1]03.ValRepo'!G87="",0,'[1]03.ValRepo'!G87)</f>
        <v>1-4</v>
      </c>
      <c r="AH24" s="19">
        <f>IF('[1]03.ValRepo'!G91="",0,'[1]03.ValRepo'!G91)</f>
        <v>0</v>
      </c>
      <c r="AI24" s="19">
        <f>IF('[1]03.ValRepo'!G93="",0,'[1]03.ValRepo'!G93)</f>
        <v>0</v>
      </c>
      <c r="AJ24" s="19" t="str">
        <f>'[1]03.ValRepo'!G101</f>
        <v>NA</v>
      </c>
      <c r="AK24" s="19">
        <f>'[1]03.ValRepo'!G179</f>
        <v>6.5</v>
      </c>
      <c r="AL24" s="19">
        <f>'[1]03.ValRepo'!G181</f>
        <v>0.8</v>
      </c>
      <c r="AM24" s="19">
        <f>'[1]03.ValRepo'!G183</f>
        <v>1</v>
      </c>
      <c r="AN24" s="19">
        <f>'[1]03.ValRepo'!G177</f>
        <v>1.5</v>
      </c>
      <c r="AO24" s="19">
        <f>IF('[1]03.ValRepo'!G83="",0,'[1]03.ValRepo'!G83)</f>
        <v>0</v>
      </c>
      <c r="AP24" s="19">
        <f>IF('[1]03.ValRepo'!G89="",0,'[1]03.ValRepo'!G89)</f>
        <v>0</v>
      </c>
    </row>
    <row r="25" spans="1:42">
      <c r="A25" s="19" t="s">
        <v>447</v>
      </c>
      <c r="B25" s="19" t="e">
        <f ca="1">IF(B24="",B23,B24)</f>
        <v>#REF!</v>
      </c>
      <c r="C25" s="19">
        <f>IF(C24="",C23,C24)</f>
        <v>0</v>
      </c>
      <c r="D25" s="19">
        <f>IF(D24="",D23,D24)</f>
        <v>0</v>
      </c>
      <c r="E25" s="19" t="str">
        <f>IF(E24=0,E23,E24)</f>
        <v>BASHEER A K and SAUDA BEEVI</v>
      </c>
      <c r="F25" s="19" t="str">
        <f>IF(F24=0,F23,F24)</f>
        <v>Duel Ownership</v>
      </c>
      <c r="G25" s="19" t="str">
        <f>IF(G24=0,G23,G24)</f>
        <v>Ernakulam</v>
      </c>
      <c r="H25" s="19" t="str">
        <f>IF(H24=0,H23,H24)</f>
        <v>Kochi</v>
      </c>
      <c r="I25" s="19" t="str">
        <f t="shared" ref="I25:AP25" si="4">IF(I24=0,I23,I24)</f>
        <v>Kochi</v>
      </c>
      <c r="J25" s="19" t="str">
        <f t="shared" si="4"/>
        <v>Edakochi</v>
      </c>
      <c r="K25" s="19">
        <f t="shared" si="4"/>
        <v>0</v>
      </c>
      <c r="L25" s="19">
        <f t="shared" si="4"/>
        <v>0</v>
      </c>
      <c r="M25" s="233"/>
      <c r="N25" s="19">
        <f t="shared" si="4"/>
        <v>0</v>
      </c>
      <c r="O25" s="19">
        <f t="shared" si="4"/>
        <v>0</v>
      </c>
      <c r="P25" s="19" t="str">
        <f t="shared" si="4"/>
        <v>Corporation</v>
      </c>
      <c r="Q25" s="19" t="str">
        <f t="shared" si="4"/>
        <v>Cochin Corporation</v>
      </c>
      <c r="R25" s="19">
        <f t="shared" si="4"/>
        <v>0</v>
      </c>
      <c r="S25" s="19">
        <f t="shared" si="4"/>
        <v>3.14</v>
      </c>
      <c r="T25" s="19">
        <f t="shared" si="4"/>
        <v>0</v>
      </c>
      <c r="U25" s="19" t="str">
        <f t="shared" si="4"/>
        <v>Dry Land</v>
      </c>
      <c r="V25" s="19" t="str">
        <f t="shared" si="4"/>
        <v>NA</v>
      </c>
      <c r="W25" s="19">
        <f t="shared" si="4"/>
        <v>0</v>
      </c>
      <c r="X25" s="19">
        <f t="shared" si="4"/>
        <v>0</v>
      </c>
      <c r="Y25" s="19" t="str">
        <f t="shared" si="4"/>
        <v>Eby's tution centre</v>
      </c>
      <c r="Z25" s="19">
        <f t="shared" si="4"/>
        <v>6</v>
      </c>
      <c r="AA25" s="19">
        <f t="shared" si="4"/>
        <v>3.2</v>
      </c>
      <c r="AB25" s="19">
        <f t="shared" si="4"/>
        <v>682006</v>
      </c>
      <c r="AC25" s="19" t="str">
        <f t="shared" si="4"/>
        <v>Palluruthy</v>
      </c>
      <c r="AD25" s="19">
        <f t="shared" si="4"/>
        <v>0</v>
      </c>
      <c r="AE25" s="19">
        <f t="shared" si="4"/>
        <v>0</v>
      </c>
      <c r="AF25" s="19" t="str">
        <f t="shared" si="4"/>
        <v>476</v>
      </c>
      <c r="AG25" s="19" t="str">
        <f t="shared" si="4"/>
        <v>1-4</v>
      </c>
      <c r="AH25" s="19">
        <f t="shared" si="4"/>
        <v>0</v>
      </c>
      <c r="AI25" s="19">
        <f t="shared" si="4"/>
        <v>0</v>
      </c>
      <c r="AJ25" s="19" t="str">
        <f t="shared" si="4"/>
        <v>NA</v>
      </c>
      <c r="AK25" s="19">
        <f t="shared" si="4"/>
        <v>6.5</v>
      </c>
      <c r="AL25" s="19">
        <f t="shared" si="4"/>
        <v>0.8</v>
      </c>
      <c r="AM25" s="19">
        <f t="shared" si="4"/>
        <v>1</v>
      </c>
      <c r="AN25" s="19">
        <f t="shared" si="4"/>
        <v>1.5</v>
      </c>
      <c r="AO25" s="19">
        <f t="shared" si="4"/>
        <v>0</v>
      </c>
      <c r="AP25" s="19">
        <f t="shared" si="4"/>
        <v>0</v>
      </c>
    </row>
    <row r="26" spans="1:42" ht="27.75" customHeight="1">
      <c r="A26" s="19" t="s">
        <v>449</v>
      </c>
      <c r="G26" s="19" t="str">
        <f>CONCATENATE(G25," ",G22)</f>
        <v xml:space="preserve">Ernakulam </v>
      </c>
      <c r="H26" s="19" t="str">
        <f>CONCATENATE(H25," ",H22)</f>
        <v xml:space="preserve">Kochi </v>
      </c>
      <c r="I26" s="19" t="str">
        <f>CONCATENATE(I25," ",I22)</f>
        <v xml:space="preserve">Kochi </v>
      </c>
      <c r="J26" s="19" t="str">
        <f>CONCATENATE(J25," ",J22)</f>
        <v xml:space="preserve">Edakochi </v>
      </c>
      <c r="L26" s="19" t="str">
        <f>CONCATENATE(L22," ",L25,", ")</f>
        <v xml:space="preserve"> 0, </v>
      </c>
      <c r="M26" s="467" t="str">
        <f>CONCATENATE(K25," No. ",N25)</f>
        <v>0 No. 0</v>
      </c>
      <c r="N26" s="467"/>
      <c r="O26" s="19" t="str">
        <f>CONCATENATE(K25," ",O22," ",O25)</f>
        <v>0  0</v>
      </c>
      <c r="P26" s="467" t="str">
        <f>CONCATENATE(Q25," ",P25)</f>
        <v>Cochin Corporation Corporation</v>
      </c>
      <c r="Q26" s="467"/>
      <c r="R26" s="19" t="str">
        <f>CONCATENATE(R25," ",R22)</f>
        <v xml:space="preserve">0 </v>
      </c>
      <c r="S26" s="19">
        <f>ROUND(S25*100/40.47,3)</f>
        <v>7.7590000000000003</v>
      </c>
      <c r="AD26" s="19" t="str">
        <f>CONCATENATE(AD22," ",AD25,", ")</f>
        <v xml:space="preserve"> 0, </v>
      </c>
      <c r="AE26" s="19" t="str">
        <f t="shared" ref="AE26:AI26" si="5">CONCATENATE(AE22," ",AE25,", ")</f>
        <v xml:space="preserve"> 0, </v>
      </c>
      <c r="AF26" s="19" t="str">
        <f t="shared" si="5"/>
        <v xml:space="preserve"> 476, </v>
      </c>
      <c r="AG26" s="19" t="str">
        <f t="shared" si="5"/>
        <v xml:space="preserve"> 1-4, </v>
      </c>
      <c r="AH26" s="19" t="str">
        <f t="shared" si="5"/>
        <v xml:space="preserve"> 0, </v>
      </c>
      <c r="AI26" s="19" t="str">
        <f t="shared" si="5"/>
        <v xml:space="preserve"> 0, </v>
      </c>
    </row>
    <row r="27" spans="1:42">
      <c r="G27" s="19" t="str">
        <f>VLOOKUP(G25,'[1]101.Vlook Up'!A112:B125,2,FALSE)</f>
        <v>EKM</v>
      </c>
      <c r="L27" s="19" t="str">
        <f>IF(L25=0,"",L26)</f>
        <v/>
      </c>
      <c r="S27" s="19">
        <f>ROUND(S25*100*10.76,0)</f>
        <v>3379</v>
      </c>
      <c r="AD27" s="19" t="str">
        <f>IF(AD25=0,"",AD26)</f>
        <v/>
      </c>
      <c r="AE27" s="19" t="str">
        <f t="shared" ref="AE27:AI27" si="6">IF(AE25=0,"",AE26)</f>
        <v/>
      </c>
      <c r="AF27" s="19" t="str">
        <f t="shared" si="6"/>
        <v xml:space="preserve"> 476, </v>
      </c>
      <c r="AG27" s="19" t="str">
        <f t="shared" si="6"/>
        <v xml:space="preserve"> 1-4, </v>
      </c>
      <c r="AH27" s="19" t="str">
        <f t="shared" si="6"/>
        <v/>
      </c>
      <c r="AI27" s="19" t="str">
        <f t="shared" si="6"/>
        <v/>
      </c>
    </row>
    <row r="28" spans="1:42">
      <c r="AD28" s="467" t="str">
        <f>CONCATENATE(L27,AH27,AI27,AF27,AG27,AD27,AE27)</f>
        <v xml:space="preserve"> 476,  1-4, </v>
      </c>
      <c r="AE28" s="467"/>
      <c r="AF28" s="467"/>
      <c r="AG28" s="467"/>
      <c r="AH28" s="467"/>
      <c r="AI28" s="467"/>
    </row>
    <row r="31" spans="1:42" ht="25.5">
      <c r="A31" s="483" t="s">
        <v>455</v>
      </c>
      <c r="B31" s="483"/>
      <c r="C31" s="483"/>
      <c r="D31" s="483"/>
      <c r="E31" s="483"/>
      <c r="F31" s="483"/>
      <c r="G31" s="483"/>
      <c r="H31" s="483"/>
      <c r="I31" s="483"/>
      <c r="J31" s="483"/>
      <c r="K31" s="234">
        <v>9999</v>
      </c>
      <c r="L31" s="234">
        <v>2</v>
      </c>
      <c r="M31" s="234">
        <v>2</v>
      </c>
    </row>
    <row r="32" spans="1:42" s="211" customFormat="1">
      <c r="A32" s="211" t="s">
        <v>445</v>
      </c>
      <c r="B32" s="211" t="e" cm="1">
        <f t="array" ref="B32" ca="1">_xlfn._xlws.FILTER(INDIRECT("'04.Boundaries'!$C$"&amp;M31&amp;":$AA$"&amp;K31),"File ID"=INDIRECT("'04.Boundaries'!$C$"&amp;M31&amp;":$C$"&amp;K31))</f>
        <v>#REF!</v>
      </c>
    </row>
    <row r="33" spans="1:33">
      <c r="A33" s="19" t="s">
        <v>446</v>
      </c>
      <c r="B33" s="19" t="e" cm="1">
        <f t="array" ref="B33" ca="1">_xlfn._xlws.FILTER(INDIRECT("'04 Boundaries'!$A$"&amp;M31&amp;":$AA$"&amp;K31),O3=INDIRECT("'04 Boundaries'!$A$"&amp;M31&amp;":$A$"&amp;K31))</f>
        <v>#REF!</v>
      </c>
    </row>
    <row r="34" spans="1:33" ht="29">
      <c r="A34" s="19" t="s">
        <v>229</v>
      </c>
      <c r="D34" s="19" t="str">
        <f>'[1]03.ValRepo'!G107</f>
        <v>Property of Basil George</v>
      </c>
      <c r="E34" s="19" t="str">
        <f>'[1]03.ValRepo'!G109</f>
        <v>Property of Basil George</v>
      </c>
      <c r="H34" s="19" t="str">
        <f>'[1]03.ValRepo'!G111</f>
        <v>Road</v>
      </c>
      <c r="I34" s="19" t="str">
        <f>'[1]03.ValRepo'!G113</f>
        <v>Corporation Road</v>
      </c>
      <c r="L34" s="19" t="str">
        <f>'[1]03.ValRepo'!G115</f>
        <v>Road</v>
      </c>
      <c r="M34" s="19" t="str">
        <f>'[1]03.ValRepo'!G117</f>
        <v>Corporation Road</v>
      </c>
      <c r="P34" s="19" t="str">
        <f>'[1]03.ValRepo'!G119</f>
        <v>Property of Basil George</v>
      </c>
      <c r="Q34" s="19" t="str">
        <f>'[1]03.ValRepo'!G121</f>
        <v>Property of Basil George</v>
      </c>
      <c r="T34" s="19" t="str">
        <f>IF('[1]03.ValRepo'!G127="No","False",IF('[1]03.ValRepo'!G127="Yes","True",IF('[1]03.ValRepo'!G127=0,0,'[1]03.ValRepo'!G127)))</f>
        <v>True</v>
      </c>
      <c r="U34" s="19" t="str">
        <f>'[1]03.ValRepo'!G129</f>
        <v>Plot has Corporatio road access.</v>
      </c>
      <c r="V34" s="19">
        <f>'[1]03.ValRepo'!G135</f>
        <v>3</v>
      </c>
    </row>
    <row r="35" spans="1:33" ht="29">
      <c r="A35" s="19" t="s">
        <v>447</v>
      </c>
      <c r="B35" s="19" t="e">
        <f t="shared" ref="B35:D35" ca="1" si="7">IF(B34=0,B33,B34)</f>
        <v>#REF!</v>
      </c>
      <c r="C35" s="19">
        <f t="shared" si="7"/>
        <v>0</v>
      </c>
      <c r="D35" s="19" t="str">
        <f t="shared" si="7"/>
        <v>Property of Basil George</v>
      </c>
      <c r="E35" s="19" t="str">
        <f t="shared" ref="E35:Z35" si="8">IF(E34=0,E33,E34)</f>
        <v>Property of Basil George</v>
      </c>
      <c r="F35" s="19">
        <f t="shared" si="8"/>
        <v>0</v>
      </c>
      <c r="G35" s="19">
        <f t="shared" si="8"/>
        <v>0</v>
      </c>
      <c r="H35" s="19" t="str">
        <f t="shared" si="8"/>
        <v>Road</v>
      </c>
      <c r="I35" s="19" t="str">
        <f t="shared" si="8"/>
        <v>Corporation Road</v>
      </c>
      <c r="J35" s="19">
        <f t="shared" si="8"/>
        <v>0</v>
      </c>
      <c r="K35" s="19">
        <f t="shared" si="8"/>
        <v>0</v>
      </c>
      <c r="L35" s="19" t="str">
        <f t="shared" si="8"/>
        <v>Road</v>
      </c>
      <c r="M35" s="19" t="str">
        <f t="shared" si="8"/>
        <v>Corporation Road</v>
      </c>
      <c r="N35" s="19">
        <f t="shared" si="8"/>
        <v>0</v>
      </c>
      <c r="O35" s="19">
        <f t="shared" si="8"/>
        <v>0</v>
      </c>
      <c r="P35" s="19" t="str">
        <f t="shared" si="8"/>
        <v>Property of Basil George</v>
      </c>
      <c r="Q35" s="19" t="str">
        <f t="shared" si="8"/>
        <v>Property of Basil George</v>
      </c>
      <c r="R35" s="19">
        <f t="shared" si="8"/>
        <v>0</v>
      </c>
      <c r="S35" s="19">
        <f t="shared" si="8"/>
        <v>0</v>
      </c>
      <c r="T35" s="19" t="str">
        <f t="shared" si="8"/>
        <v>True</v>
      </c>
      <c r="U35" s="19" t="str">
        <f t="shared" si="8"/>
        <v>Plot has Corporatio road access.</v>
      </c>
      <c r="V35" s="19">
        <f t="shared" si="8"/>
        <v>3</v>
      </c>
      <c r="W35" s="19">
        <f t="shared" si="8"/>
        <v>0</v>
      </c>
      <c r="X35" s="19">
        <f t="shared" si="8"/>
        <v>0</v>
      </c>
      <c r="Y35" s="19">
        <f t="shared" si="8"/>
        <v>0</v>
      </c>
      <c r="Z35" s="19">
        <f t="shared" si="8"/>
        <v>0</v>
      </c>
    </row>
    <row r="36" spans="1:33">
      <c r="A36" s="19" t="s">
        <v>449</v>
      </c>
      <c r="T36" s="19" t="str">
        <f>IF(T35=0,"NA",IF(T35="TRUE","Yes","No"))</f>
        <v>Yes</v>
      </c>
      <c r="V36" s="19">
        <f>ROUND(V35*3.28084,2)</f>
        <v>9.84</v>
      </c>
    </row>
    <row r="37" spans="1:33">
      <c r="V37" s="19" t="str">
        <f>CONCATENATE(" (",V36," Ft",") ")</f>
        <v xml:space="preserve"> (9.84 Ft) </v>
      </c>
    </row>
    <row r="38" spans="1:33">
      <c r="V38" s="19" t="str">
        <f>CONCATENATE("",V35," Metre"," ",V37)</f>
        <v xml:space="preserve">3 Metre  (9.84 Ft) </v>
      </c>
    </row>
    <row r="41" spans="1:33" ht="25.5">
      <c r="A41" s="483" t="s">
        <v>456</v>
      </c>
      <c r="B41" s="483"/>
      <c r="C41" s="483"/>
      <c r="D41" s="483"/>
      <c r="E41" s="483"/>
      <c r="F41" s="483"/>
      <c r="G41" s="483"/>
      <c r="H41" s="483"/>
      <c r="I41" s="483"/>
      <c r="J41" s="483"/>
      <c r="K41" s="234">
        <v>9999</v>
      </c>
      <c r="L41" s="234">
        <v>2</v>
      </c>
      <c r="M41" s="234">
        <v>2</v>
      </c>
    </row>
    <row r="42" spans="1:33">
      <c r="A42" s="19" t="s">
        <v>445</v>
      </c>
      <c r="B42" s="19" t="e" cm="1">
        <f t="array" ref="B42" ca="1">_xlfn._xlws.FILTER(INDIRECT("'05.Inspections'!$C$"&amp;M41&amp;":$AH$"&amp;K41),"File ID"=INDIRECT("'05.Inspections'!$C$"&amp;M41&amp;":$C$"&amp;K41))</f>
        <v>#REF!</v>
      </c>
    </row>
    <row r="43" spans="1:33">
      <c r="A43" s="19" t="s">
        <v>446</v>
      </c>
      <c r="B43" s="19" t="e" cm="1">
        <f t="array" ref="B43" ca="1">_xlfn._xlws.FILTER(INDIRECT("'05 Inspections'!$A$"&amp;M41&amp;":$AH$"&amp;K41),O3=INDIRECT("'05 Inspections'!$A$"&amp;M41&amp;":$A$"&amp;K41))</f>
        <v>#REF!</v>
      </c>
    </row>
    <row r="44" spans="1:33" ht="43.5">
      <c r="A44" s="19" t="s">
        <v>229</v>
      </c>
      <c r="D44" s="19" t="str">
        <f>'[1]03.ValRepo'!G153</f>
        <v>Outskirts of Town</v>
      </c>
      <c r="E44" s="19" t="str">
        <f>'[1]03.ValRepo'!G155</f>
        <v>Residential</v>
      </c>
      <c r="F44" s="19" t="str">
        <f>'[1]03.ValRepo'!G157</f>
        <v>Plain</v>
      </c>
      <c r="G44" s="19" t="str">
        <f>'[1]03.ValRepo'!G161</f>
        <v>Same Level</v>
      </c>
      <c r="H44" s="19" t="str">
        <f>'[1]03.ValRepo'!G159</f>
        <v>Narrow Frontage</v>
      </c>
      <c r="I44" s="19" t="str">
        <f>'[1]03.ValRepo'!G163</f>
        <v>Approx. Rectangle</v>
      </c>
      <c r="J44" s="19" t="str">
        <f>'[1]03.ValRepo'!G165</f>
        <v>Good Vista</v>
      </c>
      <c r="K44" s="19" t="str">
        <f>'[1]03.ValRepo'!G167</f>
        <v>Public water supply</v>
      </c>
      <c r="L44" s="19" t="str">
        <f>'[1]03.ValRepo'!G169</f>
        <v>Single-Phase Permanent electricity Connection</v>
      </c>
      <c r="M44" s="19" t="str">
        <f>'[1]03.ValRepo'!G171</f>
        <v>Septic Tank</v>
      </c>
      <c r="N44" s="19" t="str">
        <f>'[1]03.ValRepo'!G185</f>
        <v>Good</v>
      </c>
      <c r="O44" s="19" t="str">
        <f>'[1]03.ValRepo'!G187</f>
        <v>Good</v>
      </c>
      <c r="P44" s="19" t="str">
        <f>'[1]03.ValRepo'!G189</f>
        <v>Good</v>
      </c>
      <c r="Q44" s="19">
        <f>IF('[1]03.ValRepo'!G193="No","False",IF('[1]03.ValRepo'!G193="Yes","True",IF('[1]03.ValRepo'!G193=0,0,'[1]03.ValRepo'!G193)))</f>
        <v>0</v>
      </c>
      <c r="R44" s="19">
        <f>IF('[1]03.ValRepo'!G195="No","False",IF('[1]03.ValRepo'!G195="Yes","True",IF('[1]03.ValRepo'!G195=0,0,'[1]03.ValRepo'!G195)))</f>
        <v>0</v>
      </c>
      <c r="S44" s="19">
        <f>IF('[1]03.ValRepo'!G197="No","False",IF('[1]03.ValRepo'!G197="Yes","True",IF('[1]03.ValRepo'!G197=0,0,'[1]03.ValRepo'!G197)))</f>
        <v>0</v>
      </c>
      <c r="T44" s="19">
        <f>IF('[1]03.ValRepo'!G199="No","False",IF('[1]03.ValRepo'!G199="Yes","True",IF('[1]03.ValRepo'!G199=0,0,'[1]03.ValRepo'!G199)))</f>
        <v>0</v>
      </c>
      <c r="U44" s="19">
        <f>IF('[1]03.ValRepo'!G201="No","False",IF('[1]03.ValRepo'!G201="Yes","True",IF('[1]03.ValRepo'!G201=0,0,'[1]03.ValRepo'!G201)))</f>
        <v>0</v>
      </c>
      <c r="V44" s="19">
        <f>IF('[1]03.ValRepo'!G203="No","False",IF('[1]03.ValRepo'!G203="Yes","True",IF('[1]03.ValRepo'!G203=0,0,'[1]03.ValRepo'!G203)))</f>
        <v>0</v>
      </c>
      <c r="W44" s="19">
        <f>IF('[1]03.ValRepo'!G205="No","False",IF('[1]03.ValRepo'!G205="Yes","True",IF('[1]03.ValRepo'!G205=0,0,'[1]03.ValRepo'!G205)))</f>
        <v>0</v>
      </c>
      <c r="X44" s="19">
        <f>IF('[1]03.ValRepo'!G207="No","False",IF('[1]03.ValRepo'!G207="Yes","True",IF('[1]03.ValRepo'!G207=0,0,'[1]03.ValRepo'!G207)))</f>
        <v>0</v>
      </c>
      <c r="Y44" s="19">
        <f>IF('[1]03.ValRepo'!G211="No","False",IF('[1]03.ValRepo'!G211="Yes","True",IF('[1]03.ValRepo'!G211=0,0,'[1]03.ValRepo'!G211)))</f>
        <v>0</v>
      </c>
      <c r="Z44" s="19">
        <f>IF('[1]03.ValRepo'!G219="No","False",IF('[1]03.ValRepo'!G219="Yes","True",IF('[1]03.ValRepo'!G219=0,0,'[1]03.ValRepo'!G219)))</f>
        <v>0</v>
      </c>
      <c r="AA44" s="19">
        <f>IF('[1]03.ValRepo'!G213="No","False",IF('[1]03.ValRepo'!G213="Yes","True",IF('[1]03.ValRepo'!G213=0,0,'[1]03.ValRepo'!G213)))</f>
        <v>0</v>
      </c>
      <c r="AB44" s="19">
        <f>IF('[1]03.ValRepo'!G215="No","False",IF('[1]03.ValRepo'!G215="Yes","True",IF('[1]03.ValRepo'!G215=0,0,'[1]03.ValRepo'!G215)))</f>
        <v>0</v>
      </c>
      <c r="AC44" s="19">
        <f>IF('[1]03.ValRepo'!G217="No","False",IF('[1]03.ValRepo'!G217="Yes","True",IF('[1]03.ValRepo'!G217=0,0,'[1]03.ValRepo'!G217)))</f>
        <v>0</v>
      </c>
      <c r="AD44" s="19" t="str">
        <f>'[1]03.ValRepo'!G221</f>
        <v>No</v>
      </c>
      <c r="AF44" s="19">
        <f>IF('[1]03.ValRepo'!G209="No","False",IF('[1]03.ValRepo'!G209="Yes","True",IF('[1]03.ValRepo'!G209=0,0,'[1]03.ValRepo'!G209)))</f>
        <v>0</v>
      </c>
      <c r="AG44" s="19">
        <f>'[1]03.ValRepo'!J219</f>
        <v>0</v>
      </c>
    </row>
    <row r="45" spans="1:33" ht="43.5">
      <c r="A45" s="19" t="s">
        <v>447</v>
      </c>
      <c r="D45" s="19" t="str">
        <f>IF(D44=0,D43,D44)</f>
        <v>Outskirts of Town</v>
      </c>
      <c r="E45" s="19" t="str">
        <f t="shared" ref="E45:AG45" si="9">IF(E44=0,E43,E44)</f>
        <v>Residential</v>
      </c>
      <c r="F45" s="19" t="str">
        <f t="shared" si="9"/>
        <v>Plain</v>
      </c>
      <c r="G45" s="19" t="str">
        <f t="shared" si="9"/>
        <v>Same Level</v>
      </c>
      <c r="H45" s="19" t="str">
        <f t="shared" si="9"/>
        <v>Narrow Frontage</v>
      </c>
      <c r="I45" s="19" t="str">
        <f t="shared" si="9"/>
        <v>Approx. Rectangle</v>
      </c>
      <c r="J45" s="19" t="str">
        <f t="shared" si="9"/>
        <v>Good Vista</v>
      </c>
      <c r="K45" s="19" t="str">
        <f t="shared" si="9"/>
        <v>Public water supply</v>
      </c>
      <c r="L45" s="19" t="str">
        <f t="shared" si="9"/>
        <v>Single-Phase Permanent electricity Connection</v>
      </c>
      <c r="M45" s="19" t="str">
        <f t="shared" si="9"/>
        <v>Septic Tank</v>
      </c>
      <c r="N45" s="19" t="str">
        <f t="shared" si="9"/>
        <v>Good</v>
      </c>
      <c r="O45" s="19" t="str">
        <f t="shared" si="9"/>
        <v>Good</v>
      </c>
      <c r="P45" s="19" t="str">
        <f t="shared" si="9"/>
        <v>Good</v>
      </c>
      <c r="Q45" s="19">
        <f t="shared" si="9"/>
        <v>0</v>
      </c>
      <c r="R45" s="19">
        <f t="shared" si="9"/>
        <v>0</v>
      </c>
      <c r="S45" s="19">
        <f t="shared" si="9"/>
        <v>0</v>
      </c>
      <c r="T45" s="19">
        <f t="shared" si="9"/>
        <v>0</v>
      </c>
      <c r="U45" s="19">
        <f t="shared" si="9"/>
        <v>0</v>
      </c>
      <c r="V45" s="19">
        <f t="shared" si="9"/>
        <v>0</v>
      </c>
      <c r="W45" s="19">
        <f t="shared" si="9"/>
        <v>0</v>
      </c>
      <c r="X45" s="19">
        <f t="shared" si="9"/>
        <v>0</v>
      </c>
      <c r="Y45" s="19">
        <f t="shared" si="9"/>
        <v>0</v>
      </c>
      <c r="Z45" s="19">
        <f t="shared" si="9"/>
        <v>0</v>
      </c>
      <c r="AA45" s="19">
        <f t="shared" si="9"/>
        <v>0</v>
      </c>
      <c r="AB45" s="19">
        <f t="shared" si="9"/>
        <v>0</v>
      </c>
      <c r="AC45" s="19">
        <f t="shared" si="9"/>
        <v>0</v>
      </c>
      <c r="AD45" s="19" t="str">
        <f t="shared" si="9"/>
        <v>No</v>
      </c>
      <c r="AE45" s="19">
        <f t="shared" si="9"/>
        <v>0</v>
      </c>
      <c r="AF45" s="19">
        <f t="shared" si="9"/>
        <v>0</v>
      </c>
      <c r="AG45" s="19">
        <f t="shared" si="9"/>
        <v>0</v>
      </c>
    </row>
    <row r="46" spans="1:33">
      <c r="A46" s="19" t="s">
        <v>449</v>
      </c>
      <c r="Q46" s="19" t="str">
        <f>IF(Q45="TRUE","Yes","No")</f>
        <v>No</v>
      </c>
      <c r="R46" s="19" t="str">
        <f t="shared" ref="R46:AF46" si="10">IF(R45="TRUE","Yes","No")</f>
        <v>No</v>
      </c>
      <c r="S46" s="19" t="str">
        <f t="shared" si="10"/>
        <v>No</v>
      </c>
      <c r="T46" s="19" t="str">
        <f t="shared" si="10"/>
        <v>No</v>
      </c>
      <c r="U46" s="19" t="str">
        <f t="shared" si="10"/>
        <v>No</v>
      </c>
      <c r="V46" s="19" t="str">
        <f t="shared" si="10"/>
        <v>No</v>
      </c>
      <c r="W46" s="19" t="str">
        <f t="shared" si="10"/>
        <v>No</v>
      </c>
      <c r="X46" s="19" t="str">
        <f t="shared" si="10"/>
        <v>No</v>
      </c>
      <c r="Y46" s="19" t="str">
        <f t="shared" si="10"/>
        <v>No</v>
      </c>
      <c r="Z46" s="19" t="str">
        <f t="shared" si="10"/>
        <v>No</v>
      </c>
      <c r="AA46" s="19" t="str">
        <f t="shared" si="10"/>
        <v>No</v>
      </c>
      <c r="AB46" s="19" t="str">
        <f t="shared" si="10"/>
        <v>No</v>
      </c>
      <c r="AC46" s="19" t="str">
        <f t="shared" si="10"/>
        <v>No</v>
      </c>
      <c r="AF46" s="19" t="str">
        <f t="shared" si="10"/>
        <v>No</v>
      </c>
    </row>
    <row r="47" spans="1:33" ht="43.5">
      <c r="Q47" s="19" t="str">
        <f>CONCATENATE("The property is nearby a ",Q42,".")</f>
        <v>The property is nearby a .</v>
      </c>
      <c r="R47" s="19" t="str">
        <f>CONCATENATE("The property has ",R42,".")</f>
        <v>The property has .</v>
      </c>
      <c r="S47" s="19" t="str">
        <f t="shared" ref="S47:AC47" si="11">CONCATENATE("The property is nearby a ",S42,".")</f>
        <v>The property is nearby a .</v>
      </c>
      <c r="T47" s="19" t="str">
        <f>CONCATENATE("The property is in a communial area.")</f>
        <v>The property is in a communial area.</v>
      </c>
      <c r="U47" s="19" t="str">
        <f t="shared" si="11"/>
        <v>The property is nearby a .</v>
      </c>
      <c r="V47" s="19" t="str">
        <f t="shared" si="11"/>
        <v>The property is nearby a .</v>
      </c>
      <c r="W47" s="19" t="str">
        <f t="shared" si="11"/>
        <v>The property is nearby a .</v>
      </c>
      <c r="X47" s="19" t="str">
        <f>CONCATENATE("High Tension wire lines are passing through the property")</f>
        <v>High Tension wire lines are passing through the property</v>
      </c>
      <c r="Y47" s="19" t="str">
        <f t="shared" si="11"/>
        <v>The property is nearby a .</v>
      </c>
      <c r="Z47" s="19" t="str">
        <f t="shared" si="11"/>
        <v>The property is nearby a .</v>
      </c>
      <c r="AA47" s="19" t="str">
        <f>CONCATENATE("The property is in the area that is classified as ",AA42,".")</f>
        <v>The property is in the area that is classified as .</v>
      </c>
      <c r="AB47" s="19" t="str">
        <f>CONCATENATE("The property is in ",AB42,".")</f>
        <v>The property is in .</v>
      </c>
      <c r="AC47" s="19" t="str">
        <f t="shared" si="11"/>
        <v>The property is nearby a .</v>
      </c>
    </row>
    <row r="48" spans="1:33">
      <c r="Q48" s="59" t="str">
        <f>IF(Q46="Yes",Q47,"")</f>
        <v/>
      </c>
      <c r="R48" s="235" t="str">
        <f t="shared" ref="R48:AC48" si="12">IF(R46="Yes",R47,"")</f>
        <v/>
      </c>
      <c r="S48" s="235" t="str">
        <f t="shared" si="12"/>
        <v/>
      </c>
      <c r="T48" s="235" t="str">
        <f t="shared" si="12"/>
        <v/>
      </c>
      <c r="U48" s="235" t="str">
        <f t="shared" si="12"/>
        <v/>
      </c>
      <c r="V48" s="235" t="str">
        <f t="shared" si="12"/>
        <v/>
      </c>
      <c r="W48" s="235" t="str">
        <f t="shared" si="12"/>
        <v/>
      </c>
      <c r="X48" s="235" t="str">
        <f t="shared" si="12"/>
        <v/>
      </c>
      <c r="Y48" s="235" t="str">
        <f t="shared" si="12"/>
        <v/>
      </c>
      <c r="Z48" s="235" t="str">
        <f t="shared" si="12"/>
        <v/>
      </c>
      <c r="AA48" s="235" t="str">
        <f t="shared" si="12"/>
        <v/>
      </c>
      <c r="AB48" s="235" t="str">
        <f t="shared" si="12"/>
        <v/>
      </c>
      <c r="AC48" s="236" t="str">
        <f t="shared" si="12"/>
        <v/>
      </c>
    </row>
    <row r="49" spans="1:50">
      <c r="Q49" s="490" t="str">
        <f>CONCATENATE(Q48,R48,S48,T48,U48,V48,W48,X48,Y48,AA48,AB48,AC48)</f>
        <v/>
      </c>
      <c r="R49" s="491"/>
      <c r="S49" s="491"/>
      <c r="T49" s="491"/>
      <c r="U49" s="491"/>
      <c r="V49" s="491"/>
      <c r="W49" s="491"/>
      <c r="X49" s="491"/>
      <c r="Y49" s="491"/>
      <c r="Z49" s="491"/>
      <c r="AA49" s="491"/>
      <c r="AB49" s="491"/>
      <c r="AC49" s="492"/>
    </row>
    <row r="51" spans="1:50" ht="25.5">
      <c r="A51" s="483" t="s">
        <v>457</v>
      </c>
      <c r="B51" s="483"/>
      <c r="C51" s="483"/>
      <c r="D51" s="483"/>
      <c r="E51" s="483"/>
      <c r="F51" s="483"/>
      <c r="G51" s="483"/>
      <c r="H51" s="483"/>
      <c r="I51" s="483"/>
      <c r="J51" s="483"/>
      <c r="K51" s="234">
        <v>9999</v>
      </c>
      <c r="L51" s="234">
        <v>2</v>
      </c>
      <c r="M51" s="234">
        <v>2</v>
      </c>
    </row>
    <row r="52" spans="1:50">
      <c r="A52" s="19" t="s">
        <v>445</v>
      </c>
      <c r="B52" s="19" t="e" cm="1">
        <f t="array" ref="B52" ca="1">_xlfn._xlws.FILTER(INDIRECT("'06.Building'!$C$"&amp;M51&amp;":$AY$"&amp;K51),"File ID"=INDIRECT("'06.Building'!$C$"&amp;M51&amp;":$C$"&amp;K51))</f>
        <v>#REF!</v>
      </c>
    </row>
    <row r="53" spans="1:50">
      <c r="A53" s="19" t="s">
        <v>446</v>
      </c>
      <c r="B53" s="19" t="e" cm="1">
        <f t="array" ref="B53" ca="1">_xlfn._xlws.FILTER(INDIRECT("'06 Building'!$A$"&amp;M51&amp;":$AY$"&amp;K51),O3=INDIRECT("'06 Building'!$A$"&amp;M51&amp;":$A$"&amp;K51))</f>
        <v>#REF!</v>
      </c>
    </row>
    <row r="54" spans="1:50" ht="102" customHeight="1">
      <c r="A54" s="19" t="s">
        <v>229</v>
      </c>
      <c r="D54" s="19" t="str">
        <f>'[1]03.ValRepo'!G227</f>
        <v>Redy-Normal Building</v>
      </c>
      <c r="E54" s="19">
        <f>'[1]03.ValRepo'!G279</f>
        <v>4.5</v>
      </c>
      <c r="F54" s="19">
        <f>'[1]03.ValRepo'!G281</f>
        <v>1.5</v>
      </c>
      <c r="G54" s="19">
        <f>'[1]03.ValRepo'!G283</f>
        <v>2.2000000000000002</v>
      </c>
      <c r="H54" s="19">
        <f>'[1]03.ValRepo'!G285</f>
        <v>1.5</v>
      </c>
      <c r="I54" s="19">
        <f>'[1]03.ValRepo'!G241</f>
        <v>0</v>
      </c>
      <c r="J54" s="19">
        <f>'[1]03.ValRepo'!G243</f>
        <v>0</v>
      </c>
      <c r="K54" s="19" t="str">
        <f>'[1]03.ValRepo'!G251</f>
        <v>GF+1</v>
      </c>
      <c r="L54" s="19">
        <f>'[1]03.ValRepo'!G245</f>
        <v>0</v>
      </c>
      <c r="N54" s="19">
        <f>'[1]03.ValRepo'!G247</f>
        <v>0</v>
      </c>
      <c r="O54" s="19" t="str">
        <f>'[1]03.ValRepo'!G239</f>
        <v>14/2018</v>
      </c>
      <c r="P54" s="19">
        <f>'[1]03.ValRepo'!G235</f>
        <v>1</v>
      </c>
      <c r="Q54" s="19" t="str">
        <f>'[1]03.ValRepo'!G259</f>
        <v>RR Masonery</v>
      </c>
      <c r="R54" s="19" t="str">
        <f>'[1]03.ValRepo'!G261</f>
        <v>Load Bearing Structure</v>
      </c>
      <c r="S54" s="19" t="str">
        <f>'[1]03.ValRepo'!G263</f>
        <v>RCC Roof</v>
      </c>
      <c r="T54" s="19" t="str">
        <f>'[1]03.ValRepo'!G265</f>
        <v>Vitrified tiles</v>
      </c>
      <c r="U54" s="19" t="str">
        <f>IF(CONCATENATE('[1]03.ValRepo'!G267," ",'[1]03.ValRepo'!J267)=" ",0,CONCATENATE('[1]03.ValRepo'!G267," ",'[1]03.ValRepo'!J267))</f>
        <v>Front Door with Country wood, Other Frames and Shutters with Country Woods, Fiber Doors</v>
      </c>
      <c r="V54" s="19" t="str">
        <f>'[1]03.ValRepo'!G269</f>
        <v>Standard</v>
      </c>
      <c r="W54" s="19" t="str">
        <f>'[1]03.ValRepo'!G271</f>
        <v>Standard</v>
      </c>
      <c r="X54" s="19" t="str">
        <f>'[1]03.ValRepo'!S275</f>
        <v>Concrete Slab , Granite Finish</v>
      </c>
      <c r="Y54" s="19" t="str">
        <f>'[1]03.ValRepo'!G231</f>
        <v>Owner Occupied</v>
      </c>
      <c r="Z54" s="19">
        <f>'[1]03.ValRepo'!G233</f>
        <v>0</v>
      </c>
      <c r="AA54" s="19" t="str">
        <f>'[1]03.ValRepo'!G229</f>
        <v>Residential-A1</v>
      </c>
      <c r="AB54" s="19" t="str">
        <f>'[1]03.ValRepo'!G251</f>
        <v>GF+1</v>
      </c>
      <c r="AC54" s="19">
        <f>'[1]03.ValRepo'!G253</f>
        <v>4</v>
      </c>
      <c r="AD54" s="19">
        <f>'[1]03.ValRepo'!G255</f>
        <v>1</v>
      </c>
      <c r="AE54" s="19">
        <f>'[1]03.ValRepo'!G257</f>
        <v>3</v>
      </c>
      <c r="AF54" s="19">
        <f>'[1]03.ValRepo'!G297</f>
        <v>269.51</v>
      </c>
      <c r="AG54" s="19">
        <f>'[1]03.ValRepo'!G295</f>
        <v>167.28</v>
      </c>
      <c r="AH54" s="19">
        <f>'[1]03.ValRepo'!G237</f>
        <v>2015</v>
      </c>
      <c r="AI54" s="19">
        <f>IF('[1]4.LandAndBuilding_2'!D239="No","False",IF('[1]4.LandAndBuilding_2'!D239="Yes","True",IF('[1]4.LandAndBuilding_2'!D239=0,0,'[1]4.LandAndBuilding_2'!D239)))</f>
        <v>0</v>
      </c>
      <c r="AJ54" s="19">
        <f>IF('[1]03.ValRepo'!G223="No","False",IF('[1]03.ValRepo'!G223="Yes","True",IF('[1]03.ValRepo'!G223=0,0,'[1]03.ValRepo'!G223)))</f>
        <v>0</v>
      </c>
      <c r="AK54" s="19" t="str">
        <f>IF('[1]03.ValRepo'!G287="No","False",IF('[1]03.ValRepo'!G287="Yes","True",IF('[1]03.ValRepo'!G287=0,0,'[1]03.ValRepo'!G287)))</f>
        <v>False</v>
      </c>
      <c r="AL54" s="19" t="str">
        <f>'[1]03.ValRepo'!G289</f>
        <v>Good</v>
      </c>
      <c r="AM54" s="19" t="str">
        <f>'[1]03.ValRepo'!G291</f>
        <v>Good</v>
      </c>
      <c r="AN54" s="19">
        <f>'[1]4.LandAndBuilding_2'!J241</f>
        <v>0</v>
      </c>
      <c r="AO54" s="19" t="str">
        <f>'[1]03.ValRepo'!G277</f>
        <v>Good</v>
      </c>
      <c r="AS54" s="19">
        <f>'[1]03.ValRepo'!G247</f>
        <v>0</v>
      </c>
      <c r="AT54" s="19" t="str">
        <f>IF(CONCATENATE('[1]03.ValRepo'!G275," ",'[1]03.ValRepo'!J275)=" ",0,CONCATENATE('[1]03.ValRepo'!G275,", ",'[1]03.ValRepo'!J275))</f>
        <v>Concrete Slab, Granite Finish</v>
      </c>
      <c r="AW54" s="19" t="str">
        <f>'[1]03.ValRepo'!G249</f>
        <v>NA</v>
      </c>
    </row>
    <row r="55" spans="1:50" ht="72.5">
      <c r="A55" s="19" t="s">
        <v>447</v>
      </c>
      <c r="D55" s="19" t="str">
        <f>IF(D54=0,D53,D54)</f>
        <v>Redy-Normal Building</v>
      </c>
      <c r="E55" s="19">
        <f t="shared" ref="E55:AX55" si="13">IF(E54=0,E53,E54)</f>
        <v>4.5</v>
      </c>
      <c r="F55" s="19">
        <f t="shared" si="13"/>
        <v>1.5</v>
      </c>
      <c r="G55" s="19">
        <f t="shared" si="13"/>
        <v>2.2000000000000002</v>
      </c>
      <c r="H55" s="19">
        <f t="shared" si="13"/>
        <v>1.5</v>
      </c>
      <c r="I55" s="19">
        <f>IF(I53=0,I54,IF(I54=0,I53,I54))</f>
        <v>0</v>
      </c>
      <c r="J55" s="19">
        <f>IF(J53=0,J54,IF(J54=0,J53,J54))</f>
        <v>0</v>
      </c>
      <c r="K55" s="19" t="str">
        <f>IF(K53=0,K54,IF(K54=0,K53,K54))</f>
        <v>GF+1</v>
      </c>
      <c r="L55" s="19">
        <f>IF(L53=0,L54,IF(L54=0,L53,L54))</f>
        <v>0</v>
      </c>
      <c r="M55" s="19">
        <f t="shared" ref="M55:O55" si="14">IF(M53=0,M54,IF(M54=0,M53,M54))</f>
        <v>0</v>
      </c>
      <c r="N55" s="19">
        <f t="shared" si="14"/>
        <v>0</v>
      </c>
      <c r="O55" s="19" t="str">
        <f t="shared" si="14"/>
        <v>14/2018</v>
      </c>
      <c r="P55" s="19">
        <f t="shared" si="13"/>
        <v>1</v>
      </c>
      <c r="Q55" s="19" t="str">
        <f t="shared" si="13"/>
        <v>RR Masonery</v>
      </c>
      <c r="R55" s="19" t="str">
        <f t="shared" si="13"/>
        <v>Load Bearing Structure</v>
      </c>
      <c r="S55" s="19" t="str">
        <f t="shared" si="13"/>
        <v>RCC Roof</v>
      </c>
      <c r="T55" s="19" t="str">
        <f t="shared" si="13"/>
        <v>Vitrified tiles</v>
      </c>
      <c r="U55" s="19" t="str">
        <f t="shared" si="13"/>
        <v>Front Door with Country wood, Other Frames and Shutters with Country Woods, Fiber Doors</v>
      </c>
      <c r="V55" s="19" t="str">
        <f t="shared" si="13"/>
        <v>Standard</v>
      </c>
      <c r="W55" s="19" t="str">
        <f t="shared" si="13"/>
        <v>Standard</v>
      </c>
      <c r="X55" s="19" t="str">
        <f t="shared" si="13"/>
        <v>Concrete Slab , Granite Finish</v>
      </c>
      <c r="Y55" s="19" t="str">
        <f t="shared" si="13"/>
        <v>Owner Occupied</v>
      </c>
      <c r="Z55" s="19">
        <f t="shared" si="13"/>
        <v>0</v>
      </c>
      <c r="AA55" s="19" t="str">
        <f t="shared" si="13"/>
        <v>Residential-A1</v>
      </c>
      <c r="AB55" s="19" t="str">
        <f t="shared" si="13"/>
        <v>GF+1</v>
      </c>
      <c r="AC55" s="19">
        <f t="shared" si="13"/>
        <v>4</v>
      </c>
      <c r="AD55" s="19">
        <f t="shared" si="13"/>
        <v>1</v>
      </c>
      <c r="AE55" s="19">
        <f t="shared" si="13"/>
        <v>3</v>
      </c>
      <c r="AF55" s="19">
        <f t="shared" si="13"/>
        <v>269.51</v>
      </c>
      <c r="AG55" s="19">
        <f t="shared" si="13"/>
        <v>167.28</v>
      </c>
      <c r="AH55" s="19">
        <f t="shared" si="13"/>
        <v>2015</v>
      </c>
      <c r="AI55" s="19">
        <f t="shared" si="13"/>
        <v>0</v>
      </c>
      <c r="AJ55" s="19">
        <f t="shared" si="13"/>
        <v>0</v>
      </c>
      <c r="AK55" s="19" t="str">
        <f t="shared" si="13"/>
        <v>False</v>
      </c>
      <c r="AL55" s="19" t="str">
        <f t="shared" si="13"/>
        <v>Good</v>
      </c>
      <c r="AM55" s="19" t="str">
        <f t="shared" si="13"/>
        <v>Good</v>
      </c>
      <c r="AN55" s="19">
        <f t="shared" si="13"/>
        <v>0</v>
      </c>
      <c r="AO55" s="19" t="str">
        <f t="shared" si="13"/>
        <v>Good</v>
      </c>
      <c r="AP55" s="19">
        <f t="shared" si="13"/>
        <v>0</v>
      </c>
      <c r="AQ55" s="19">
        <f t="shared" si="13"/>
        <v>0</v>
      </c>
      <c r="AR55" s="19">
        <f t="shared" si="13"/>
        <v>0</v>
      </c>
      <c r="AS55" s="19">
        <f>IF(AS53=0,AS54,IF(AS54=0,AS53,AS54))</f>
        <v>0</v>
      </c>
      <c r="AT55" s="19" t="str">
        <f t="shared" si="13"/>
        <v>Concrete Slab, Granite Finish</v>
      </c>
      <c r="AU55" s="19">
        <f t="shared" si="13"/>
        <v>0</v>
      </c>
      <c r="AV55" s="19">
        <f t="shared" si="13"/>
        <v>0</v>
      </c>
      <c r="AW55" s="19" t="str">
        <f t="shared" si="13"/>
        <v>NA</v>
      </c>
      <c r="AX55" s="19">
        <f t="shared" si="13"/>
        <v>0</v>
      </c>
    </row>
    <row r="56" spans="1:50">
      <c r="A56" s="19" t="s">
        <v>449</v>
      </c>
      <c r="O56" s="19" t="str">
        <f>IF(O55="","",IF(O55=0,"",CONCATENATE("Door No. ",O55,", ")))</f>
        <v xml:space="preserve">Door No. 14/2018, </v>
      </c>
      <c r="AF56" s="19">
        <f>ROUND(AF55*10.76,2)</f>
        <v>2899.93</v>
      </c>
      <c r="AI56" s="19" t="str">
        <f>IF(AI55="TRUE","Yes","Nil")</f>
        <v>Nil</v>
      </c>
      <c r="AJ56" s="19" t="str">
        <f>IF(AJ55="TRUE","Yes","Nil")</f>
        <v>Nil</v>
      </c>
      <c r="AK56" s="19" t="str">
        <f>IF(AK55="TRUE","Yes","Nil")</f>
        <v>Nil</v>
      </c>
    </row>
    <row r="57" spans="1:50" ht="59.25" customHeight="1">
      <c r="O57" s="19" t="str">
        <f>CONCATENATE("Door No.",O55,", ",P26)</f>
        <v>Door No.14/2018, Cochin Corporation Corporation</v>
      </c>
      <c r="U57" s="19" t="str">
        <f>'[1]03.ValRepo'!G267</f>
        <v>Front Door with Country wood,</v>
      </c>
      <c r="V57" s="19" t="str">
        <f>'[1]03.ValRepo'!J267</f>
        <v>Other Frames and Shutters with Country Woods, Fiber Doors</v>
      </c>
    </row>
    <row r="61" spans="1:50" ht="25.5">
      <c r="A61" s="483" t="s">
        <v>458</v>
      </c>
      <c r="B61" s="483"/>
      <c r="C61" s="483"/>
      <c r="D61" s="483"/>
      <c r="E61" s="483"/>
      <c r="F61" s="483"/>
      <c r="G61" s="483"/>
      <c r="H61" s="483"/>
      <c r="I61" s="483"/>
      <c r="J61" s="483"/>
      <c r="K61" s="234">
        <v>9999</v>
      </c>
      <c r="L61" s="234">
        <v>2</v>
      </c>
      <c r="M61" s="234">
        <v>2</v>
      </c>
    </row>
    <row r="62" spans="1:50">
      <c r="A62" s="19" t="s">
        <v>445</v>
      </c>
      <c r="B62" s="19" t="e" cm="1">
        <f t="array" ref="B62" ca="1">_xlfn._xlws.FILTER(INDIRECT("'07.Photoandloc'!$C$"&amp;M61&amp;":$AH$"&amp;K61),"File ID"=INDIRECT("'07.photoandloc'!$C$"&amp;M61&amp;":$C$"&amp;K61))</f>
        <v>#REF!</v>
      </c>
      <c r="AH62" s="19" t="s">
        <v>459</v>
      </c>
    </row>
    <row r="63" spans="1:50">
      <c r="A63" s="19" t="s">
        <v>446</v>
      </c>
      <c r="B63" s="19" t="e" cm="1">
        <f t="array" ref="B63" ca="1">_xlfn._xlws.FILTER(INDIRECT("'07 PhotosandLoc'!$A$"&amp;M61&amp;":$AH$"&amp;K61),O3=INDIRECT("'07 PhotosandLoc'!$A$"&amp;M61&amp;":$A$"&amp;K61))</f>
        <v>#REF!</v>
      </c>
    </row>
    <row r="64" spans="1:50" ht="75" customHeight="1">
      <c r="A64" s="19" t="s">
        <v>229</v>
      </c>
      <c r="D64" s="19" t="str">
        <f>'[1]03.ValRepo'!G147</f>
        <v>9.916215, 76.282815</v>
      </c>
      <c r="E64" s="19" t="s">
        <v>460</v>
      </c>
      <c r="F64" s="19" t="s">
        <v>460</v>
      </c>
      <c r="G64" s="19" t="s">
        <v>460</v>
      </c>
      <c r="H64" s="19" t="s">
        <v>460</v>
      </c>
      <c r="I64" s="19" t="s">
        <v>460</v>
      </c>
      <c r="J64" s="19" t="s">
        <v>460</v>
      </c>
      <c r="K64" s="19" t="s">
        <v>460</v>
      </c>
      <c r="L64" s="19" t="s">
        <v>460</v>
      </c>
      <c r="M64" s="19" t="s">
        <v>460</v>
      </c>
      <c r="N64" s="19" t="s">
        <v>460</v>
      </c>
      <c r="O64" s="19" t="s">
        <v>460</v>
      </c>
      <c r="P64" s="19" t="s">
        <v>460</v>
      </c>
      <c r="Q64" s="19" t="s">
        <v>460</v>
      </c>
      <c r="R64" s="19" t="s">
        <v>460</v>
      </c>
      <c r="S64" s="19" t="s">
        <v>460</v>
      </c>
      <c r="T64" s="19" t="s">
        <v>460</v>
      </c>
      <c r="U64" s="19" t="s">
        <v>460</v>
      </c>
      <c r="V64" s="19" t="s">
        <v>460</v>
      </c>
      <c r="W64" s="19" t="s">
        <v>460</v>
      </c>
      <c r="X64" s="19" t="s">
        <v>460</v>
      </c>
      <c r="Y64" s="237">
        <f>'[1]03.ValRepo'!G303</f>
        <v>5.5</v>
      </c>
      <c r="AB64" s="19" t="s">
        <v>460</v>
      </c>
      <c r="AC64" s="19" t="s">
        <v>460</v>
      </c>
      <c r="AD64" s="19" t="s">
        <v>460</v>
      </c>
      <c r="AE64" s="19" t="s">
        <v>460</v>
      </c>
      <c r="AF64" s="19" t="s">
        <v>460</v>
      </c>
      <c r="AG64" s="19" t="s">
        <v>460</v>
      </c>
      <c r="AH64" s="19" t="s">
        <v>460</v>
      </c>
    </row>
    <row r="65" spans="1:34" s="75" customFormat="1" ht="87">
      <c r="A65" s="75" t="s">
        <v>447</v>
      </c>
      <c r="D65" s="75" t="str">
        <f>IF(D64=0,D63,D64)</f>
        <v>9.916215, 76.282815</v>
      </c>
      <c r="E65" s="75" t="str">
        <f>CONCATENATE(E64,E63)</f>
        <v>G:\My Drive\appsheet\data\ValApp100-289400884-24-04-30\</v>
      </c>
      <c r="F65" s="75" t="str">
        <f t="shared" ref="F65:X65" si="15">CONCATENATE(F64,F63)</f>
        <v>G:\My Drive\appsheet\data\ValApp100-289400884-24-04-30\</v>
      </c>
      <c r="G65" s="75" t="str">
        <f t="shared" si="15"/>
        <v>G:\My Drive\appsheet\data\ValApp100-289400884-24-04-30\</v>
      </c>
      <c r="H65" s="75" t="str">
        <f t="shared" si="15"/>
        <v>G:\My Drive\appsheet\data\ValApp100-289400884-24-04-30\</v>
      </c>
      <c r="I65" s="75" t="str">
        <f t="shared" si="15"/>
        <v>G:\My Drive\appsheet\data\ValApp100-289400884-24-04-30\</v>
      </c>
      <c r="J65" s="75" t="str">
        <f t="shared" si="15"/>
        <v>G:\My Drive\appsheet\data\ValApp100-289400884-24-04-30\</v>
      </c>
      <c r="K65" s="75" t="str">
        <f t="shared" si="15"/>
        <v>G:\My Drive\appsheet\data\ValApp100-289400884-24-04-30\</v>
      </c>
      <c r="L65" s="75" t="str">
        <f t="shared" si="15"/>
        <v>G:\My Drive\appsheet\data\ValApp100-289400884-24-04-30\</v>
      </c>
      <c r="M65" s="75" t="str">
        <f t="shared" si="15"/>
        <v>G:\My Drive\appsheet\data\ValApp100-289400884-24-04-30\</v>
      </c>
      <c r="N65" s="75" t="str">
        <f t="shared" si="15"/>
        <v>G:\My Drive\appsheet\data\ValApp100-289400884-24-04-30\</v>
      </c>
      <c r="O65" s="75" t="str">
        <f t="shared" si="15"/>
        <v>G:\My Drive\appsheet\data\ValApp100-289400884-24-04-30\</v>
      </c>
      <c r="P65" s="75" t="str">
        <f t="shared" si="15"/>
        <v>G:\My Drive\appsheet\data\ValApp100-289400884-24-04-30\</v>
      </c>
      <c r="Q65" s="75" t="str">
        <f t="shared" si="15"/>
        <v>G:\My Drive\appsheet\data\ValApp100-289400884-24-04-30\</v>
      </c>
      <c r="R65" s="75" t="str">
        <f t="shared" si="15"/>
        <v>G:\My Drive\appsheet\data\ValApp100-289400884-24-04-30\</v>
      </c>
      <c r="S65" s="75" t="str">
        <f t="shared" si="15"/>
        <v>G:\My Drive\appsheet\data\ValApp100-289400884-24-04-30\</v>
      </c>
      <c r="T65" s="75" t="str">
        <f t="shared" si="15"/>
        <v>G:\My Drive\appsheet\data\ValApp100-289400884-24-04-30\</v>
      </c>
      <c r="U65" s="75" t="str">
        <f t="shared" si="15"/>
        <v>G:\My Drive\appsheet\data\ValApp100-289400884-24-04-30\</v>
      </c>
      <c r="V65" s="75" t="str">
        <f t="shared" si="15"/>
        <v>G:\My Drive\appsheet\data\ValApp100-289400884-24-04-30\</v>
      </c>
      <c r="W65" s="75" t="str">
        <f t="shared" si="15"/>
        <v>G:\My Drive\appsheet\data\ValApp100-289400884-24-04-30\</v>
      </c>
      <c r="X65" s="75" t="str">
        <f t="shared" si="15"/>
        <v>G:\My Drive\appsheet\data\ValApp100-289400884-24-04-30\</v>
      </c>
      <c r="Y65" s="238">
        <f>IF(Y64=0,Y63,Y64)</f>
        <v>5.5</v>
      </c>
      <c r="Z65" s="75">
        <f>IF(Z64=0,Z63,Z64)</f>
        <v>0</v>
      </c>
      <c r="AA65" s="75">
        <f>IF(AA64=0,AA63,AA64)</f>
        <v>0</v>
      </c>
      <c r="AB65" s="75" t="str">
        <f t="shared" ref="AB65:AG65" si="16">CONCATENATE(AB64,AB63)</f>
        <v>G:\My Drive\appsheet\data\ValApp100-289400884-24-04-30\</v>
      </c>
      <c r="AC65" s="75" t="str">
        <f t="shared" si="16"/>
        <v>G:\My Drive\appsheet\data\ValApp100-289400884-24-04-30\</v>
      </c>
      <c r="AD65" s="75" t="str">
        <f t="shared" si="16"/>
        <v>G:\My Drive\appsheet\data\ValApp100-289400884-24-04-30\</v>
      </c>
      <c r="AE65" s="75" t="str">
        <f t="shared" si="16"/>
        <v>G:\My Drive\appsheet\data\ValApp100-289400884-24-04-30\</v>
      </c>
      <c r="AF65" s="75" t="str">
        <f t="shared" si="16"/>
        <v>G:\My Drive\appsheet\data\ValApp100-289400884-24-04-30\</v>
      </c>
      <c r="AG65" s="75" t="str">
        <f t="shared" si="16"/>
        <v>G:\My Drive\appsheet\data\ValApp100-289400884-24-04-30\</v>
      </c>
      <c r="AH65" s="75" t="s">
        <v>461</v>
      </c>
    </row>
    <row r="66" spans="1:34">
      <c r="A66" s="19" t="s">
        <v>449</v>
      </c>
      <c r="D66" s="19" t="str">
        <f>LEFT(D65,FIND(", ",D65)-1)</f>
        <v>9.916215</v>
      </c>
    </row>
    <row r="67" spans="1:34">
      <c r="D67" s="19" t="str">
        <f>RIGHT(D65,LEN(D65)-FIND(", ",D65))</f>
        <v xml:space="preserve"> 76.282815</v>
      </c>
      <c r="E67" s="19">
        <v>1</v>
      </c>
      <c r="F67" s="19">
        <v>2</v>
      </c>
      <c r="G67" s="19">
        <v>3</v>
      </c>
      <c r="H67" s="19">
        <v>4</v>
      </c>
      <c r="I67" s="19">
        <v>5</v>
      </c>
      <c r="J67" s="19">
        <v>6</v>
      </c>
      <c r="K67" s="19">
        <v>7</v>
      </c>
      <c r="L67" s="19">
        <v>8</v>
      </c>
      <c r="M67" s="19">
        <v>9</v>
      </c>
      <c r="N67" s="19">
        <v>10</v>
      </c>
      <c r="O67" s="19">
        <v>11</v>
      </c>
      <c r="P67" s="19">
        <v>12</v>
      </c>
      <c r="Q67" s="19">
        <v>13</v>
      </c>
      <c r="R67" s="19">
        <v>14</v>
      </c>
      <c r="S67" s="19">
        <v>15</v>
      </c>
      <c r="T67" s="19">
        <v>16</v>
      </c>
      <c r="U67" s="19">
        <v>17</v>
      </c>
      <c r="V67" s="19">
        <v>18</v>
      </c>
      <c r="W67" s="19">
        <v>19</v>
      </c>
      <c r="X67" s="19">
        <v>20</v>
      </c>
    </row>
    <row r="68" spans="1:34">
      <c r="D68" s="19" t="str">
        <f>TRUNC(LEFT(D65,FIND(",",D65)-1))&amp;"° "&amp;TRUNC((LEFT(D65,FIND(",",D65)-1)-TRUNC(LEFT(D65,FIND(",",D65)-1)))*60)&amp;"' "&amp;ROUND(((LEFT(D65,FIND(",",D65)-1)-TRUNC(LEFT(D65,FIND(",",D65)-1)))*60-TRUNC((LEFT(D65,FIND(",",D65)-1)-TRUNC(LEFT(D65,FIND(",",D65)-1)))*60))*60,2)&amp;""" N"</f>
        <v>9° 54' 58.37" N</v>
      </c>
    </row>
    <row r="69" spans="1:34">
      <c r="D69" s="19" t="str">
        <f>TRUNC(RIGHT(D65,LEN(D65)-FIND(",",D65)))&amp;"° "&amp;TRUNC((RIGHT(D65,LEN(D65)-FIND(",",D65))-TRUNC(RIGHT(D65,LEN(D65)-FIND(",",D65))))*60)&amp;"' "&amp;ROUND(((RIGHT(D65,LEN(D65)-FIND(",",D65))-TRUNC(RIGHT(D65,LEN(D65)-FIND(",",D65))))*60-TRUNC((RIGHT(D65,LEN(D65)-FIND(",",D65))-TRUNC(RIGHT(D65,LEN(D65)-FIND(",",D65))))*60))*60,2)&amp;""" E"</f>
        <v>76° 16' 58.13" E</v>
      </c>
    </row>
    <row r="70" spans="1:34">
      <c r="D70" s="19" t="str">
        <f>TRUNC(LEFT(D65,FIND(",",D65)-1))&amp;"° "&amp;TRUNC((LEFT(D65,FIND(",",D65)-1)-TRUNC(LEFT(D65,FIND(",",D65)-1)))*60)&amp;"' "&amp;ROUND(((LEFT(D65,FIND(",",D65)-1)-TRUNC(LEFT(D65,FIND(",",D65)-1)))*60-TRUNC((LEFT(D65,FIND(",",D65)-1)-TRUNC(LEFT(D65,FIND(",",D65)-1)))*60))*60,2)&amp;""" N, "&amp;TRUNC(RIGHT(D65,LEN(D65)-FIND(",",D65)))&amp;"° "&amp;TRUNC((RIGHT(D65,LEN(D65)-FIND(",",D65))-TRUNC(RIGHT(D65,LEN(D65)-FIND(",",D65))))*60)&amp;"' "&amp;ROUND(((RIGHT(D65,LEN(D65)-FIND(",",D65))-TRUNC(RIGHT(D65,LEN(D65)-FIND(",",D65))))*60-TRUNC((RIGHT(D65,LEN(D65)-FIND(",",D65))-TRUNC(RIGHT(D65,LEN(D65)-FIND(",",D65))))*60))*60,2)&amp;""" E"</f>
        <v>9° 54' 58.37" N, 76° 16' 58.13" E</v>
      </c>
    </row>
  </sheetData>
  <mergeCells count="12">
    <mergeCell ref="F7:G7"/>
    <mergeCell ref="A11:J11"/>
    <mergeCell ref="A21:J21"/>
    <mergeCell ref="M26:N26"/>
    <mergeCell ref="P26:Q26"/>
    <mergeCell ref="A61:J61"/>
    <mergeCell ref="A18:B20"/>
    <mergeCell ref="AD28:AI28"/>
    <mergeCell ref="A31:J31"/>
    <mergeCell ref="A41:J41"/>
    <mergeCell ref="Q49:AC49"/>
    <mergeCell ref="A51:J5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0"/>
  <dimension ref="B1:AU540"/>
  <sheetViews>
    <sheetView topLeftCell="H46" workbookViewId="0">
      <selection activeCell="H44" sqref="H44:I44"/>
    </sheetView>
  </sheetViews>
  <sheetFormatPr defaultColWidth="8.7265625" defaultRowHeight="20.149999999999999" customHeight="1"/>
  <cols>
    <col min="1" max="1" width="8.7265625" style="133"/>
    <col min="2" max="2" width="8.7265625" style="134"/>
    <col min="3" max="3" width="8.7265625" style="128"/>
    <col min="4" max="7" width="8.7265625" style="135"/>
    <col min="8" max="8" width="8.7265625" style="136"/>
    <col min="9" max="19" width="8.7265625" style="135"/>
    <col min="20" max="20" width="8.7265625" style="134"/>
    <col min="21" max="21" width="8.7265625" style="128" customWidth="1"/>
    <col min="22" max="25" width="8.7265625" style="135" customWidth="1"/>
    <col min="26" max="26" width="8.7265625" style="136" customWidth="1"/>
    <col min="27" max="35" width="8.7265625" style="135" customWidth="1"/>
    <col min="36" max="36" width="8.7265625" style="135"/>
    <col min="37" max="16384" width="8.7265625" style="133"/>
  </cols>
  <sheetData>
    <row r="1" spans="2:47" s="127" customFormat="1" ht="20.149999999999999" customHeight="1">
      <c r="B1" s="137"/>
      <c r="C1" s="138"/>
      <c r="D1" s="137"/>
      <c r="E1" s="137"/>
      <c r="F1" s="137"/>
      <c r="G1" s="137"/>
      <c r="H1" s="139"/>
      <c r="I1" s="137"/>
      <c r="J1" s="137"/>
      <c r="K1" s="137"/>
      <c r="L1" s="137"/>
      <c r="M1" s="137"/>
      <c r="N1" s="137"/>
      <c r="O1" s="137"/>
      <c r="P1" s="137"/>
      <c r="Q1" s="137"/>
      <c r="R1" s="137"/>
      <c r="S1" s="137"/>
      <c r="T1" s="137"/>
      <c r="U1" s="138"/>
      <c r="V1" s="137"/>
      <c r="W1" s="137"/>
      <c r="X1" s="137"/>
      <c r="Y1" s="137"/>
      <c r="Z1" s="139"/>
      <c r="AA1" s="137"/>
      <c r="AB1" s="137"/>
      <c r="AC1" s="137"/>
      <c r="AD1" s="137"/>
      <c r="AE1" s="137"/>
      <c r="AF1" s="137"/>
      <c r="AG1" s="137"/>
      <c r="AH1" s="137"/>
      <c r="AI1" s="137"/>
      <c r="AJ1" s="137"/>
    </row>
    <row r="2" spans="2:47" s="127" customFormat="1" ht="20.149999999999999" customHeight="1">
      <c r="B2" s="137"/>
      <c r="C2" s="138"/>
      <c r="D2" s="137"/>
      <c r="E2" s="137"/>
      <c r="F2" s="137"/>
      <c r="G2" s="137"/>
      <c r="H2" s="139"/>
      <c r="I2" s="137"/>
      <c r="J2" s="137"/>
      <c r="K2" s="137"/>
      <c r="L2" s="137"/>
      <c r="M2" s="137"/>
      <c r="N2" s="137"/>
      <c r="O2" s="137"/>
      <c r="P2" s="137"/>
      <c r="Q2" s="137"/>
      <c r="R2" s="137"/>
      <c r="S2" s="137"/>
      <c r="T2" s="137"/>
      <c r="U2" s="138"/>
      <c r="V2" s="137"/>
      <c r="W2" s="137"/>
      <c r="X2" s="137"/>
      <c r="Y2" s="137"/>
      <c r="Z2" s="139"/>
      <c r="AA2" s="137"/>
      <c r="AB2" s="137"/>
      <c r="AC2" s="137"/>
      <c r="AD2" s="137"/>
      <c r="AE2" s="137"/>
      <c r="AF2" s="137"/>
      <c r="AG2" s="137"/>
      <c r="AH2" s="137"/>
      <c r="AI2" s="137"/>
      <c r="AJ2" s="137"/>
    </row>
    <row r="3" spans="2:47" s="127" customFormat="1" ht="20.149999999999999" customHeight="1">
      <c r="B3" s="137"/>
      <c r="C3" s="138"/>
      <c r="D3" s="137"/>
      <c r="E3" s="137"/>
      <c r="F3" s="137"/>
      <c r="G3" s="137"/>
      <c r="H3" s="139"/>
      <c r="I3" s="137"/>
      <c r="J3" s="137"/>
      <c r="K3" s="137"/>
      <c r="L3" s="137"/>
      <c r="M3" s="137"/>
      <c r="N3" s="137"/>
      <c r="O3" s="137"/>
      <c r="P3" s="137"/>
      <c r="Q3" s="137"/>
      <c r="R3" s="137"/>
      <c r="S3" s="137"/>
      <c r="T3" s="137"/>
      <c r="U3" s="138"/>
      <c r="V3" s="137"/>
      <c r="W3" s="137"/>
      <c r="X3" s="137"/>
      <c r="Y3" s="137"/>
      <c r="Z3" s="139"/>
      <c r="AA3" s="137"/>
      <c r="AB3" s="137"/>
      <c r="AC3" s="137"/>
      <c r="AD3" s="137"/>
      <c r="AE3" s="137"/>
      <c r="AF3" s="137"/>
      <c r="AG3" s="137"/>
      <c r="AH3" s="137"/>
      <c r="AI3" s="137"/>
      <c r="AJ3" s="137"/>
      <c r="AK3" s="133"/>
      <c r="AL3" s="133"/>
      <c r="AM3" s="133"/>
      <c r="AN3" s="133"/>
      <c r="AO3" s="133"/>
      <c r="AP3" s="133"/>
      <c r="AQ3" s="133"/>
      <c r="AR3" s="133"/>
      <c r="AS3" s="133"/>
      <c r="AT3" s="133"/>
      <c r="AU3" s="133"/>
    </row>
    <row r="4" spans="2:47" ht="20.149999999999999" customHeight="1">
      <c r="B4" s="140"/>
      <c r="C4" s="141"/>
      <c r="D4" s="142"/>
      <c r="E4" s="141"/>
      <c r="F4" s="142"/>
      <c r="G4" s="141"/>
      <c r="H4" s="142"/>
      <c r="I4" s="141"/>
      <c r="J4" s="142"/>
      <c r="K4" s="141"/>
      <c r="L4" s="142"/>
      <c r="M4" s="141"/>
      <c r="N4" s="141"/>
      <c r="O4" s="141"/>
      <c r="P4" s="141"/>
      <c r="Q4" s="141"/>
      <c r="R4" s="142"/>
      <c r="T4" s="140"/>
      <c r="U4" s="141"/>
      <c r="V4" s="142"/>
      <c r="W4" s="141"/>
      <c r="X4" s="142"/>
      <c r="Y4" s="141"/>
      <c r="Z4" s="142"/>
      <c r="AA4" s="141"/>
      <c r="AB4" s="142"/>
      <c r="AC4" s="141"/>
      <c r="AD4" s="142"/>
      <c r="AE4" s="141"/>
      <c r="AF4" s="141"/>
      <c r="AG4" s="141"/>
      <c r="AH4" s="141"/>
      <c r="AI4" s="141"/>
      <c r="AJ4" s="142"/>
    </row>
    <row r="5" spans="2:47" ht="20.149999999999999" customHeight="1">
      <c r="B5" s="143"/>
      <c r="C5" s="644" t="s">
        <v>462</v>
      </c>
      <c r="D5" s="644"/>
      <c r="E5" s="644"/>
      <c r="F5" s="644"/>
      <c r="G5" s="644"/>
      <c r="H5" s="644"/>
      <c r="I5" s="644"/>
      <c r="J5" s="644"/>
      <c r="K5" s="644"/>
      <c r="L5" s="644"/>
      <c r="M5" s="644"/>
      <c r="N5" s="644"/>
      <c r="O5" s="644"/>
      <c r="P5" s="644"/>
      <c r="Q5" s="644"/>
      <c r="R5" s="152"/>
      <c r="S5" s="153"/>
      <c r="T5" s="143"/>
      <c r="U5" s="644" t="s">
        <v>462</v>
      </c>
      <c r="V5" s="644"/>
      <c r="W5" s="644"/>
      <c r="X5" s="644"/>
      <c r="Y5" s="644"/>
      <c r="Z5" s="644"/>
      <c r="AA5" s="644"/>
      <c r="AB5" s="644"/>
      <c r="AC5" s="644"/>
      <c r="AD5" s="644"/>
      <c r="AE5" s="644"/>
      <c r="AF5" s="644"/>
      <c r="AG5" s="644"/>
      <c r="AH5" s="644"/>
      <c r="AI5" s="644"/>
      <c r="AJ5" s="152"/>
    </row>
    <row r="6" spans="2:47" ht="20.149999999999999" customHeight="1">
      <c r="B6" s="143"/>
      <c r="C6" s="644"/>
      <c r="D6" s="644"/>
      <c r="E6" s="644"/>
      <c r="F6" s="644"/>
      <c r="G6" s="644"/>
      <c r="H6" s="644"/>
      <c r="I6" s="644"/>
      <c r="J6" s="644"/>
      <c r="K6" s="644"/>
      <c r="L6" s="644"/>
      <c r="M6" s="644"/>
      <c r="N6" s="644"/>
      <c r="O6" s="644"/>
      <c r="P6" s="644"/>
      <c r="Q6" s="644"/>
      <c r="R6" s="152"/>
      <c r="S6" s="153"/>
      <c r="T6" s="143"/>
      <c r="U6" s="644"/>
      <c r="V6" s="644"/>
      <c r="W6" s="644"/>
      <c r="X6" s="644"/>
      <c r="Y6" s="644"/>
      <c r="Z6" s="644"/>
      <c r="AA6" s="644"/>
      <c r="AB6" s="644"/>
      <c r="AC6" s="644"/>
      <c r="AD6" s="644"/>
      <c r="AE6" s="644"/>
      <c r="AF6" s="644"/>
      <c r="AG6" s="644"/>
      <c r="AH6" s="644"/>
      <c r="AI6" s="644"/>
      <c r="AJ6" s="152"/>
    </row>
    <row r="7" spans="2:47" ht="20.149999999999999" customHeight="1">
      <c r="B7" s="143"/>
      <c r="C7" s="644"/>
      <c r="D7" s="644"/>
      <c r="E7" s="644"/>
      <c r="F7" s="644"/>
      <c r="G7" s="644"/>
      <c r="H7" s="644"/>
      <c r="I7" s="644"/>
      <c r="J7" s="644"/>
      <c r="K7" s="644"/>
      <c r="L7" s="644"/>
      <c r="M7" s="644"/>
      <c r="N7" s="644"/>
      <c r="O7" s="644"/>
      <c r="P7" s="644"/>
      <c r="Q7" s="644"/>
      <c r="R7" s="152"/>
      <c r="S7" s="153"/>
      <c r="T7" s="143"/>
      <c r="U7" s="644"/>
      <c r="V7" s="644"/>
      <c r="W7" s="644"/>
      <c r="X7" s="644"/>
      <c r="Y7" s="644"/>
      <c r="Z7" s="644"/>
      <c r="AA7" s="644"/>
      <c r="AB7" s="644"/>
      <c r="AC7" s="644"/>
      <c r="AD7" s="644"/>
      <c r="AE7" s="644"/>
      <c r="AF7" s="644"/>
      <c r="AG7" s="644"/>
      <c r="AH7" s="644"/>
      <c r="AI7" s="644"/>
      <c r="AJ7" s="152"/>
    </row>
    <row r="8" spans="2:47" ht="20.149999999999999" customHeight="1">
      <c r="B8" s="143"/>
      <c r="C8" s="644"/>
      <c r="D8" s="644"/>
      <c r="E8" s="644"/>
      <c r="F8" s="644"/>
      <c r="G8" s="644"/>
      <c r="H8" s="644"/>
      <c r="I8" s="644"/>
      <c r="J8" s="644"/>
      <c r="K8" s="644"/>
      <c r="L8" s="644"/>
      <c r="M8" s="644"/>
      <c r="N8" s="644"/>
      <c r="O8" s="644"/>
      <c r="P8" s="644"/>
      <c r="Q8" s="644"/>
      <c r="R8" s="152"/>
      <c r="S8" s="153"/>
      <c r="T8" s="143"/>
      <c r="U8" s="644"/>
      <c r="V8" s="644"/>
      <c r="W8" s="644"/>
      <c r="X8" s="644"/>
      <c r="Y8" s="644"/>
      <c r="Z8" s="644"/>
      <c r="AA8" s="644"/>
      <c r="AB8" s="644"/>
      <c r="AC8" s="644"/>
      <c r="AD8" s="644"/>
      <c r="AE8" s="644"/>
      <c r="AF8" s="644"/>
      <c r="AG8" s="644"/>
      <c r="AH8" s="644"/>
      <c r="AI8" s="644"/>
      <c r="AJ8" s="152"/>
    </row>
    <row r="9" spans="2:47" ht="20.149999999999999" customHeight="1">
      <c r="B9" s="143"/>
      <c r="C9" s="644"/>
      <c r="D9" s="644"/>
      <c r="E9" s="644"/>
      <c r="F9" s="644"/>
      <c r="G9" s="644"/>
      <c r="H9" s="644"/>
      <c r="I9" s="644"/>
      <c r="J9" s="644"/>
      <c r="K9" s="644"/>
      <c r="L9" s="644"/>
      <c r="M9" s="644"/>
      <c r="N9" s="644"/>
      <c r="O9" s="644"/>
      <c r="P9" s="644"/>
      <c r="Q9" s="644"/>
      <c r="R9" s="152"/>
      <c r="S9" s="153"/>
      <c r="T9" s="143"/>
      <c r="U9" s="644"/>
      <c r="V9" s="644"/>
      <c r="W9" s="644"/>
      <c r="X9" s="644"/>
      <c r="Y9" s="644"/>
      <c r="Z9" s="644"/>
      <c r="AA9" s="644"/>
      <c r="AB9" s="644"/>
      <c r="AC9" s="644"/>
      <c r="AD9" s="644"/>
      <c r="AE9" s="644"/>
      <c r="AF9" s="644"/>
      <c r="AG9" s="644"/>
      <c r="AH9" s="644"/>
      <c r="AI9" s="644"/>
      <c r="AJ9" s="152"/>
    </row>
    <row r="10" spans="2:47" ht="20.149999999999999" customHeight="1">
      <c r="B10" s="143"/>
      <c r="C10" s="644"/>
      <c r="D10" s="644"/>
      <c r="E10" s="644"/>
      <c r="F10" s="644"/>
      <c r="G10" s="644"/>
      <c r="H10" s="644"/>
      <c r="I10" s="644"/>
      <c r="J10" s="644"/>
      <c r="K10" s="644"/>
      <c r="L10" s="644"/>
      <c r="M10" s="644"/>
      <c r="N10" s="644"/>
      <c r="O10" s="644"/>
      <c r="P10" s="644"/>
      <c r="Q10" s="644"/>
      <c r="R10" s="152"/>
      <c r="S10" s="153"/>
      <c r="T10" s="143"/>
      <c r="U10" s="644"/>
      <c r="V10" s="644"/>
      <c r="W10" s="644"/>
      <c r="X10" s="644"/>
      <c r="Y10" s="644"/>
      <c r="Z10" s="644"/>
      <c r="AA10" s="644"/>
      <c r="AB10" s="644"/>
      <c r="AC10" s="644"/>
      <c r="AD10" s="644"/>
      <c r="AE10" s="644"/>
      <c r="AF10" s="644"/>
      <c r="AG10" s="644"/>
      <c r="AH10" s="644"/>
      <c r="AI10" s="644"/>
      <c r="AJ10" s="152"/>
    </row>
    <row r="11" spans="2:47" s="128" customFormat="1" ht="20.149999999999999" customHeight="1">
      <c r="B11" s="144"/>
      <c r="C11" s="581" t="s">
        <v>463</v>
      </c>
      <c r="D11" s="581"/>
      <c r="E11" s="581"/>
      <c r="F11" s="581"/>
      <c r="G11" s="581"/>
      <c r="H11" s="581"/>
      <c r="I11" s="581"/>
      <c r="J11" s="581"/>
      <c r="K11" s="581"/>
      <c r="L11" s="581"/>
      <c r="M11" s="581"/>
      <c r="N11" s="581"/>
      <c r="O11" s="581"/>
      <c r="P11" s="581"/>
      <c r="Q11" s="581"/>
      <c r="R11" s="154"/>
      <c r="S11" s="155"/>
      <c r="T11" s="144"/>
      <c r="U11" s="581" t="s">
        <v>463</v>
      </c>
      <c r="V11" s="581"/>
      <c r="W11" s="581"/>
      <c r="X11" s="581"/>
      <c r="Y11" s="581"/>
      <c r="Z11" s="581"/>
      <c r="AA11" s="581"/>
      <c r="AB11" s="581"/>
      <c r="AC11" s="581"/>
      <c r="AD11" s="581"/>
      <c r="AE11" s="581"/>
      <c r="AF11" s="581"/>
      <c r="AG11" s="581"/>
      <c r="AH11" s="581"/>
      <c r="AI11" s="581"/>
      <c r="AJ11" s="154"/>
    </row>
    <row r="12" spans="2:47" s="129" customFormat="1" ht="20.149999999999999" customHeight="1">
      <c r="B12" s="145"/>
      <c r="C12" s="724" t="s">
        <v>443</v>
      </c>
      <c r="D12" s="724"/>
      <c r="E12" s="724"/>
      <c r="F12" s="772"/>
      <c r="G12" s="577"/>
      <c r="H12" s="577"/>
      <c r="I12" s="770"/>
      <c r="J12" s="658" t="s">
        <v>464</v>
      </c>
      <c r="K12" s="659"/>
      <c r="L12" s="660"/>
      <c r="M12" s="654"/>
      <c r="N12" s="655"/>
      <c r="O12" s="655"/>
      <c r="P12" s="655"/>
      <c r="Q12" s="655"/>
      <c r="R12" s="156"/>
      <c r="S12" s="157"/>
      <c r="T12" s="145"/>
      <c r="U12" s="724" t="s">
        <v>443</v>
      </c>
      <c r="V12" s="724"/>
      <c r="W12" s="724"/>
      <c r="X12" s="635">
        <f>'02.GeneralFileDetails'!F5</f>
        <v>704955429</v>
      </c>
      <c r="Y12" s="636"/>
      <c r="Z12" s="636"/>
      <c r="AA12" s="767"/>
      <c r="AB12" s="658" t="s">
        <v>464</v>
      </c>
      <c r="AC12" s="659"/>
      <c r="AD12" s="660"/>
      <c r="AE12" s="645" t="s">
        <v>212</v>
      </c>
      <c r="AF12" s="646"/>
      <c r="AG12" s="646"/>
      <c r="AH12" s="646"/>
      <c r="AI12" s="646"/>
      <c r="AJ12" s="156"/>
    </row>
    <row r="13" spans="2:47" s="129" customFormat="1" ht="20.149999999999999" customHeight="1">
      <c r="B13" s="145"/>
      <c r="C13" s="649" t="s">
        <v>465</v>
      </c>
      <c r="D13" s="649"/>
      <c r="E13" s="649"/>
      <c r="F13" s="772"/>
      <c r="G13" s="577"/>
      <c r="H13" s="577"/>
      <c r="I13" s="770"/>
      <c r="J13" s="650" t="s">
        <v>113</v>
      </c>
      <c r="K13" s="666"/>
      <c r="L13" s="648"/>
      <c r="M13" s="654"/>
      <c r="N13" s="655"/>
      <c r="O13" s="655"/>
      <c r="P13" s="655"/>
      <c r="Q13" s="655"/>
      <c r="R13" s="156"/>
      <c r="S13" s="157"/>
      <c r="T13" s="145"/>
      <c r="U13" s="649" t="s">
        <v>465</v>
      </c>
      <c r="V13" s="649"/>
      <c r="W13" s="649"/>
      <c r="X13" s="635" t="str">
        <f>'02.GeneralFileDetails'!F7</f>
        <v>VINOD KUMAR</v>
      </c>
      <c r="Y13" s="636"/>
      <c r="Z13" s="636"/>
      <c r="AA13" s="767"/>
      <c r="AB13" s="650" t="s">
        <v>113</v>
      </c>
      <c r="AC13" s="666"/>
      <c r="AD13" s="648"/>
      <c r="AE13" s="645" t="s">
        <v>212</v>
      </c>
      <c r="AF13" s="646"/>
      <c r="AG13" s="646"/>
      <c r="AH13" s="646"/>
      <c r="AI13" s="646"/>
      <c r="AJ13" s="156"/>
    </row>
    <row r="14" spans="2:47" s="129" customFormat="1" ht="20.149999999999999" customHeight="1">
      <c r="B14" s="145"/>
      <c r="C14" s="649" t="s">
        <v>466</v>
      </c>
      <c r="D14" s="649"/>
      <c r="E14" s="649"/>
      <c r="F14" s="772"/>
      <c r="G14" s="577"/>
      <c r="H14" s="577"/>
      <c r="I14" s="770"/>
      <c r="J14" s="649" t="s">
        <v>467</v>
      </c>
      <c r="K14" s="649"/>
      <c r="L14" s="649"/>
      <c r="M14" s="654"/>
      <c r="N14" s="655"/>
      <c r="O14" s="655"/>
      <c r="P14" s="655"/>
      <c r="Q14" s="655"/>
      <c r="R14" s="156"/>
      <c r="S14" s="157"/>
      <c r="T14" s="145"/>
      <c r="U14" s="649" t="s">
        <v>466</v>
      </c>
      <c r="V14" s="649"/>
      <c r="W14" s="649"/>
      <c r="X14" s="716">
        <f ca="1">TODAY()-2</f>
        <v>46114</v>
      </c>
      <c r="Y14" s="636"/>
      <c r="Z14" s="636"/>
      <c r="AA14" s="767"/>
      <c r="AB14" s="649" t="s">
        <v>467</v>
      </c>
      <c r="AC14" s="649"/>
      <c r="AD14" s="649"/>
      <c r="AE14" s="773" t="str">
        <f ca="1">CONCATENATE("SABAU"," ",TEXT(X14,"DD.MM.YYYY"))</f>
        <v>SABAU 02.04.2026</v>
      </c>
      <c r="AF14" s="774"/>
      <c r="AG14" s="774"/>
      <c r="AH14" s="774"/>
      <c r="AI14" s="774"/>
      <c r="AJ14" s="156"/>
    </row>
    <row r="15" spans="2:47" s="129" customFormat="1" ht="20.149999999999999" customHeight="1">
      <c r="B15" s="145"/>
      <c r="C15" s="649" t="s">
        <v>468</v>
      </c>
      <c r="D15" s="649"/>
      <c r="E15" s="649"/>
      <c r="F15" s="772"/>
      <c r="G15" s="577"/>
      <c r="H15" s="577"/>
      <c r="I15" s="770"/>
      <c r="J15" s="649" t="s">
        <v>469</v>
      </c>
      <c r="K15" s="649"/>
      <c r="L15" s="649"/>
      <c r="M15" s="654"/>
      <c r="N15" s="655"/>
      <c r="O15" s="655"/>
      <c r="P15" s="655"/>
      <c r="Q15" s="655"/>
      <c r="R15" s="156"/>
      <c r="S15" s="157"/>
      <c r="T15" s="145"/>
      <c r="U15" s="649" t="s">
        <v>468</v>
      </c>
      <c r="V15" s="649"/>
      <c r="W15" s="649"/>
      <c r="X15" s="635"/>
      <c r="Y15" s="636"/>
      <c r="Z15" s="636"/>
      <c r="AA15" s="767"/>
      <c r="AB15" s="649" t="s">
        <v>469</v>
      </c>
      <c r="AC15" s="649"/>
      <c r="AD15" s="649"/>
      <c r="AE15" s="645"/>
      <c r="AF15" s="646"/>
      <c r="AG15" s="646"/>
      <c r="AH15" s="646"/>
      <c r="AI15" s="646"/>
      <c r="AJ15" s="156"/>
    </row>
    <row r="16" spans="2:47" s="129" customFormat="1" ht="20.149999999999999" customHeight="1">
      <c r="B16" s="145"/>
      <c r="C16" s="649" t="s">
        <v>470</v>
      </c>
      <c r="D16" s="649"/>
      <c r="E16" s="649"/>
      <c r="F16" s="772"/>
      <c r="G16" s="577"/>
      <c r="H16" s="577"/>
      <c r="I16" s="770"/>
      <c r="J16" s="649" t="s">
        <v>471</v>
      </c>
      <c r="K16" s="649"/>
      <c r="L16" s="649"/>
      <c r="M16" s="654"/>
      <c r="N16" s="655"/>
      <c r="O16" s="655"/>
      <c r="P16" s="655"/>
      <c r="Q16" s="655"/>
      <c r="R16" s="156"/>
      <c r="S16" s="157"/>
      <c r="T16" s="145"/>
      <c r="U16" s="649" t="s">
        <v>470</v>
      </c>
      <c r="V16" s="649"/>
      <c r="W16" s="649"/>
      <c r="X16" s="635"/>
      <c r="Y16" s="636"/>
      <c r="Z16" s="636"/>
      <c r="AA16" s="767"/>
      <c r="AB16" s="649" t="s">
        <v>471</v>
      </c>
      <c r="AC16" s="649"/>
      <c r="AD16" s="649"/>
      <c r="AE16" s="645"/>
      <c r="AF16" s="646"/>
      <c r="AG16" s="646"/>
      <c r="AH16" s="646"/>
      <c r="AI16" s="646"/>
      <c r="AJ16" s="156"/>
    </row>
    <row r="17" spans="2:36" ht="20.149999999999999" customHeight="1">
      <c r="B17" s="145"/>
      <c r="C17" s="649" t="s">
        <v>472</v>
      </c>
      <c r="D17" s="649"/>
      <c r="E17" s="650"/>
      <c r="F17" s="665"/>
      <c r="G17" s="665"/>
      <c r="H17" s="665"/>
      <c r="I17" s="665"/>
      <c r="J17" s="657"/>
      <c r="K17" s="657"/>
      <c r="L17" s="651"/>
      <c r="M17" s="654"/>
      <c r="N17" s="655"/>
      <c r="O17" s="655"/>
      <c r="P17" s="655"/>
      <c r="Q17" s="655"/>
      <c r="R17" s="156"/>
      <c r="S17" s="157"/>
      <c r="T17" s="145"/>
      <c r="U17" s="649" t="s">
        <v>472</v>
      </c>
      <c r="V17" s="649"/>
      <c r="W17" s="649"/>
      <c r="X17" s="635" t="str">
        <f>_xlfn.TEXTJOIN("",TRUE,F17)</f>
        <v/>
      </c>
      <c r="Y17" s="636"/>
      <c r="Z17" s="636"/>
      <c r="AA17" s="767"/>
      <c r="AB17" s="650"/>
      <c r="AC17" s="666"/>
      <c r="AD17" s="648"/>
      <c r="AE17" s="645"/>
      <c r="AF17" s="646"/>
      <c r="AG17" s="646"/>
      <c r="AH17" s="646"/>
      <c r="AI17" s="646"/>
      <c r="AJ17" s="156"/>
    </row>
    <row r="18" spans="2:36" ht="20.149999999999999" customHeight="1">
      <c r="B18" s="145"/>
      <c r="C18" s="649" t="s">
        <v>473</v>
      </c>
      <c r="D18" s="649"/>
      <c r="E18" s="650"/>
      <c r="F18" s="634" t="s">
        <v>474</v>
      </c>
      <c r="G18" s="634"/>
      <c r="H18" s="634"/>
      <c r="I18" s="634"/>
      <c r="J18" s="634"/>
      <c r="K18" s="634"/>
      <c r="L18" s="634"/>
      <c r="M18" s="634"/>
      <c r="N18" s="634"/>
      <c r="O18" s="634"/>
      <c r="P18" s="634"/>
      <c r="Q18" s="634"/>
      <c r="R18" s="156"/>
      <c r="S18" s="157"/>
      <c r="T18" s="145"/>
      <c r="U18" s="649" t="s">
        <v>473</v>
      </c>
      <c r="V18" s="649"/>
      <c r="W18" s="649"/>
      <c r="X18" s="635" t="str">
        <f>_xlfn.TEXTJOIN("",TRUE,F18)</f>
        <v>hgddgh</v>
      </c>
      <c r="Y18" s="636"/>
      <c r="Z18" s="636"/>
      <c r="AA18" s="636"/>
      <c r="AB18" s="636"/>
      <c r="AC18" s="636"/>
      <c r="AD18" s="636"/>
      <c r="AE18" s="636"/>
      <c r="AF18" s="636"/>
      <c r="AG18" s="636"/>
      <c r="AH18" s="636"/>
      <c r="AI18" s="636"/>
      <c r="AJ18" s="156"/>
    </row>
    <row r="19" spans="2:36" ht="20.149999999999999" customHeight="1">
      <c r="B19" s="145"/>
      <c r="C19" s="649"/>
      <c r="D19" s="649"/>
      <c r="E19" s="650"/>
      <c r="F19" s="634"/>
      <c r="G19" s="634"/>
      <c r="H19" s="634"/>
      <c r="I19" s="634"/>
      <c r="J19" s="634"/>
      <c r="K19" s="634"/>
      <c r="L19" s="634"/>
      <c r="M19" s="634"/>
      <c r="N19" s="634"/>
      <c r="O19" s="634"/>
      <c r="P19" s="634"/>
      <c r="Q19" s="634"/>
      <c r="R19" s="156"/>
      <c r="S19" s="157"/>
      <c r="T19" s="145"/>
      <c r="U19" s="649"/>
      <c r="V19" s="649"/>
      <c r="W19" s="649"/>
      <c r="X19" s="635"/>
      <c r="Y19" s="636"/>
      <c r="Z19" s="636"/>
      <c r="AA19" s="636"/>
      <c r="AB19" s="636"/>
      <c r="AC19" s="636"/>
      <c r="AD19" s="636"/>
      <c r="AE19" s="636"/>
      <c r="AF19" s="636"/>
      <c r="AG19" s="636"/>
      <c r="AH19" s="636"/>
      <c r="AI19" s="636"/>
      <c r="AJ19" s="156"/>
    </row>
    <row r="20" spans="2:36" ht="20.149999999999999" customHeight="1">
      <c r="B20" s="145"/>
      <c r="C20" s="649" t="s">
        <v>475</v>
      </c>
      <c r="D20" s="649"/>
      <c r="E20" s="650"/>
      <c r="F20" s="634"/>
      <c r="G20" s="634"/>
      <c r="H20" s="634"/>
      <c r="I20" s="634"/>
      <c r="J20" s="634"/>
      <c r="K20" s="634"/>
      <c r="L20" s="634"/>
      <c r="M20" s="634"/>
      <c r="N20" s="634"/>
      <c r="O20" s="634"/>
      <c r="P20" s="634"/>
      <c r="Q20" s="634"/>
      <c r="R20" s="158"/>
      <c r="S20" s="157"/>
      <c r="T20" s="145"/>
      <c r="U20" s="649" t="s">
        <v>475</v>
      </c>
      <c r="V20" s="649"/>
      <c r="W20" s="649"/>
      <c r="X20" s="635" t="str">
        <f>_xlfn.TEXTJOIN("",TRUE,F20)</f>
        <v/>
      </c>
      <c r="Y20" s="636"/>
      <c r="Z20" s="636"/>
      <c r="AA20" s="636"/>
      <c r="AB20" s="636"/>
      <c r="AC20" s="636"/>
      <c r="AD20" s="636"/>
      <c r="AE20" s="636"/>
      <c r="AF20" s="636"/>
      <c r="AG20" s="636"/>
      <c r="AH20" s="636"/>
      <c r="AI20" s="636"/>
      <c r="AJ20" s="158"/>
    </row>
    <row r="21" spans="2:36" ht="20.149999999999999" customHeight="1">
      <c r="B21" s="145"/>
      <c r="C21" s="649"/>
      <c r="D21" s="649"/>
      <c r="E21" s="650"/>
      <c r="F21" s="656"/>
      <c r="G21" s="656"/>
      <c r="H21" s="656"/>
      <c r="I21" s="656"/>
      <c r="J21" s="634"/>
      <c r="K21" s="634"/>
      <c r="L21" s="634"/>
      <c r="M21" s="656"/>
      <c r="N21" s="656"/>
      <c r="O21" s="656"/>
      <c r="P21" s="656"/>
      <c r="Q21" s="656"/>
      <c r="R21" s="158"/>
      <c r="S21" s="157"/>
      <c r="T21" s="145"/>
      <c r="U21" s="649"/>
      <c r="V21" s="649"/>
      <c r="W21" s="649"/>
      <c r="X21" s="635"/>
      <c r="Y21" s="636"/>
      <c r="Z21" s="636"/>
      <c r="AA21" s="636"/>
      <c r="AB21" s="636"/>
      <c r="AC21" s="636"/>
      <c r="AD21" s="636"/>
      <c r="AE21" s="636"/>
      <c r="AF21" s="636"/>
      <c r="AG21" s="636"/>
      <c r="AH21" s="636"/>
      <c r="AI21" s="636"/>
      <c r="AJ21" s="158"/>
    </row>
    <row r="22" spans="2:36" ht="20.149999999999999" customHeight="1">
      <c r="B22" s="146"/>
      <c r="C22" s="649" t="s">
        <v>476</v>
      </c>
      <c r="D22" s="649"/>
      <c r="E22" s="650"/>
      <c r="F22" s="769" t="s">
        <v>206</v>
      </c>
      <c r="G22" s="769"/>
      <c r="H22" s="769"/>
      <c r="I22" s="769"/>
      <c r="J22" s="770" t="s">
        <v>477</v>
      </c>
      <c r="K22" s="771"/>
      <c r="L22" s="772"/>
      <c r="M22" s="769" t="s">
        <v>198</v>
      </c>
      <c r="N22" s="769"/>
      <c r="O22" s="769"/>
      <c r="P22" s="769"/>
      <c r="Q22" s="769"/>
      <c r="R22" s="159"/>
      <c r="T22" s="146"/>
      <c r="U22" s="649" t="s">
        <v>476</v>
      </c>
      <c r="V22" s="649"/>
      <c r="W22" s="649"/>
      <c r="X22" s="635" t="str">
        <f>F22</f>
        <v>Rowhouse/Bungalow</v>
      </c>
      <c r="Y22" s="636"/>
      <c r="Z22" s="636"/>
      <c r="AA22" s="767"/>
      <c r="AB22" s="496" t="s">
        <v>477</v>
      </c>
      <c r="AC22" s="496"/>
      <c r="AD22" s="496"/>
      <c r="AE22" s="635" t="str">
        <f>M22</f>
        <v>RESIDENTIAL</v>
      </c>
      <c r="AF22" s="636"/>
      <c r="AG22" s="636"/>
      <c r="AH22" s="636"/>
      <c r="AI22" s="636"/>
      <c r="AJ22" s="159"/>
    </row>
    <row r="23" spans="2:36" ht="20.149999999999999" customHeight="1">
      <c r="B23" s="144"/>
      <c r="C23" s="649" t="s">
        <v>478</v>
      </c>
      <c r="D23" s="649"/>
      <c r="E23" s="650"/>
      <c r="F23" s="766" t="s">
        <v>185</v>
      </c>
      <c r="G23" s="766"/>
      <c r="H23" s="766"/>
      <c r="I23" s="766"/>
      <c r="J23" s="766"/>
      <c r="K23" s="766"/>
      <c r="L23" s="766"/>
      <c r="M23" s="766"/>
      <c r="N23" s="766"/>
      <c r="O23" s="766"/>
      <c r="P23" s="766"/>
      <c r="Q23" s="766"/>
      <c r="R23" s="154"/>
      <c r="S23" s="155"/>
      <c r="T23" s="144"/>
      <c r="U23" s="649" t="s">
        <v>478</v>
      </c>
      <c r="V23" s="649"/>
      <c r="W23" s="649"/>
      <c r="X23" s="635" t="str">
        <f>F23</f>
        <v>Ready</v>
      </c>
      <c r="Y23" s="636"/>
      <c r="Z23" s="636"/>
      <c r="AA23" s="636"/>
      <c r="AB23" s="636"/>
      <c r="AC23" s="636"/>
      <c r="AD23" s="636"/>
      <c r="AE23" s="636"/>
      <c r="AF23" s="636"/>
      <c r="AG23" s="636"/>
      <c r="AH23" s="636"/>
      <c r="AI23" s="636"/>
      <c r="AJ23" s="154"/>
    </row>
    <row r="24" spans="2:36" ht="20.149999999999999" customHeight="1">
      <c r="B24" s="147"/>
      <c r="C24" s="649" t="s">
        <v>479</v>
      </c>
      <c r="D24" s="649"/>
      <c r="E24" s="650"/>
      <c r="F24" s="634">
        <v>100</v>
      </c>
      <c r="G24" s="634"/>
      <c r="H24" s="634"/>
      <c r="I24" s="634"/>
      <c r="J24" s="634"/>
      <c r="K24" s="634"/>
      <c r="L24" s="634"/>
      <c r="M24" s="634"/>
      <c r="N24" s="634"/>
      <c r="O24" s="634"/>
      <c r="P24" s="634"/>
      <c r="Q24" s="634"/>
      <c r="R24" s="160"/>
      <c r="S24" s="161"/>
      <c r="T24" s="147"/>
      <c r="U24" s="649" t="s">
        <v>479</v>
      </c>
      <c r="V24" s="649"/>
      <c r="W24" s="649"/>
      <c r="X24" s="635">
        <f>F24</f>
        <v>100</v>
      </c>
      <c r="Y24" s="636"/>
      <c r="Z24" s="636"/>
      <c r="AA24" s="636"/>
      <c r="AB24" s="636"/>
      <c r="AC24" s="636"/>
      <c r="AD24" s="636"/>
      <c r="AE24" s="636"/>
      <c r="AF24" s="636"/>
      <c r="AG24" s="636"/>
      <c r="AH24" s="636"/>
      <c r="AI24" s="636"/>
      <c r="AJ24" s="160"/>
    </row>
    <row r="25" spans="2:36" ht="20.149999999999999" customHeight="1">
      <c r="B25" s="146"/>
      <c r="C25" s="649" t="s">
        <v>480</v>
      </c>
      <c r="D25" s="649"/>
      <c r="E25" s="650"/>
      <c r="F25" s="634" t="s">
        <v>481</v>
      </c>
      <c r="G25" s="634"/>
      <c r="H25" s="634"/>
      <c r="I25" s="634"/>
      <c r="J25" s="634"/>
      <c r="K25" s="634"/>
      <c r="L25" s="634"/>
      <c r="M25" s="634"/>
      <c r="N25" s="634"/>
      <c r="O25" s="634"/>
      <c r="P25" s="634"/>
      <c r="Q25" s="634"/>
      <c r="R25" s="162"/>
      <c r="S25" s="163"/>
      <c r="T25" s="146"/>
      <c r="U25" s="649" t="s">
        <v>480</v>
      </c>
      <c r="V25" s="649"/>
      <c r="W25" s="649"/>
      <c r="X25" s="635" t="str">
        <f>_xlfn.TEXTJOIN(", ",TRUE,F23,F25)</f>
        <v>Ready, Finished</v>
      </c>
      <c r="Y25" s="636"/>
      <c r="Z25" s="636"/>
      <c r="AA25" s="636"/>
      <c r="AB25" s="636"/>
      <c r="AC25" s="636"/>
      <c r="AD25" s="636"/>
      <c r="AE25" s="636"/>
      <c r="AF25" s="636"/>
      <c r="AG25" s="636"/>
      <c r="AH25" s="636"/>
      <c r="AI25" s="636"/>
      <c r="AJ25" s="162"/>
    </row>
    <row r="26" spans="2:36" ht="20.149999999999999" customHeight="1">
      <c r="B26" s="146"/>
      <c r="C26" s="649"/>
      <c r="D26" s="649"/>
      <c r="E26" s="650"/>
      <c r="F26" s="634"/>
      <c r="G26" s="634"/>
      <c r="H26" s="634"/>
      <c r="I26" s="634"/>
      <c r="J26" s="634"/>
      <c r="K26" s="634"/>
      <c r="L26" s="634"/>
      <c r="M26" s="634"/>
      <c r="N26" s="634"/>
      <c r="O26" s="634"/>
      <c r="P26" s="634"/>
      <c r="Q26" s="634"/>
      <c r="R26" s="162"/>
      <c r="S26" s="163"/>
      <c r="T26" s="146"/>
      <c r="U26" s="649"/>
      <c r="V26" s="649"/>
      <c r="W26" s="649"/>
      <c r="X26" s="635"/>
      <c r="Y26" s="636"/>
      <c r="Z26" s="636"/>
      <c r="AA26" s="636"/>
      <c r="AB26" s="636"/>
      <c r="AC26" s="636"/>
      <c r="AD26" s="636"/>
      <c r="AE26" s="636"/>
      <c r="AF26" s="636"/>
      <c r="AG26" s="636"/>
      <c r="AH26" s="636"/>
      <c r="AI26" s="636"/>
      <c r="AJ26" s="162"/>
    </row>
    <row r="27" spans="2:36" ht="20.149999999999999" customHeight="1">
      <c r="B27" s="146"/>
      <c r="C27" s="649" t="s">
        <v>482</v>
      </c>
      <c r="D27" s="649"/>
      <c r="E27" s="650"/>
      <c r="F27" s="634" t="s">
        <v>483</v>
      </c>
      <c r="G27" s="634"/>
      <c r="H27" s="634"/>
      <c r="I27" s="634"/>
      <c r="J27" s="660" t="s">
        <v>179</v>
      </c>
      <c r="K27" s="724"/>
      <c r="L27" s="658"/>
      <c r="M27" s="766" t="s">
        <v>207</v>
      </c>
      <c r="N27" s="766"/>
      <c r="O27" s="766"/>
      <c r="P27" s="766"/>
      <c r="Q27" s="766"/>
      <c r="R27" s="164"/>
      <c r="S27" s="165"/>
      <c r="T27" s="146"/>
      <c r="U27" s="649" t="s">
        <v>482</v>
      </c>
      <c r="V27" s="649"/>
      <c r="W27" s="649"/>
      <c r="X27" s="635" t="str">
        <f>_xlfn.TEXTJOIN("",TRUE,F27)</f>
        <v>GF+1</v>
      </c>
      <c r="Y27" s="636"/>
      <c r="Z27" s="636"/>
      <c r="AA27" s="767"/>
      <c r="AB27" s="649" t="s">
        <v>179</v>
      </c>
      <c r="AC27" s="649"/>
      <c r="AD27" s="649"/>
      <c r="AE27" s="635" t="str">
        <f>_xlfn.TEXTJOIN("",TRUE,M27)</f>
        <v>Three Bedroom</v>
      </c>
      <c r="AF27" s="636"/>
      <c r="AG27" s="636"/>
      <c r="AH27" s="636"/>
      <c r="AI27" s="636"/>
      <c r="AJ27" s="164"/>
    </row>
    <row r="28" spans="2:36" ht="20.149999999999999" customHeight="1">
      <c r="B28" s="146"/>
      <c r="C28" s="649" t="s">
        <v>484</v>
      </c>
      <c r="D28" s="649"/>
      <c r="E28" s="650"/>
      <c r="F28" s="768" t="s">
        <v>187</v>
      </c>
      <c r="G28" s="768"/>
      <c r="H28" s="768"/>
      <c r="I28" s="768"/>
      <c r="J28" s="648" t="s">
        <v>485</v>
      </c>
      <c r="K28" s="649"/>
      <c r="L28" s="650"/>
      <c r="M28" s="665" t="s">
        <v>486</v>
      </c>
      <c r="N28" s="665"/>
      <c r="O28" s="665"/>
      <c r="P28" s="665"/>
      <c r="Q28" s="665"/>
      <c r="R28" s="164"/>
      <c r="S28" s="165"/>
      <c r="T28" s="146"/>
      <c r="U28" s="649" t="s">
        <v>484</v>
      </c>
      <c r="V28" s="649"/>
      <c r="W28" s="649"/>
      <c r="X28" s="635" t="str">
        <f>_xlfn.TEXTJOIN("",TRUE,F28)</f>
        <v>Rented</v>
      </c>
      <c r="Y28" s="636"/>
      <c r="Z28" s="636"/>
      <c r="AA28" s="767"/>
      <c r="AB28" s="649" t="s">
        <v>485</v>
      </c>
      <c r="AC28" s="649"/>
      <c r="AD28" s="649"/>
      <c r="AE28" s="635" t="str">
        <f>_xlfn.TEXTJOIN("",TRUE,M28)</f>
        <v>Nazeer</v>
      </c>
      <c r="AF28" s="636"/>
      <c r="AG28" s="636"/>
      <c r="AH28" s="636"/>
      <c r="AI28" s="636"/>
      <c r="AJ28" s="164"/>
    </row>
    <row r="29" spans="2:36" ht="20.149999999999999" customHeight="1">
      <c r="B29" s="146"/>
      <c r="C29" s="653" t="s">
        <v>487</v>
      </c>
      <c r="D29" s="657"/>
      <c r="E29" s="657"/>
      <c r="F29" s="664">
        <v>1</v>
      </c>
      <c r="G29" s="664"/>
      <c r="H29" s="664"/>
      <c r="I29" s="664"/>
      <c r="J29" s="648" t="s">
        <v>488</v>
      </c>
      <c r="K29" s="649"/>
      <c r="L29" s="650"/>
      <c r="M29" s="665">
        <v>5000</v>
      </c>
      <c r="N29" s="665"/>
      <c r="O29" s="665"/>
      <c r="P29" s="665"/>
      <c r="Q29" s="665"/>
      <c r="R29" s="164"/>
      <c r="S29" s="165"/>
      <c r="T29" s="146"/>
      <c r="U29" s="653" t="s">
        <v>487</v>
      </c>
      <c r="V29" s="657"/>
      <c r="W29" s="651"/>
      <c r="X29" s="645" t="str">
        <f>_xlfn.TEXTJOIN("",TRUE,F29)</f>
        <v>1</v>
      </c>
      <c r="Y29" s="646"/>
      <c r="Z29" s="646"/>
      <c r="AA29" s="647"/>
      <c r="AB29" s="649" t="s">
        <v>488</v>
      </c>
      <c r="AC29" s="649"/>
      <c r="AD29" s="649"/>
      <c r="AE29" s="635" t="str">
        <f>_xlfn.TEXTJOIN("",TRUE,M29)</f>
        <v>5000</v>
      </c>
      <c r="AF29" s="636"/>
      <c r="AG29" s="636"/>
      <c r="AH29" s="636"/>
      <c r="AI29" s="636"/>
      <c r="AJ29" s="164"/>
    </row>
    <row r="30" spans="2:36" ht="20.149999999999999" customHeight="1">
      <c r="B30" s="144"/>
      <c r="C30" s="661"/>
      <c r="D30" s="662"/>
      <c r="E30" s="662"/>
      <c r="F30" s="664"/>
      <c r="G30" s="664"/>
      <c r="H30" s="664"/>
      <c r="I30" s="664"/>
      <c r="J30" s="648"/>
      <c r="K30" s="649"/>
      <c r="L30" s="650"/>
      <c r="M30" s="665"/>
      <c r="N30" s="665"/>
      <c r="O30" s="665"/>
      <c r="P30" s="665"/>
      <c r="Q30" s="665"/>
      <c r="R30" s="166"/>
      <c r="S30" s="128"/>
      <c r="T30" s="144"/>
      <c r="U30" s="661"/>
      <c r="V30" s="662"/>
      <c r="W30" s="663"/>
      <c r="X30" s="645"/>
      <c r="Y30" s="646"/>
      <c r="Z30" s="646"/>
      <c r="AA30" s="647"/>
      <c r="AB30" s="649"/>
      <c r="AC30" s="649"/>
      <c r="AD30" s="649"/>
      <c r="AE30" s="635"/>
      <c r="AF30" s="636"/>
      <c r="AG30" s="636"/>
      <c r="AH30" s="636"/>
      <c r="AI30" s="636"/>
      <c r="AJ30" s="166"/>
    </row>
    <row r="31" spans="2:36" ht="20.149999999999999" customHeight="1">
      <c r="B31" s="144"/>
      <c r="C31" s="658"/>
      <c r="D31" s="659"/>
      <c r="E31" s="659"/>
      <c r="F31" s="664"/>
      <c r="G31" s="664"/>
      <c r="H31" s="664"/>
      <c r="I31" s="664"/>
      <c r="J31" s="648" t="s">
        <v>489</v>
      </c>
      <c r="K31" s="649"/>
      <c r="L31" s="650"/>
      <c r="M31" s="665"/>
      <c r="N31" s="665"/>
      <c r="O31" s="665"/>
      <c r="P31" s="665"/>
      <c r="Q31" s="665"/>
      <c r="R31" s="166"/>
      <c r="S31" s="128"/>
      <c r="T31" s="144"/>
      <c r="U31" s="658"/>
      <c r="V31" s="659"/>
      <c r="W31" s="660"/>
      <c r="X31" s="645"/>
      <c r="Y31" s="646"/>
      <c r="Z31" s="646"/>
      <c r="AA31" s="647"/>
      <c r="AB31" s="649" t="s">
        <v>489</v>
      </c>
      <c r="AC31" s="649"/>
      <c r="AD31" s="649"/>
      <c r="AE31" s="635" t="str">
        <f>_xlfn.TEXTJOIN("",TRUE,M31)</f>
        <v/>
      </c>
      <c r="AF31" s="636"/>
      <c r="AG31" s="636"/>
      <c r="AH31" s="636"/>
      <c r="AI31" s="636"/>
      <c r="AJ31" s="166"/>
    </row>
    <row r="32" spans="2:36" ht="20.149999999999999" customHeight="1">
      <c r="B32" s="144"/>
      <c r="C32" s="650" t="s">
        <v>490</v>
      </c>
      <c r="D32" s="666"/>
      <c r="E32" s="666"/>
      <c r="F32" s="667" t="s">
        <v>491</v>
      </c>
      <c r="G32" s="667"/>
      <c r="H32" s="667"/>
      <c r="I32" s="667"/>
      <c r="J32" s="651"/>
      <c r="K32" s="652"/>
      <c r="L32" s="653"/>
      <c r="M32" s="665"/>
      <c r="N32" s="665"/>
      <c r="O32" s="665"/>
      <c r="P32" s="665"/>
      <c r="Q32" s="665"/>
      <c r="R32" s="166"/>
      <c r="S32" s="128"/>
      <c r="T32" s="144"/>
      <c r="U32" s="650" t="s">
        <v>490</v>
      </c>
      <c r="V32" s="666"/>
      <c r="W32" s="648"/>
      <c r="X32" s="645" t="str">
        <f>_xlfn.TEXTJOIN("",TRUE,F32)</f>
        <v>NO</v>
      </c>
      <c r="Y32" s="646"/>
      <c r="Z32" s="646"/>
      <c r="AA32" s="647"/>
      <c r="AB32" s="652"/>
      <c r="AC32" s="652"/>
      <c r="AD32" s="652"/>
      <c r="AE32" s="635"/>
      <c r="AF32" s="636"/>
      <c r="AG32" s="636"/>
      <c r="AH32" s="636"/>
      <c r="AI32" s="636"/>
      <c r="AJ32" s="166"/>
    </row>
    <row r="33" spans="2:36" ht="20.149999999999999" customHeight="1">
      <c r="B33" s="146"/>
      <c r="C33" s="650" t="s">
        <v>492</v>
      </c>
      <c r="D33" s="666"/>
      <c r="E33" s="666"/>
      <c r="F33" s="634" t="s">
        <v>493</v>
      </c>
      <c r="G33" s="634"/>
      <c r="H33" s="634"/>
      <c r="I33" s="634"/>
      <c r="J33" s="634"/>
      <c r="K33" s="634"/>
      <c r="L33" s="634"/>
      <c r="M33" s="668"/>
      <c r="N33" s="668"/>
      <c r="O33" s="668"/>
      <c r="P33" s="668"/>
      <c r="Q33" s="668"/>
      <c r="R33" s="159"/>
      <c r="T33" s="146"/>
      <c r="U33" s="650" t="s">
        <v>492</v>
      </c>
      <c r="V33" s="666"/>
      <c r="W33" s="648"/>
      <c r="X33" s="635" t="str">
        <f>_xlfn.TEXTJOIN("",TRUE,F33)</f>
        <v>Smitha S</v>
      </c>
      <c r="Y33" s="636"/>
      <c r="Z33" s="636"/>
      <c r="AA33" s="636"/>
      <c r="AB33" s="636"/>
      <c r="AC33" s="636"/>
      <c r="AD33" s="636"/>
      <c r="AE33" s="636"/>
      <c r="AF33" s="636"/>
      <c r="AG33" s="636"/>
      <c r="AH33" s="636"/>
      <c r="AI33" s="636"/>
      <c r="AJ33" s="159"/>
    </row>
    <row r="34" spans="2:36" ht="20.149999999999999" customHeight="1">
      <c r="B34" s="148"/>
      <c r="C34" s="653" t="s">
        <v>494</v>
      </c>
      <c r="D34" s="657"/>
      <c r="E34" s="657"/>
      <c r="F34" s="634" t="s">
        <v>212</v>
      </c>
      <c r="G34" s="634"/>
      <c r="H34" s="634"/>
      <c r="I34" s="634"/>
      <c r="J34" s="634"/>
      <c r="K34" s="634"/>
      <c r="L34" s="634"/>
      <c r="M34" s="634"/>
      <c r="N34" s="634"/>
      <c r="O34" s="634"/>
      <c r="P34" s="634"/>
      <c r="Q34" s="634"/>
      <c r="R34" s="167"/>
      <c r="S34" s="168"/>
      <c r="T34" s="148"/>
      <c r="U34" s="653" t="s">
        <v>494</v>
      </c>
      <c r="V34" s="657"/>
      <c r="W34" s="651"/>
      <c r="X34" s="635" t="str">
        <f>_xlfn.TEXTJOIN("",TRUE,F34)</f>
        <v>NA</v>
      </c>
      <c r="Y34" s="636"/>
      <c r="Z34" s="636"/>
      <c r="AA34" s="636"/>
      <c r="AB34" s="636"/>
      <c r="AC34" s="636"/>
      <c r="AD34" s="636"/>
      <c r="AE34" s="636"/>
      <c r="AF34" s="636"/>
      <c r="AG34" s="636"/>
      <c r="AH34" s="636"/>
      <c r="AI34" s="636"/>
      <c r="AJ34" s="167"/>
    </row>
    <row r="35" spans="2:36" ht="20.149999999999999" customHeight="1">
      <c r="B35" s="148"/>
      <c r="C35" s="661"/>
      <c r="D35" s="662"/>
      <c r="E35" s="662"/>
      <c r="F35" s="634"/>
      <c r="G35" s="634"/>
      <c r="H35" s="634"/>
      <c r="I35" s="634"/>
      <c r="J35" s="634"/>
      <c r="K35" s="634"/>
      <c r="L35" s="634"/>
      <c r="M35" s="634"/>
      <c r="N35" s="634"/>
      <c r="O35" s="634"/>
      <c r="P35" s="634"/>
      <c r="Q35" s="634"/>
      <c r="R35" s="167"/>
      <c r="S35" s="168"/>
      <c r="T35" s="148"/>
      <c r="U35" s="661"/>
      <c r="V35" s="662"/>
      <c r="W35" s="663"/>
      <c r="X35" s="635"/>
      <c r="Y35" s="636"/>
      <c r="Z35" s="636"/>
      <c r="AA35" s="636"/>
      <c r="AB35" s="636"/>
      <c r="AC35" s="636"/>
      <c r="AD35" s="636"/>
      <c r="AE35" s="636"/>
      <c r="AF35" s="636"/>
      <c r="AG35" s="636"/>
      <c r="AH35" s="636"/>
      <c r="AI35" s="636"/>
      <c r="AJ35" s="167"/>
    </row>
    <row r="36" spans="2:36" ht="20.149999999999999" customHeight="1">
      <c r="B36" s="146"/>
      <c r="C36" s="650" t="s">
        <v>495</v>
      </c>
      <c r="D36" s="666"/>
      <c r="E36" s="666"/>
      <c r="F36" s="634"/>
      <c r="G36" s="634"/>
      <c r="H36" s="634"/>
      <c r="I36" s="634"/>
      <c r="J36" s="634"/>
      <c r="K36" s="634"/>
      <c r="L36" s="634"/>
      <c r="M36" s="634"/>
      <c r="N36" s="634"/>
      <c r="O36" s="634"/>
      <c r="P36" s="634"/>
      <c r="Q36" s="634"/>
      <c r="R36" s="159"/>
      <c r="T36" s="146"/>
      <c r="U36" s="650" t="s">
        <v>495</v>
      </c>
      <c r="V36" s="666"/>
      <c r="W36" s="648"/>
      <c r="X36" s="635" t="str">
        <f>_xlfn.TEXTJOIN("",TRUE,F36)</f>
        <v/>
      </c>
      <c r="Y36" s="636"/>
      <c r="Z36" s="636"/>
      <c r="AA36" s="636"/>
      <c r="AB36" s="636"/>
      <c r="AC36" s="636"/>
      <c r="AD36" s="636"/>
      <c r="AE36" s="636"/>
      <c r="AF36" s="636"/>
      <c r="AG36" s="636"/>
      <c r="AH36" s="636"/>
      <c r="AI36" s="636"/>
      <c r="AJ36" s="159"/>
    </row>
    <row r="37" spans="2:36" ht="20.149999999999999" customHeight="1">
      <c r="B37" s="146"/>
      <c r="C37" s="653" t="s">
        <v>496</v>
      </c>
      <c r="D37" s="657"/>
      <c r="E37" s="657"/>
      <c r="F37" s="634" t="s">
        <v>497</v>
      </c>
      <c r="G37" s="634"/>
      <c r="H37" s="634"/>
      <c r="I37" s="634"/>
      <c r="J37" s="634"/>
      <c r="K37" s="634"/>
      <c r="L37" s="634"/>
      <c r="M37" s="634"/>
      <c r="N37" s="634"/>
      <c r="O37" s="634"/>
      <c r="P37" s="634"/>
      <c r="Q37" s="634"/>
      <c r="R37" s="159"/>
      <c r="T37" s="146"/>
      <c r="U37" s="653" t="s">
        <v>496</v>
      </c>
      <c r="V37" s="657"/>
      <c r="W37" s="651"/>
      <c r="X37" s="635" t="str">
        <f>_xlfn.TEXTJOIN("",TRUE,F37)</f>
        <v>Residential Area</v>
      </c>
      <c r="Y37" s="636"/>
      <c r="Z37" s="636"/>
      <c r="AA37" s="636"/>
      <c r="AB37" s="636"/>
      <c r="AC37" s="636"/>
      <c r="AD37" s="636"/>
      <c r="AE37" s="636"/>
      <c r="AF37" s="636"/>
      <c r="AG37" s="636"/>
      <c r="AH37" s="636"/>
      <c r="AI37" s="636"/>
      <c r="AJ37" s="159"/>
    </row>
    <row r="38" spans="2:36" ht="20.149999999999999" customHeight="1">
      <c r="B38" s="146"/>
      <c r="C38" s="658"/>
      <c r="D38" s="659"/>
      <c r="E38" s="659"/>
      <c r="F38" s="634"/>
      <c r="G38" s="634"/>
      <c r="H38" s="634"/>
      <c r="I38" s="634"/>
      <c r="J38" s="634"/>
      <c r="K38" s="634"/>
      <c r="L38" s="634"/>
      <c r="M38" s="634"/>
      <c r="N38" s="634"/>
      <c r="O38" s="634"/>
      <c r="P38" s="634"/>
      <c r="Q38" s="634"/>
      <c r="R38" s="159"/>
      <c r="T38" s="146"/>
      <c r="U38" s="658"/>
      <c r="V38" s="659"/>
      <c r="W38" s="660"/>
      <c r="X38" s="635"/>
      <c r="Y38" s="636"/>
      <c r="Z38" s="636"/>
      <c r="AA38" s="636"/>
      <c r="AB38" s="636"/>
      <c r="AC38" s="636"/>
      <c r="AD38" s="636"/>
      <c r="AE38" s="636"/>
      <c r="AF38" s="636"/>
      <c r="AG38" s="636"/>
      <c r="AH38" s="636"/>
      <c r="AI38" s="636"/>
      <c r="AJ38" s="159"/>
    </row>
    <row r="39" spans="2:36" ht="20.149999999999999" customHeight="1">
      <c r="B39" s="146"/>
      <c r="C39" s="650" t="s">
        <v>498</v>
      </c>
      <c r="D39" s="666"/>
      <c r="E39" s="666"/>
      <c r="F39" s="634">
        <v>0</v>
      </c>
      <c r="G39" s="634"/>
      <c r="H39" s="634"/>
      <c r="I39" s="634"/>
      <c r="J39" s="634"/>
      <c r="K39" s="634"/>
      <c r="L39" s="634"/>
      <c r="M39" s="634"/>
      <c r="N39" s="634"/>
      <c r="O39" s="634"/>
      <c r="P39" s="634"/>
      <c r="Q39" s="634"/>
      <c r="R39" s="159"/>
      <c r="T39" s="146"/>
      <c r="U39" s="650" t="s">
        <v>498</v>
      </c>
      <c r="V39" s="666"/>
      <c r="W39" s="648"/>
      <c r="X39" s="635" t="str">
        <f>_xlfn.TEXTJOIN("",TRUE,F39)</f>
        <v>0</v>
      </c>
      <c r="Y39" s="636"/>
      <c r="Z39" s="636"/>
      <c r="AA39" s="636"/>
      <c r="AB39" s="636"/>
      <c r="AC39" s="636"/>
      <c r="AD39" s="636"/>
      <c r="AE39" s="636"/>
      <c r="AF39" s="636"/>
      <c r="AG39" s="636"/>
      <c r="AH39" s="636"/>
      <c r="AI39" s="636"/>
      <c r="AJ39" s="159"/>
    </row>
    <row r="40" spans="2:36" ht="20.149999999999999" customHeight="1">
      <c r="B40" s="146"/>
      <c r="C40" s="650" t="s">
        <v>499</v>
      </c>
      <c r="D40" s="666"/>
      <c r="E40" s="666"/>
      <c r="F40" s="634" t="s">
        <v>500</v>
      </c>
      <c r="G40" s="634"/>
      <c r="H40" s="634"/>
      <c r="I40" s="634"/>
      <c r="J40" s="634"/>
      <c r="K40" s="634"/>
      <c r="L40" s="634"/>
      <c r="M40" s="634"/>
      <c r="N40" s="634"/>
      <c r="O40" s="634"/>
      <c r="P40" s="634"/>
      <c r="Q40" s="634"/>
      <c r="R40" s="159"/>
      <c r="T40" s="146"/>
      <c r="U40" s="650" t="s">
        <v>499</v>
      </c>
      <c r="V40" s="666"/>
      <c r="W40" s="648"/>
      <c r="X40" s="635" t="str">
        <f>_xlfn.TEXTJOIN("",TRUE,F40)</f>
        <v>Anad Sree Durga Devi Temple</v>
      </c>
      <c r="Y40" s="636"/>
      <c r="Z40" s="636"/>
      <c r="AA40" s="636"/>
      <c r="AB40" s="636"/>
      <c r="AC40" s="636"/>
      <c r="AD40" s="636"/>
      <c r="AE40" s="636"/>
      <c r="AF40" s="636"/>
      <c r="AG40" s="636"/>
      <c r="AH40" s="636"/>
      <c r="AI40" s="636"/>
      <c r="AJ40" s="159"/>
    </row>
    <row r="41" spans="2:36" ht="20.149999999999999" customHeight="1">
      <c r="B41" s="146"/>
      <c r="C41" s="661" t="s">
        <v>501</v>
      </c>
      <c r="D41" s="662"/>
      <c r="E41" s="662"/>
      <c r="F41" s="662"/>
      <c r="G41" s="662"/>
      <c r="H41" s="662"/>
      <c r="I41" s="662"/>
      <c r="J41" s="662"/>
      <c r="K41" s="662"/>
      <c r="L41" s="662"/>
      <c r="M41" s="662"/>
      <c r="N41" s="662"/>
      <c r="O41" s="662"/>
      <c r="P41" s="662"/>
      <c r="Q41" s="662"/>
      <c r="R41" s="159"/>
      <c r="T41" s="146"/>
      <c r="U41" s="661" t="s">
        <v>501</v>
      </c>
      <c r="V41" s="662"/>
      <c r="W41" s="662"/>
      <c r="X41" s="662"/>
      <c r="Y41" s="662"/>
      <c r="Z41" s="662"/>
      <c r="AA41" s="662"/>
      <c r="AB41" s="662"/>
      <c r="AC41" s="662"/>
      <c r="AD41" s="662"/>
      <c r="AE41" s="662"/>
      <c r="AF41" s="662"/>
      <c r="AG41" s="662"/>
      <c r="AH41" s="662"/>
      <c r="AI41" s="662"/>
      <c r="AJ41" s="159"/>
    </row>
    <row r="42" spans="2:36" ht="20.149999999999999" customHeight="1">
      <c r="B42" s="146"/>
      <c r="C42" s="762" t="s">
        <v>502</v>
      </c>
      <c r="D42" s="720"/>
      <c r="E42" s="720"/>
      <c r="F42" s="720" t="s">
        <v>503</v>
      </c>
      <c r="G42" s="720"/>
      <c r="H42" s="720" t="s">
        <v>504</v>
      </c>
      <c r="I42" s="720"/>
      <c r="J42" s="720" t="s">
        <v>505</v>
      </c>
      <c r="K42" s="721"/>
      <c r="L42" s="150"/>
      <c r="M42" s="150"/>
      <c r="N42" s="150"/>
      <c r="O42" s="150"/>
      <c r="P42" s="150"/>
      <c r="Q42" s="150"/>
      <c r="R42" s="159"/>
      <c r="T42" s="146"/>
      <c r="U42" s="762" t="s">
        <v>502</v>
      </c>
      <c r="V42" s="720"/>
      <c r="W42" s="720"/>
      <c r="X42" s="720" t="s">
        <v>503</v>
      </c>
      <c r="Y42" s="720"/>
      <c r="Z42" s="720" t="s">
        <v>504</v>
      </c>
      <c r="AA42" s="720"/>
      <c r="AB42" s="720" t="s">
        <v>505</v>
      </c>
      <c r="AC42" s="721"/>
      <c r="AD42" s="150"/>
      <c r="AE42" s="150"/>
      <c r="AF42" s="150"/>
      <c r="AG42" s="150"/>
      <c r="AH42" s="150"/>
      <c r="AI42" s="150"/>
      <c r="AJ42" s="159"/>
    </row>
    <row r="43" spans="2:36" ht="20.149999999999999" customHeight="1">
      <c r="B43" s="146"/>
      <c r="C43" s="763" t="s">
        <v>506</v>
      </c>
      <c r="D43" s="764"/>
      <c r="E43" s="765"/>
      <c r="F43" s="665">
        <v>205</v>
      </c>
      <c r="G43" s="665"/>
      <c r="H43" s="665">
        <v>15444</v>
      </c>
      <c r="I43" s="665"/>
      <c r="J43" s="736"/>
      <c r="K43" s="737"/>
      <c r="L43" s="755" t="s">
        <v>507</v>
      </c>
      <c r="M43" s="755"/>
      <c r="N43" s="755"/>
      <c r="O43" s="755"/>
      <c r="P43" s="755"/>
      <c r="Q43" s="756"/>
      <c r="R43" s="159"/>
      <c r="T43" s="146"/>
      <c r="U43" s="763" t="s">
        <v>506</v>
      </c>
      <c r="V43" s="764"/>
      <c r="W43" s="764"/>
      <c r="X43" s="739">
        <f t="shared" ref="X43" si="0">IF(F43="","",F43)</f>
        <v>205</v>
      </c>
      <c r="Y43" s="740"/>
      <c r="Z43" s="739">
        <f t="shared" ref="Z43" si="1">IF(H43="","",H43)</f>
        <v>15444</v>
      </c>
      <c r="AA43" s="740"/>
      <c r="AB43" s="741">
        <f>IFERROR(ROUND(X43*Z43,2),"")</f>
        <v>3166020</v>
      </c>
      <c r="AC43" s="742"/>
      <c r="AD43" s="755" t="s">
        <v>507</v>
      </c>
      <c r="AE43" s="755"/>
      <c r="AF43" s="755"/>
      <c r="AG43" s="755"/>
      <c r="AH43" s="755"/>
      <c r="AI43" s="756"/>
      <c r="AJ43" s="159"/>
    </row>
    <row r="44" spans="2:36" ht="20.149999999999999" customHeight="1">
      <c r="B44" s="146"/>
      <c r="C44" s="749" t="s">
        <v>508</v>
      </c>
      <c r="D44" s="750"/>
      <c r="E44" s="750"/>
      <c r="F44" s="665"/>
      <c r="G44" s="665"/>
      <c r="H44" s="665"/>
      <c r="I44" s="665"/>
      <c r="J44" s="736"/>
      <c r="K44" s="737"/>
      <c r="L44" s="757" t="s">
        <v>509</v>
      </c>
      <c r="M44" s="758"/>
      <c r="N44" s="758"/>
      <c r="O44" s="758"/>
      <c r="P44" s="758"/>
      <c r="Q44" s="759"/>
      <c r="R44" s="159"/>
      <c r="T44" s="146"/>
      <c r="U44" s="749" t="s">
        <v>508</v>
      </c>
      <c r="V44" s="750"/>
      <c r="W44" s="751"/>
      <c r="X44" s="739" t="str">
        <f t="shared" ref="X44:X50" si="2">IF(F44="","",F44)</f>
        <v/>
      </c>
      <c r="Y44" s="740"/>
      <c r="Z44" s="739" t="str">
        <f t="shared" ref="Z44:Z50" si="3">IF(H44="","",H44)</f>
        <v/>
      </c>
      <c r="AA44" s="740"/>
      <c r="AB44" s="741" t="str">
        <f t="shared" ref="AB44:AB46" si="4">IFERROR(ROUND(X44*Z44,2),"")</f>
        <v/>
      </c>
      <c r="AC44" s="742"/>
      <c r="AD44" s="760" t="str">
        <f>CONCATENATE("Lat ",TRIM(LEFT(L44,FIND(",",L44)-1)))</f>
        <v>Lat 8.531990704532049</v>
      </c>
      <c r="AE44" s="760"/>
      <c r="AF44" s="760"/>
      <c r="AG44" s="760" t="str">
        <f>CONCATENATE("Lon ",TRIM(MID(L44,FIND(",",L44)+1,LEN(L44))))</f>
        <v>Lon 77.14167293463632</v>
      </c>
      <c r="AH44" s="760"/>
      <c r="AI44" s="761"/>
      <c r="AJ44" s="159"/>
    </row>
    <row r="45" spans="2:36" ht="20.149999999999999" customHeight="1">
      <c r="B45" s="146"/>
      <c r="C45" s="734" t="s">
        <v>510</v>
      </c>
      <c r="D45" s="735"/>
      <c r="E45" s="735"/>
      <c r="F45" s="665"/>
      <c r="G45" s="665"/>
      <c r="H45" s="665"/>
      <c r="I45" s="665"/>
      <c r="J45" s="736"/>
      <c r="K45" s="737"/>
      <c r="L45" s="150"/>
      <c r="M45" s="150"/>
      <c r="N45" s="150"/>
      <c r="O45" s="150"/>
      <c r="P45" s="150"/>
      <c r="Q45" s="150"/>
      <c r="R45" s="159"/>
      <c r="T45" s="146"/>
      <c r="U45" s="734" t="s">
        <v>510</v>
      </c>
      <c r="V45" s="735"/>
      <c r="W45" s="738"/>
      <c r="X45" s="739" t="str">
        <f t="shared" si="2"/>
        <v/>
      </c>
      <c r="Y45" s="740"/>
      <c r="Z45" s="739" t="str">
        <f t="shared" si="3"/>
        <v/>
      </c>
      <c r="AA45" s="740"/>
      <c r="AB45" s="741" t="str">
        <f t="shared" si="4"/>
        <v/>
      </c>
      <c r="AC45" s="742"/>
      <c r="AD45" s="150"/>
      <c r="AE45" s="150"/>
      <c r="AF45" s="150"/>
      <c r="AG45" s="150"/>
      <c r="AH45" s="150"/>
      <c r="AI45" s="150"/>
      <c r="AJ45" s="159"/>
    </row>
    <row r="46" spans="2:36" ht="20.149999999999999" customHeight="1">
      <c r="B46" s="146"/>
      <c r="C46" s="752" t="s">
        <v>511</v>
      </c>
      <c r="D46" s="753"/>
      <c r="E46" s="753"/>
      <c r="F46" s="665"/>
      <c r="G46" s="665"/>
      <c r="H46" s="665"/>
      <c r="I46" s="665"/>
      <c r="J46" s="736"/>
      <c r="K46" s="737"/>
      <c r="L46" s="150"/>
      <c r="M46" s="150"/>
      <c r="N46" s="150"/>
      <c r="O46" s="150"/>
      <c r="P46" s="150"/>
      <c r="Q46" s="150"/>
      <c r="R46" s="159"/>
      <c r="T46" s="146"/>
      <c r="U46" s="752" t="s">
        <v>511</v>
      </c>
      <c r="V46" s="753"/>
      <c r="W46" s="754"/>
      <c r="X46" s="739" t="str">
        <f t="shared" si="2"/>
        <v/>
      </c>
      <c r="Y46" s="740"/>
      <c r="Z46" s="739" t="str">
        <f t="shared" si="3"/>
        <v/>
      </c>
      <c r="AA46" s="740"/>
      <c r="AB46" s="741" t="str">
        <f t="shared" si="4"/>
        <v/>
      </c>
      <c r="AC46" s="742"/>
      <c r="AD46" s="150"/>
      <c r="AE46" s="150"/>
      <c r="AF46" s="150"/>
      <c r="AG46" s="150"/>
      <c r="AH46" s="150"/>
      <c r="AI46" s="150"/>
      <c r="AJ46" s="159"/>
    </row>
    <row r="47" spans="2:36" ht="20.149999999999999" customHeight="1">
      <c r="B47" s="146"/>
      <c r="C47" s="723" t="s">
        <v>512</v>
      </c>
      <c r="D47" s="649"/>
      <c r="E47" s="649"/>
      <c r="F47" s="746"/>
      <c r="G47" s="746"/>
      <c r="H47" s="746"/>
      <c r="I47" s="746"/>
      <c r="J47" s="649"/>
      <c r="K47" s="725"/>
      <c r="L47" s="150"/>
      <c r="M47" s="150"/>
      <c r="N47" s="150"/>
      <c r="O47" s="150"/>
      <c r="P47" s="150"/>
      <c r="Q47" s="150"/>
      <c r="R47" s="159"/>
      <c r="T47" s="146"/>
      <c r="U47" s="747" t="s">
        <v>512</v>
      </c>
      <c r="V47" s="662"/>
      <c r="W47" s="662"/>
      <c r="X47" s="662"/>
      <c r="Y47" s="662"/>
      <c r="Z47" s="662"/>
      <c r="AA47" s="662"/>
      <c r="AB47" s="662"/>
      <c r="AC47" s="748"/>
      <c r="AD47" s="150"/>
      <c r="AE47" s="150"/>
      <c r="AF47" s="150"/>
      <c r="AG47" s="150"/>
      <c r="AH47" s="150"/>
      <c r="AI47" s="150"/>
      <c r="AJ47" s="159"/>
    </row>
    <row r="48" spans="2:36" ht="20.149999999999999" customHeight="1">
      <c r="B48" s="146"/>
      <c r="C48" s="749" t="s">
        <v>513</v>
      </c>
      <c r="D48" s="750"/>
      <c r="E48" s="750"/>
      <c r="F48" s="665"/>
      <c r="G48" s="665"/>
      <c r="H48" s="665"/>
      <c r="I48" s="665"/>
      <c r="J48" s="736"/>
      <c r="K48" s="737"/>
      <c r="L48" s="150"/>
      <c r="M48" s="150"/>
      <c r="N48" s="150"/>
      <c r="O48" s="150"/>
      <c r="P48" s="150"/>
      <c r="Q48" s="150"/>
      <c r="R48" s="159"/>
      <c r="T48" s="146"/>
      <c r="U48" s="749" t="s">
        <v>513</v>
      </c>
      <c r="V48" s="750"/>
      <c r="W48" s="751"/>
      <c r="X48" s="739" t="str">
        <f t="shared" si="2"/>
        <v/>
      </c>
      <c r="Y48" s="740"/>
      <c r="Z48" s="739" t="str">
        <f t="shared" si="3"/>
        <v/>
      </c>
      <c r="AA48" s="740"/>
      <c r="AB48" s="741" t="str">
        <f>IFERROR(ROUND(X48*Z48,2),"")</f>
        <v/>
      </c>
      <c r="AC48" s="742"/>
      <c r="AD48" s="150"/>
      <c r="AE48" s="150"/>
      <c r="AF48" s="150"/>
      <c r="AG48" s="150"/>
      <c r="AH48" s="150"/>
      <c r="AI48" s="150"/>
      <c r="AJ48" s="159"/>
    </row>
    <row r="49" spans="2:36" ht="20.149999999999999" customHeight="1">
      <c r="B49" s="146"/>
      <c r="C49" s="734" t="s">
        <v>514</v>
      </c>
      <c r="D49" s="735"/>
      <c r="E49" s="735"/>
      <c r="F49" s="665"/>
      <c r="G49" s="665"/>
      <c r="H49" s="665"/>
      <c r="I49" s="665"/>
      <c r="J49" s="736"/>
      <c r="K49" s="737"/>
      <c r="L49" s="150"/>
      <c r="M49" s="150"/>
      <c r="N49" s="150"/>
      <c r="O49" s="150"/>
      <c r="P49" s="150"/>
      <c r="Q49" s="150"/>
      <c r="R49" s="159"/>
      <c r="T49" s="146"/>
      <c r="U49" s="734" t="s">
        <v>514</v>
      </c>
      <c r="V49" s="735"/>
      <c r="W49" s="738"/>
      <c r="X49" s="739" t="str">
        <f t="shared" si="2"/>
        <v/>
      </c>
      <c r="Y49" s="740"/>
      <c r="Z49" s="739" t="str">
        <f t="shared" si="3"/>
        <v/>
      </c>
      <c r="AA49" s="740"/>
      <c r="AB49" s="741" t="str">
        <f t="shared" ref="AB49:AB50" si="5">IFERROR(ROUND(X49*Z49,2),"")</f>
        <v/>
      </c>
      <c r="AC49" s="742"/>
      <c r="AD49" s="150"/>
      <c r="AE49" s="150"/>
      <c r="AF49" s="150"/>
      <c r="AG49" s="150"/>
      <c r="AH49" s="150"/>
      <c r="AI49" s="150"/>
      <c r="AJ49" s="159"/>
    </row>
    <row r="50" spans="2:36" ht="20.149999999999999" customHeight="1">
      <c r="B50" s="146"/>
      <c r="C50" s="743" t="s">
        <v>515</v>
      </c>
      <c r="D50" s="744"/>
      <c r="E50" s="744"/>
      <c r="F50" s="665"/>
      <c r="G50" s="665"/>
      <c r="H50" s="665"/>
      <c r="I50" s="665"/>
      <c r="J50" s="736"/>
      <c r="K50" s="737"/>
      <c r="L50" s="150"/>
      <c r="M50" s="150"/>
      <c r="N50" s="150"/>
      <c r="O50" s="150"/>
      <c r="P50" s="150"/>
      <c r="Q50" s="150"/>
      <c r="R50" s="159"/>
      <c r="T50" s="146"/>
      <c r="U50" s="743" t="s">
        <v>515</v>
      </c>
      <c r="V50" s="744"/>
      <c r="W50" s="745"/>
      <c r="X50" s="739" t="str">
        <f t="shared" si="2"/>
        <v/>
      </c>
      <c r="Y50" s="740"/>
      <c r="Z50" s="739" t="str">
        <f t="shared" si="3"/>
        <v/>
      </c>
      <c r="AA50" s="740"/>
      <c r="AB50" s="741" t="str">
        <f t="shared" si="5"/>
        <v/>
      </c>
      <c r="AC50" s="742"/>
      <c r="AD50" s="150"/>
      <c r="AE50" s="150"/>
      <c r="AF50" s="150"/>
      <c r="AG50" s="150"/>
      <c r="AH50" s="150"/>
      <c r="AI50" s="150"/>
      <c r="AJ50" s="159"/>
    </row>
    <row r="51" spans="2:36" ht="20.149999999999999" customHeight="1">
      <c r="B51" s="146"/>
      <c r="C51" s="723" t="s">
        <v>516</v>
      </c>
      <c r="D51" s="649"/>
      <c r="E51" s="649"/>
      <c r="F51" s="724"/>
      <c r="G51" s="724"/>
      <c r="H51" s="724"/>
      <c r="I51" s="724"/>
      <c r="J51" s="649"/>
      <c r="K51" s="725"/>
      <c r="L51" s="150"/>
      <c r="M51" s="150"/>
      <c r="N51" s="150"/>
      <c r="O51" s="150"/>
      <c r="P51" s="150"/>
      <c r="Q51" s="150"/>
      <c r="R51" s="159"/>
      <c r="T51" s="146"/>
      <c r="U51" s="723" t="s">
        <v>516</v>
      </c>
      <c r="V51" s="649"/>
      <c r="W51" s="649"/>
      <c r="X51" s="649"/>
      <c r="Y51" s="649"/>
      <c r="Z51" s="649"/>
      <c r="AA51" s="649"/>
      <c r="AB51" s="649"/>
      <c r="AC51" s="725"/>
      <c r="AD51" s="150"/>
      <c r="AE51" s="150"/>
      <c r="AF51" s="150"/>
      <c r="AG51" s="150"/>
      <c r="AH51" s="150"/>
      <c r="AI51" s="150"/>
      <c r="AJ51" s="159"/>
    </row>
    <row r="52" spans="2:36" ht="20.149999999999999" customHeight="1">
      <c r="B52" s="146"/>
      <c r="C52" s="726" t="s">
        <v>517</v>
      </c>
      <c r="D52" s="727"/>
      <c r="E52" s="727"/>
      <c r="F52" s="727"/>
      <c r="G52" s="727"/>
      <c r="H52" s="727"/>
      <c r="I52" s="727"/>
      <c r="J52" s="728"/>
      <c r="K52" s="729"/>
      <c r="L52" s="150"/>
      <c r="M52" s="150"/>
      <c r="N52" s="150"/>
      <c r="O52" s="150"/>
      <c r="P52" s="150"/>
      <c r="Q52" s="150"/>
      <c r="R52" s="159"/>
      <c r="T52" s="146"/>
      <c r="U52" s="726" t="s">
        <v>517</v>
      </c>
      <c r="V52" s="727"/>
      <c r="W52" s="727"/>
      <c r="X52" s="727"/>
      <c r="Y52" s="727"/>
      <c r="Z52" s="727"/>
      <c r="AA52" s="727"/>
      <c r="AB52" s="728">
        <f>ROUND(SUM(AB43:AC46,AB48:AC50),0)</f>
        <v>3166020</v>
      </c>
      <c r="AC52" s="729"/>
      <c r="AD52" s="150"/>
      <c r="AE52" s="150"/>
      <c r="AF52" s="150"/>
      <c r="AG52" s="150"/>
      <c r="AH52" s="150"/>
      <c r="AI52" s="150"/>
      <c r="AJ52" s="159"/>
    </row>
    <row r="53" spans="2:36" ht="20.149999999999999" customHeight="1">
      <c r="B53" s="146"/>
      <c r="C53" s="730" t="s">
        <v>518</v>
      </c>
      <c r="D53" s="731"/>
      <c r="E53" s="731"/>
      <c r="F53" s="731"/>
      <c r="G53" s="731"/>
      <c r="H53" s="731"/>
      <c r="I53" s="731"/>
      <c r="J53" s="150"/>
      <c r="K53" s="150"/>
      <c r="L53" s="150"/>
      <c r="M53" s="150"/>
      <c r="N53" s="150"/>
      <c r="O53" s="150"/>
      <c r="P53" s="150"/>
      <c r="Q53" s="150"/>
      <c r="R53" s="159"/>
      <c r="T53" s="146"/>
      <c r="U53" s="730" t="s">
        <v>518</v>
      </c>
      <c r="V53" s="731"/>
      <c r="W53" s="731"/>
      <c r="X53" s="731"/>
      <c r="Y53" s="731"/>
      <c r="Z53" s="731"/>
      <c r="AA53" s="731"/>
      <c r="AB53" s="150"/>
      <c r="AC53" s="150"/>
      <c r="AD53" s="150"/>
      <c r="AE53" s="150"/>
      <c r="AF53" s="150"/>
      <c r="AG53" s="150"/>
      <c r="AH53" s="150"/>
      <c r="AI53" s="150"/>
      <c r="AJ53" s="159"/>
    </row>
    <row r="54" spans="2:36" ht="20.149999999999999" customHeight="1">
      <c r="B54" s="146"/>
      <c r="C54" s="732" t="s">
        <v>502</v>
      </c>
      <c r="D54" s="733"/>
      <c r="E54" s="733"/>
      <c r="F54" s="720" t="s">
        <v>94</v>
      </c>
      <c r="G54" s="720"/>
      <c r="H54" s="720"/>
      <c r="I54" s="720" t="s">
        <v>100</v>
      </c>
      <c r="J54" s="720"/>
      <c r="K54" s="720"/>
      <c r="L54" s="720" t="s">
        <v>91</v>
      </c>
      <c r="M54" s="720"/>
      <c r="N54" s="720"/>
      <c r="O54" s="720" t="s">
        <v>97</v>
      </c>
      <c r="P54" s="720"/>
      <c r="Q54" s="721"/>
      <c r="R54" s="159"/>
      <c r="T54" s="146"/>
      <c r="U54" s="732" t="s">
        <v>502</v>
      </c>
      <c r="V54" s="733"/>
      <c r="W54" s="733"/>
      <c r="X54" s="720" t="s">
        <v>94</v>
      </c>
      <c r="Y54" s="720"/>
      <c r="Z54" s="720"/>
      <c r="AA54" s="720" t="s">
        <v>100</v>
      </c>
      <c r="AB54" s="720"/>
      <c r="AC54" s="720"/>
      <c r="AD54" s="720" t="s">
        <v>91</v>
      </c>
      <c r="AE54" s="720"/>
      <c r="AF54" s="720"/>
      <c r="AG54" s="720" t="s">
        <v>97</v>
      </c>
      <c r="AH54" s="720"/>
      <c r="AI54" s="721"/>
      <c r="AJ54" s="159"/>
    </row>
    <row r="55" spans="2:36" ht="20.149999999999999" customHeight="1">
      <c r="B55" s="146"/>
      <c r="C55" s="637" t="s">
        <v>519</v>
      </c>
      <c r="D55" s="638"/>
      <c r="E55" s="638"/>
      <c r="F55" s="634" t="s">
        <v>520</v>
      </c>
      <c r="G55" s="634"/>
      <c r="H55" s="634"/>
      <c r="I55" s="634" t="s">
        <v>521</v>
      </c>
      <c r="J55" s="634"/>
      <c r="K55" s="634"/>
      <c r="L55" s="634" t="s">
        <v>522</v>
      </c>
      <c r="M55" s="634"/>
      <c r="N55" s="634"/>
      <c r="O55" s="634" t="s">
        <v>523</v>
      </c>
      <c r="P55" s="634"/>
      <c r="Q55" s="634"/>
      <c r="R55" s="159"/>
      <c r="T55" s="146"/>
      <c r="U55" s="637" t="s">
        <v>519</v>
      </c>
      <c r="V55" s="638"/>
      <c r="W55" s="638"/>
      <c r="X55" s="636" t="str">
        <f>IF(F55="","",F55)</f>
        <v>Neerchal</v>
      </c>
      <c r="Y55" s="636"/>
      <c r="Z55" s="636"/>
      <c r="AA55" s="636" t="str">
        <f t="shared" ref="AA55" si="6">IF(I55="","",I55)</f>
        <v>3.5m wide way</v>
      </c>
      <c r="AB55" s="636"/>
      <c r="AC55" s="636"/>
      <c r="AD55" s="636" t="str">
        <f t="shared" ref="AD55" si="7">IF(L55="","",L55)</f>
        <v>Shafna S S</v>
      </c>
      <c r="AE55" s="636"/>
      <c r="AF55" s="636"/>
      <c r="AG55" s="636" t="str">
        <f t="shared" ref="AG55" si="8">IF(O55="","",O55)</f>
        <v>Asgarsha</v>
      </c>
      <c r="AH55" s="636"/>
      <c r="AI55" s="639"/>
      <c r="AJ55" s="159"/>
    </row>
    <row r="56" spans="2:36" ht="20.149999999999999" customHeight="1">
      <c r="B56" s="146"/>
      <c r="C56" s="637"/>
      <c r="D56" s="638"/>
      <c r="E56" s="638"/>
      <c r="F56" s="634"/>
      <c r="G56" s="634"/>
      <c r="H56" s="634"/>
      <c r="I56" s="634"/>
      <c r="J56" s="634"/>
      <c r="K56" s="634"/>
      <c r="L56" s="634"/>
      <c r="M56" s="634"/>
      <c r="N56" s="634"/>
      <c r="O56" s="634"/>
      <c r="P56" s="634"/>
      <c r="Q56" s="634"/>
      <c r="R56" s="159"/>
      <c r="T56" s="146"/>
      <c r="U56" s="637"/>
      <c r="V56" s="638"/>
      <c r="W56" s="638"/>
      <c r="X56" s="636"/>
      <c r="Y56" s="636"/>
      <c r="Z56" s="636"/>
      <c r="AA56" s="636"/>
      <c r="AB56" s="636"/>
      <c r="AC56" s="636"/>
      <c r="AD56" s="636"/>
      <c r="AE56" s="636"/>
      <c r="AF56" s="636"/>
      <c r="AG56" s="636"/>
      <c r="AH56" s="636"/>
      <c r="AI56" s="639"/>
      <c r="AJ56" s="159"/>
    </row>
    <row r="57" spans="2:36" ht="20.149999999999999" customHeight="1">
      <c r="B57" s="146"/>
      <c r="C57" s="637" t="s">
        <v>524</v>
      </c>
      <c r="D57" s="638"/>
      <c r="E57" s="638"/>
      <c r="F57" s="634" t="s">
        <v>520</v>
      </c>
      <c r="G57" s="634"/>
      <c r="H57" s="634"/>
      <c r="I57" s="634" t="s">
        <v>525</v>
      </c>
      <c r="J57" s="634"/>
      <c r="K57" s="634"/>
      <c r="L57" s="634" t="s">
        <v>522</v>
      </c>
      <c r="M57" s="634"/>
      <c r="N57" s="634"/>
      <c r="O57" s="634" t="s">
        <v>523</v>
      </c>
      <c r="P57" s="634"/>
      <c r="Q57" s="634"/>
      <c r="R57" s="159"/>
      <c r="T57" s="146"/>
      <c r="U57" s="637" t="s">
        <v>524</v>
      </c>
      <c r="V57" s="638"/>
      <c r="W57" s="638"/>
      <c r="X57" s="636" t="str">
        <f>IF(F57="","",F57)</f>
        <v>Neerchal</v>
      </c>
      <c r="Y57" s="636"/>
      <c r="Z57" s="636"/>
      <c r="AA57" s="636" t="str">
        <f t="shared" ref="AA57" si="9">IF(I57="","",I57)</f>
        <v>3.5m wide private way</v>
      </c>
      <c r="AB57" s="636"/>
      <c r="AC57" s="636"/>
      <c r="AD57" s="636" t="str">
        <f t="shared" ref="AD57" si="10">IF(L57="","",L57)</f>
        <v>Shafna S S</v>
      </c>
      <c r="AE57" s="636"/>
      <c r="AF57" s="636"/>
      <c r="AG57" s="636" t="str">
        <f t="shared" ref="AG57" si="11">IF(O57="","",O57)</f>
        <v>Asgarsha</v>
      </c>
      <c r="AH57" s="636"/>
      <c r="AI57" s="639"/>
      <c r="AJ57" s="159"/>
    </row>
    <row r="58" spans="2:36" ht="20.149999999999999" customHeight="1">
      <c r="B58" s="146"/>
      <c r="C58" s="640"/>
      <c r="D58" s="641"/>
      <c r="E58" s="641"/>
      <c r="F58" s="634"/>
      <c r="G58" s="634"/>
      <c r="H58" s="634"/>
      <c r="I58" s="634"/>
      <c r="J58" s="634"/>
      <c r="K58" s="634"/>
      <c r="L58" s="634"/>
      <c r="M58" s="634"/>
      <c r="N58" s="634"/>
      <c r="O58" s="634"/>
      <c r="P58" s="634"/>
      <c r="Q58" s="634"/>
      <c r="R58" s="159"/>
      <c r="T58" s="146"/>
      <c r="U58" s="640"/>
      <c r="V58" s="641"/>
      <c r="W58" s="641"/>
      <c r="X58" s="642"/>
      <c r="Y58" s="642"/>
      <c r="Z58" s="642"/>
      <c r="AA58" s="642"/>
      <c r="AB58" s="642"/>
      <c r="AC58" s="642"/>
      <c r="AD58" s="642"/>
      <c r="AE58" s="642"/>
      <c r="AF58" s="642"/>
      <c r="AG58" s="642"/>
      <c r="AH58" s="642"/>
      <c r="AI58" s="722"/>
      <c r="AJ58" s="159"/>
    </row>
    <row r="59" spans="2:36" ht="20.149999999999999" customHeight="1">
      <c r="B59" s="146"/>
      <c r="C59" s="150"/>
      <c r="D59" s="150"/>
      <c r="E59" s="150"/>
      <c r="F59" s="150"/>
      <c r="G59" s="150"/>
      <c r="H59" s="150"/>
      <c r="I59" s="150"/>
      <c r="J59" s="150"/>
      <c r="K59" s="150"/>
      <c r="L59" s="150"/>
      <c r="M59" s="150"/>
      <c r="N59" s="150"/>
      <c r="O59" s="150"/>
      <c r="P59" s="150"/>
      <c r="Q59" s="169"/>
      <c r="R59" s="159"/>
      <c r="T59" s="146"/>
      <c r="U59" s="149"/>
      <c r="V59" s="149"/>
      <c r="W59" s="149"/>
      <c r="X59" s="151"/>
      <c r="Y59" s="151"/>
      <c r="Z59" s="151"/>
      <c r="AA59" s="151"/>
      <c r="AB59" s="151"/>
      <c r="AC59" s="151"/>
      <c r="AD59" s="151"/>
      <c r="AE59" s="151"/>
      <c r="AF59" s="151"/>
      <c r="AG59" s="151"/>
      <c r="AH59" s="151"/>
      <c r="AI59" s="151"/>
      <c r="AJ59" s="159"/>
    </row>
    <row r="60" spans="2:36" ht="20.149999999999999" customHeight="1">
      <c r="B60" s="146"/>
      <c r="C60" s="628" t="s">
        <v>526</v>
      </c>
      <c r="D60" s="628"/>
      <c r="E60" s="628"/>
      <c r="F60" s="636"/>
      <c r="G60" s="636"/>
      <c r="H60" s="636"/>
      <c r="I60" s="636"/>
      <c r="J60" s="636"/>
      <c r="K60" s="636"/>
      <c r="L60" s="636"/>
      <c r="M60" s="636"/>
      <c r="N60" s="636"/>
      <c r="O60" s="636"/>
      <c r="P60" s="636"/>
      <c r="Q60" s="636"/>
      <c r="R60" s="159"/>
      <c r="T60" s="146"/>
      <c r="U60" s="628" t="s">
        <v>526</v>
      </c>
      <c r="V60" s="628"/>
      <c r="W60" s="628"/>
      <c r="X60" s="636" t="str">
        <f>CONCATENATE(TRIM(LEFT(L44,FIND(",",L44)-1)))</f>
        <v>8.531990704532049</v>
      </c>
      <c r="Y60" s="636"/>
      <c r="Z60" s="636"/>
      <c r="AA60" s="636"/>
      <c r="AB60" s="636"/>
      <c r="AC60" s="636"/>
      <c r="AD60" s="636"/>
      <c r="AE60" s="636"/>
      <c r="AF60" s="636"/>
      <c r="AG60" s="636"/>
      <c r="AH60" s="636"/>
      <c r="AI60" s="636"/>
      <c r="AJ60" s="159"/>
    </row>
    <row r="61" spans="2:36" ht="20.149999999999999" customHeight="1">
      <c r="B61" s="146"/>
      <c r="C61" s="628" t="s">
        <v>527</v>
      </c>
      <c r="D61" s="628"/>
      <c r="E61" s="628"/>
      <c r="F61" s="636"/>
      <c r="G61" s="636"/>
      <c r="H61" s="636"/>
      <c r="I61" s="636"/>
      <c r="J61" s="636"/>
      <c r="K61" s="636"/>
      <c r="L61" s="636"/>
      <c r="M61" s="636"/>
      <c r="N61" s="636"/>
      <c r="O61" s="636"/>
      <c r="P61" s="636"/>
      <c r="Q61" s="636"/>
      <c r="R61" s="159"/>
      <c r="T61" s="146"/>
      <c r="U61" s="628" t="s">
        <v>527</v>
      </c>
      <c r="V61" s="628"/>
      <c r="W61" s="628"/>
      <c r="X61" s="636" t="str">
        <f>CONCATENATE(,TRIM(MID(L44,FIND(",",L44)+1,LEN(L44))))</f>
        <v>77.14167293463632</v>
      </c>
      <c r="Y61" s="636"/>
      <c r="Z61" s="636"/>
      <c r="AA61" s="636"/>
      <c r="AB61" s="636"/>
      <c r="AC61" s="636"/>
      <c r="AD61" s="636"/>
      <c r="AE61" s="636"/>
      <c r="AF61" s="636"/>
      <c r="AG61" s="636"/>
      <c r="AH61" s="636"/>
      <c r="AI61" s="636"/>
      <c r="AJ61" s="159"/>
    </row>
    <row r="62" spans="2:36" ht="20.149999999999999" customHeight="1">
      <c r="B62" s="146"/>
      <c r="C62" s="628" t="s">
        <v>245</v>
      </c>
      <c r="D62" s="628"/>
      <c r="E62" s="629"/>
      <c r="F62" s="643" t="s">
        <v>528</v>
      </c>
      <c r="G62" s="643"/>
      <c r="H62" s="643"/>
      <c r="I62" s="643"/>
      <c r="J62" s="643"/>
      <c r="K62" s="643"/>
      <c r="L62" s="643"/>
      <c r="M62" s="643"/>
      <c r="N62" s="643"/>
      <c r="O62" s="643"/>
      <c r="P62" s="643"/>
      <c r="Q62" s="643"/>
      <c r="R62" s="159"/>
      <c r="T62" s="146"/>
      <c r="U62" s="628" t="s">
        <v>245</v>
      </c>
      <c r="V62" s="628"/>
      <c r="W62" s="628"/>
      <c r="X62" s="633" t="str">
        <f>F62</f>
        <v>Purchase of 2.03 ares of land in Re.Sy.Block No:17, Re.Sy.No:178/9-2-3 located in Anad Village, Nedumangad Taluk, Thiruvanathapuram District.The property has access through a 3.5 m wide private road on the west side.Property is demarcated with a compound wall on three sides and a survey stone on the east side. As per the LTR provided, the land is classified as Purayidam. The location sketch is verified. The transaction is direct, with no brokers involved.</v>
      </c>
      <c r="Y62" s="633"/>
      <c r="Z62" s="633"/>
      <c r="AA62" s="633"/>
      <c r="AB62" s="633"/>
      <c r="AC62" s="633"/>
      <c r="AD62" s="633"/>
      <c r="AE62" s="633"/>
      <c r="AF62" s="633"/>
      <c r="AG62" s="633"/>
      <c r="AH62" s="633"/>
      <c r="AI62" s="633"/>
      <c r="AJ62" s="159"/>
    </row>
    <row r="63" spans="2:36" ht="20.149999999999999" customHeight="1">
      <c r="B63" s="146"/>
      <c r="C63" s="628"/>
      <c r="D63" s="628"/>
      <c r="E63" s="629"/>
      <c r="F63" s="643"/>
      <c r="G63" s="643"/>
      <c r="H63" s="643"/>
      <c r="I63" s="643"/>
      <c r="J63" s="643"/>
      <c r="K63" s="643"/>
      <c r="L63" s="643"/>
      <c r="M63" s="643"/>
      <c r="N63" s="643"/>
      <c r="O63" s="643"/>
      <c r="P63" s="643"/>
      <c r="Q63" s="643"/>
      <c r="R63" s="170"/>
      <c r="T63" s="146"/>
      <c r="U63" s="628"/>
      <c r="V63" s="628"/>
      <c r="W63" s="628"/>
      <c r="X63" s="633"/>
      <c r="Y63" s="633"/>
      <c r="Z63" s="633"/>
      <c r="AA63" s="633"/>
      <c r="AB63" s="633"/>
      <c r="AC63" s="633"/>
      <c r="AD63" s="633"/>
      <c r="AE63" s="633"/>
      <c r="AF63" s="633"/>
      <c r="AG63" s="633"/>
      <c r="AH63" s="633"/>
      <c r="AI63" s="633"/>
      <c r="AJ63" s="159"/>
    </row>
    <row r="64" spans="2:36" ht="20.149999999999999" customHeight="1">
      <c r="B64" s="146"/>
      <c r="C64" s="628"/>
      <c r="D64" s="628"/>
      <c r="E64" s="629"/>
      <c r="F64" s="643"/>
      <c r="G64" s="643"/>
      <c r="H64" s="643"/>
      <c r="I64" s="643"/>
      <c r="J64" s="643"/>
      <c r="K64" s="643"/>
      <c r="L64" s="643"/>
      <c r="M64" s="643"/>
      <c r="N64" s="643"/>
      <c r="O64" s="643"/>
      <c r="P64" s="643"/>
      <c r="Q64" s="643"/>
      <c r="R64" s="159"/>
      <c r="T64" s="146"/>
      <c r="U64" s="628"/>
      <c r="V64" s="628"/>
      <c r="W64" s="628"/>
      <c r="X64" s="633"/>
      <c r="Y64" s="633"/>
      <c r="Z64" s="633"/>
      <c r="AA64" s="633"/>
      <c r="AB64" s="633"/>
      <c r="AC64" s="633"/>
      <c r="AD64" s="633"/>
      <c r="AE64" s="633"/>
      <c r="AF64" s="633"/>
      <c r="AG64" s="633"/>
      <c r="AH64" s="633"/>
      <c r="AI64" s="633"/>
      <c r="AJ64" s="159"/>
    </row>
    <row r="65" spans="2:36" ht="20.149999999999999" customHeight="1">
      <c r="B65" s="146"/>
      <c r="C65" s="628"/>
      <c r="D65" s="628"/>
      <c r="E65" s="629"/>
      <c r="F65" s="643"/>
      <c r="G65" s="643"/>
      <c r="H65" s="643"/>
      <c r="I65" s="643"/>
      <c r="J65" s="643"/>
      <c r="K65" s="643"/>
      <c r="L65" s="643"/>
      <c r="M65" s="643"/>
      <c r="N65" s="643"/>
      <c r="O65" s="643"/>
      <c r="P65" s="643"/>
      <c r="Q65" s="643"/>
      <c r="R65" s="159"/>
      <c r="T65" s="146"/>
      <c r="U65" s="628"/>
      <c r="V65" s="628"/>
      <c r="W65" s="628"/>
      <c r="X65" s="633"/>
      <c r="Y65" s="633"/>
      <c r="Z65" s="633"/>
      <c r="AA65" s="633"/>
      <c r="AB65" s="633"/>
      <c r="AC65" s="633"/>
      <c r="AD65" s="633"/>
      <c r="AE65" s="633"/>
      <c r="AF65" s="633"/>
      <c r="AG65" s="633"/>
      <c r="AH65" s="633"/>
      <c r="AI65" s="633"/>
      <c r="AJ65" s="159"/>
    </row>
    <row r="66" spans="2:36" ht="20.149999999999999" customHeight="1">
      <c r="B66" s="146"/>
      <c r="C66" s="628"/>
      <c r="D66" s="628"/>
      <c r="E66" s="629"/>
      <c r="F66" s="643"/>
      <c r="G66" s="643"/>
      <c r="H66" s="643"/>
      <c r="I66" s="643"/>
      <c r="J66" s="643"/>
      <c r="K66" s="643"/>
      <c r="L66" s="643"/>
      <c r="M66" s="643"/>
      <c r="N66" s="643"/>
      <c r="O66" s="643"/>
      <c r="P66" s="643"/>
      <c r="Q66" s="643"/>
      <c r="R66" s="159"/>
      <c r="T66" s="146"/>
      <c r="U66" s="628"/>
      <c r="V66" s="628"/>
      <c r="W66" s="628"/>
      <c r="X66" s="633"/>
      <c r="Y66" s="633"/>
      <c r="Z66" s="633"/>
      <c r="AA66" s="633"/>
      <c r="AB66" s="633"/>
      <c r="AC66" s="633"/>
      <c r="AD66" s="633"/>
      <c r="AE66" s="633"/>
      <c r="AF66" s="633"/>
      <c r="AG66" s="633"/>
      <c r="AH66" s="633"/>
      <c r="AI66" s="633"/>
      <c r="AJ66" s="159"/>
    </row>
    <row r="67" spans="2:36" ht="20.149999999999999" customHeight="1">
      <c r="B67" s="146"/>
      <c r="C67" s="628"/>
      <c r="D67" s="628"/>
      <c r="E67" s="629"/>
      <c r="F67" s="643"/>
      <c r="G67" s="643"/>
      <c r="H67" s="643"/>
      <c r="I67" s="643"/>
      <c r="J67" s="643"/>
      <c r="K67" s="643"/>
      <c r="L67" s="643"/>
      <c r="M67" s="643"/>
      <c r="N67" s="643"/>
      <c r="O67" s="643"/>
      <c r="P67" s="643"/>
      <c r="Q67" s="643"/>
      <c r="R67" s="159"/>
      <c r="T67" s="146"/>
      <c r="U67" s="628"/>
      <c r="V67" s="628"/>
      <c r="W67" s="628"/>
      <c r="X67" s="633"/>
      <c r="Y67" s="633"/>
      <c r="Z67" s="633"/>
      <c r="AA67" s="633"/>
      <c r="AB67" s="633"/>
      <c r="AC67" s="633"/>
      <c r="AD67" s="633"/>
      <c r="AE67" s="633"/>
      <c r="AF67" s="633"/>
      <c r="AG67" s="633"/>
      <c r="AH67" s="633"/>
      <c r="AI67" s="633"/>
      <c r="AJ67" s="159"/>
    </row>
    <row r="68" spans="2:36" ht="20.149999999999999" customHeight="1">
      <c r="B68" s="146"/>
      <c r="C68" s="628"/>
      <c r="D68" s="628"/>
      <c r="E68" s="629"/>
      <c r="F68" s="643"/>
      <c r="G68" s="643"/>
      <c r="H68" s="643"/>
      <c r="I68" s="643"/>
      <c r="J68" s="643"/>
      <c r="K68" s="643"/>
      <c r="L68" s="643"/>
      <c r="M68" s="643"/>
      <c r="N68" s="643"/>
      <c r="O68" s="643"/>
      <c r="P68" s="643"/>
      <c r="Q68" s="643"/>
      <c r="R68" s="159"/>
      <c r="T68" s="146"/>
      <c r="U68" s="628"/>
      <c r="V68" s="628"/>
      <c r="W68" s="628"/>
      <c r="X68" s="633"/>
      <c r="Y68" s="633"/>
      <c r="Z68" s="633"/>
      <c r="AA68" s="633"/>
      <c r="AB68" s="633"/>
      <c r="AC68" s="633"/>
      <c r="AD68" s="633"/>
      <c r="AE68" s="633"/>
      <c r="AF68" s="633"/>
      <c r="AG68" s="633"/>
      <c r="AH68" s="633"/>
      <c r="AI68" s="633"/>
      <c r="AJ68" s="159"/>
    </row>
    <row r="69" spans="2:36" ht="20.149999999999999" customHeight="1">
      <c r="B69" s="146"/>
      <c r="C69" s="628"/>
      <c r="D69" s="628"/>
      <c r="E69" s="629"/>
      <c r="F69" s="643"/>
      <c r="G69" s="643"/>
      <c r="H69" s="643"/>
      <c r="I69" s="643"/>
      <c r="J69" s="643"/>
      <c r="K69" s="643"/>
      <c r="L69" s="643"/>
      <c r="M69" s="643"/>
      <c r="N69" s="643"/>
      <c r="O69" s="643"/>
      <c r="P69" s="643"/>
      <c r="Q69" s="643"/>
      <c r="R69" s="159"/>
      <c r="T69" s="146"/>
      <c r="U69" s="628"/>
      <c r="V69" s="628"/>
      <c r="W69" s="628"/>
      <c r="X69" s="633"/>
      <c r="Y69" s="633"/>
      <c r="Z69" s="633"/>
      <c r="AA69" s="633"/>
      <c r="AB69" s="633"/>
      <c r="AC69" s="633"/>
      <c r="AD69" s="633"/>
      <c r="AE69" s="633"/>
      <c r="AF69" s="633"/>
      <c r="AG69" s="633"/>
      <c r="AH69" s="633"/>
      <c r="AI69" s="633"/>
      <c r="AJ69" s="159"/>
    </row>
    <row r="70" spans="2:36" ht="20.149999999999999" customHeight="1">
      <c r="B70" s="146"/>
      <c r="C70" s="628"/>
      <c r="D70" s="628"/>
      <c r="E70" s="629"/>
      <c r="F70" s="643"/>
      <c r="G70" s="643"/>
      <c r="H70" s="643"/>
      <c r="I70" s="643"/>
      <c r="J70" s="643"/>
      <c r="K70" s="643"/>
      <c r="L70" s="643"/>
      <c r="M70" s="643"/>
      <c r="N70" s="643"/>
      <c r="O70" s="643"/>
      <c r="P70" s="643"/>
      <c r="Q70" s="643"/>
      <c r="R70" s="159"/>
      <c r="T70" s="146"/>
      <c r="U70" s="628"/>
      <c r="V70" s="628"/>
      <c r="W70" s="628"/>
      <c r="X70" s="633"/>
      <c r="Y70" s="633"/>
      <c r="Z70" s="633"/>
      <c r="AA70" s="633"/>
      <c r="AB70" s="633"/>
      <c r="AC70" s="633"/>
      <c r="AD70" s="633"/>
      <c r="AE70" s="633"/>
      <c r="AF70" s="633"/>
      <c r="AG70" s="633"/>
      <c r="AH70" s="633"/>
      <c r="AI70" s="633"/>
      <c r="AJ70" s="159"/>
    </row>
    <row r="71" spans="2:36" ht="20.149999999999999" customHeight="1">
      <c r="B71" s="146"/>
      <c r="C71" s="628"/>
      <c r="D71" s="628"/>
      <c r="E71" s="629"/>
      <c r="F71" s="643"/>
      <c r="G71" s="643"/>
      <c r="H71" s="643"/>
      <c r="I71" s="643"/>
      <c r="J71" s="643"/>
      <c r="K71" s="643"/>
      <c r="L71" s="643"/>
      <c r="M71" s="643"/>
      <c r="N71" s="643"/>
      <c r="O71" s="643"/>
      <c r="P71" s="643"/>
      <c r="Q71" s="643"/>
      <c r="R71" s="159"/>
      <c r="T71" s="146"/>
      <c r="U71" s="628"/>
      <c r="V71" s="628"/>
      <c r="W71" s="628"/>
      <c r="X71" s="633"/>
      <c r="Y71" s="633"/>
      <c r="Z71" s="633"/>
      <c r="AA71" s="633"/>
      <c r="AB71" s="633"/>
      <c r="AC71" s="633"/>
      <c r="AD71" s="633"/>
      <c r="AE71" s="633"/>
      <c r="AF71" s="633"/>
      <c r="AG71" s="633"/>
      <c r="AH71" s="633"/>
      <c r="AI71" s="633"/>
      <c r="AJ71" s="159"/>
    </row>
    <row r="72" spans="2:36" ht="20.149999999999999" customHeight="1">
      <c r="B72" s="146"/>
      <c r="C72" s="628"/>
      <c r="D72" s="628"/>
      <c r="E72" s="629"/>
      <c r="F72" s="643"/>
      <c r="G72" s="643"/>
      <c r="H72" s="643"/>
      <c r="I72" s="643"/>
      <c r="J72" s="643"/>
      <c r="K72" s="643"/>
      <c r="L72" s="643"/>
      <c r="M72" s="643"/>
      <c r="N72" s="643"/>
      <c r="O72" s="643"/>
      <c r="P72" s="643"/>
      <c r="Q72" s="643"/>
      <c r="R72" s="159"/>
      <c r="T72" s="146"/>
      <c r="U72" s="628"/>
      <c r="V72" s="628"/>
      <c r="W72" s="628"/>
      <c r="X72" s="633"/>
      <c r="Y72" s="633"/>
      <c r="Z72" s="633"/>
      <c r="AA72" s="633"/>
      <c r="AB72" s="633"/>
      <c r="AC72" s="633"/>
      <c r="AD72" s="633"/>
      <c r="AE72" s="633"/>
      <c r="AF72" s="633"/>
      <c r="AG72" s="633"/>
      <c r="AH72" s="633"/>
      <c r="AI72" s="633"/>
      <c r="AJ72" s="159"/>
    </row>
    <row r="73" spans="2:36" ht="20.149999999999999" customHeight="1">
      <c r="B73" s="146"/>
      <c r="C73" s="628"/>
      <c r="D73" s="628"/>
      <c r="E73" s="629"/>
      <c r="F73" s="643"/>
      <c r="G73" s="643"/>
      <c r="H73" s="643"/>
      <c r="I73" s="643"/>
      <c r="J73" s="643"/>
      <c r="K73" s="643"/>
      <c r="L73" s="643"/>
      <c r="M73" s="643"/>
      <c r="N73" s="643"/>
      <c r="O73" s="643"/>
      <c r="P73" s="643"/>
      <c r="Q73" s="643"/>
      <c r="R73" s="159"/>
      <c r="T73" s="146"/>
      <c r="U73" s="628"/>
      <c r="V73" s="628"/>
      <c r="W73" s="628"/>
      <c r="X73" s="633"/>
      <c r="Y73" s="633"/>
      <c r="Z73" s="633"/>
      <c r="AA73" s="633"/>
      <c r="AB73" s="633"/>
      <c r="AC73" s="633"/>
      <c r="AD73" s="633"/>
      <c r="AE73" s="633"/>
      <c r="AF73" s="633"/>
      <c r="AG73" s="633"/>
      <c r="AH73" s="633"/>
      <c r="AI73" s="633"/>
      <c r="AJ73" s="159"/>
    </row>
    <row r="74" spans="2:36" ht="20.149999999999999" customHeight="1">
      <c r="B74" s="145"/>
      <c r="C74" s="628"/>
      <c r="D74" s="628"/>
      <c r="E74" s="629"/>
      <c r="F74" s="643"/>
      <c r="G74" s="643"/>
      <c r="H74" s="643"/>
      <c r="I74" s="643"/>
      <c r="J74" s="643"/>
      <c r="K74" s="643"/>
      <c r="L74" s="643"/>
      <c r="M74" s="643"/>
      <c r="N74" s="643"/>
      <c r="O74" s="643"/>
      <c r="P74" s="643"/>
      <c r="Q74" s="643"/>
      <c r="R74" s="177"/>
      <c r="S74" s="178"/>
      <c r="T74" s="145"/>
      <c r="U74" s="628"/>
      <c r="V74" s="628"/>
      <c r="W74" s="628"/>
      <c r="X74" s="633"/>
      <c r="Y74" s="633"/>
      <c r="Z74" s="633"/>
      <c r="AA74" s="633"/>
      <c r="AB74" s="633"/>
      <c r="AC74" s="633"/>
      <c r="AD74" s="633"/>
      <c r="AE74" s="633"/>
      <c r="AF74" s="633"/>
      <c r="AG74" s="633"/>
      <c r="AH74" s="633"/>
      <c r="AI74" s="633"/>
      <c r="AJ74" s="177"/>
    </row>
    <row r="75" spans="2:36" ht="20.149999999999999" customHeight="1">
      <c r="B75" s="145"/>
      <c r="C75" s="630" t="s">
        <v>529</v>
      </c>
      <c r="D75" s="630"/>
      <c r="E75" s="630"/>
      <c r="F75" s="643"/>
      <c r="G75" s="643"/>
      <c r="H75" s="643"/>
      <c r="I75" s="643"/>
      <c r="J75" s="643"/>
      <c r="K75" s="643"/>
      <c r="L75" s="643"/>
      <c r="M75" s="643"/>
      <c r="N75" s="643"/>
      <c r="O75" s="643"/>
      <c r="P75" s="643"/>
      <c r="Q75" s="643"/>
      <c r="R75" s="177"/>
      <c r="S75" s="178"/>
      <c r="T75" s="145"/>
      <c r="U75" s="630" t="s">
        <v>529</v>
      </c>
      <c r="V75" s="630"/>
      <c r="W75" s="630"/>
      <c r="X75" s="633">
        <f>F75</f>
        <v>0</v>
      </c>
      <c r="Y75" s="633"/>
      <c r="Z75" s="633"/>
      <c r="AA75" s="633"/>
      <c r="AB75" s="633"/>
      <c r="AC75" s="633"/>
      <c r="AD75" s="633"/>
      <c r="AE75" s="633"/>
      <c r="AF75" s="633"/>
      <c r="AG75" s="633"/>
      <c r="AH75" s="633"/>
      <c r="AI75" s="633"/>
      <c r="AJ75" s="177"/>
    </row>
    <row r="76" spans="2:36" ht="20.149999999999999" customHeight="1">
      <c r="B76" s="145"/>
      <c r="C76" s="631"/>
      <c r="D76" s="631"/>
      <c r="E76" s="631"/>
      <c r="F76" s="643"/>
      <c r="G76" s="643"/>
      <c r="H76" s="643"/>
      <c r="I76" s="643"/>
      <c r="J76" s="643"/>
      <c r="K76" s="643"/>
      <c r="L76" s="643"/>
      <c r="M76" s="643"/>
      <c r="N76" s="643"/>
      <c r="O76" s="643"/>
      <c r="P76" s="643"/>
      <c r="Q76" s="643"/>
      <c r="R76" s="177"/>
      <c r="S76" s="178"/>
      <c r="T76" s="145"/>
      <c r="U76" s="631"/>
      <c r="V76" s="631"/>
      <c r="W76" s="631"/>
      <c r="X76" s="633"/>
      <c r="Y76" s="633"/>
      <c r="Z76" s="633"/>
      <c r="AA76" s="633"/>
      <c r="AB76" s="633"/>
      <c r="AC76" s="633"/>
      <c r="AD76" s="633"/>
      <c r="AE76" s="633"/>
      <c r="AF76" s="633"/>
      <c r="AG76" s="633"/>
      <c r="AH76" s="633"/>
      <c r="AI76" s="633"/>
      <c r="AJ76" s="177"/>
    </row>
    <row r="77" spans="2:36" ht="20.149999999999999" customHeight="1">
      <c r="B77" s="145"/>
      <c r="C77" s="632"/>
      <c r="D77" s="632"/>
      <c r="E77" s="632"/>
      <c r="F77" s="643"/>
      <c r="G77" s="643"/>
      <c r="H77" s="643"/>
      <c r="I77" s="643"/>
      <c r="J77" s="643"/>
      <c r="K77" s="643"/>
      <c r="L77" s="643"/>
      <c r="M77" s="643"/>
      <c r="N77" s="643"/>
      <c r="O77" s="643"/>
      <c r="P77" s="643"/>
      <c r="Q77" s="643"/>
      <c r="R77" s="177"/>
      <c r="S77" s="178"/>
      <c r="T77" s="145"/>
      <c r="U77" s="632"/>
      <c r="V77" s="632"/>
      <c r="W77" s="632"/>
      <c r="X77" s="633"/>
      <c r="Y77" s="633"/>
      <c r="Z77" s="633"/>
      <c r="AA77" s="633"/>
      <c r="AB77" s="633"/>
      <c r="AC77" s="633"/>
      <c r="AD77" s="633"/>
      <c r="AE77" s="633"/>
      <c r="AF77" s="633"/>
      <c r="AG77" s="633"/>
      <c r="AH77" s="633"/>
      <c r="AI77" s="633"/>
      <c r="AJ77" s="177"/>
    </row>
    <row r="78" spans="2:36" ht="20.149999999999999" customHeight="1">
      <c r="B78" s="145"/>
      <c r="C78" s="650" t="s">
        <v>530</v>
      </c>
      <c r="D78" s="666"/>
      <c r="E78" s="648"/>
      <c r="F78" s="661" t="s">
        <v>531</v>
      </c>
      <c r="G78" s="662"/>
      <c r="H78" s="662"/>
      <c r="I78" s="662"/>
      <c r="J78" s="662"/>
      <c r="K78" s="662"/>
      <c r="L78" s="662"/>
      <c r="M78" s="662"/>
      <c r="N78" s="662"/>
      <c r="O78" s="662"/>
      <c r="P78" s="662"/>
      <c r="Q78" s="662"/>
      <c r="R78" s="177"/>
      <c r="S78" s="178"/>
      <c r="T78" s="145"/>
      <c r="U78" s="658" t="s">
        <v>530</v>
      </c>
      <c r="V78" s="659"/>
      <c r="W78" s="660"/>
      <c r="X78" s="635" t="str">
        <f>F78</f>
        <v>Sanjay Babu</v>
      </c>
      <c r="Y78" s="636"/>
      <c r="Z78" s="636"/>
      <c r="AA78" s="636"/>
      <c r="AB78" s="636"/>
      <c r="AC78" s="636"/>
      <c r="AD78" s="636"/>
      <c r="AE78" s="636"/>
      <c r="AF78" s="636"/>
      <c r="AG78" s="636"/>
      <c r="AH78" s="636"/>
      <c r="AI78" s="636"/>
      <c r="AJ78" s="177"/>
    </row>
    <row r="79" spans="2:36" ht="20.149999999999999" customHeight="1">
      <c r="B79" s="145"/>
      <c r="C79" s="650" t="s">
        <v>532</v>
      </c>
      <c r="D79" s="666"/>
      <c r="E79" s="648"/>
      <c r="F79" s="661" t="s">
        <v>531</v>
      </c>
      <c r="G79" s="662"/>
      <c r="H79" s="662"/>
      <c r="I79" s="662"/>
      <c r="J79" s="662"/>
      <c r="K79" s="662"/>
      <c r="L79" s="662"/>
      <c r="M79" s="662"/>
      <c r="N79" s="662"/>
      <c r="O79" s="662"/>
      <c r="P79" s="662"/>
      <c r="Q79" s="662"/>
      <c r="R79" s="177"/>
      <c r="S79" s="178"/>
      <c r="T79" s="145"/>
      <c r="U79" s="650" t="s">
        <v>532</v>
      </c>
      <c r="V79" s="666"/>
      <c r="W79" s="648"/>
      <c r="X79" s="635" t="str">
        <f>F79</f>
        <v>Sanjay Babu</v>
      </c>
      <c r="Y79" s="636"/>
      <c r="Z79" s="636"/>
      <c r="AA79" s="636"/>
      <c r="AB79" s="636"/>
      <c r="AC79" s="636"/>
      <c r="AD79" s="636"/>
      <c r="AE79" s="636"/>
      <c r="AF79" s="636"/>
      <c r="AG79" s="636"/>
      <c r="AH79" s="636"/>
      <c r="AI79" s="636"/>
      <c r="AJ79" s="177"/>
    </row>
    <row r="80" spans="2:36" ht="20.149999999999999" customHeight="1">
      <c r="B80" s="145"/>
      <c r="C80" s="650" t="s">
        <v>533</v>
      </c>
      <c r="D80" s="666"/>
      <c r="E80" s="666"/>
      <c r="F80" s="714">
        <v>45939</v>
      </c>
      <c r="G80" s="715"/>
      <c r="H80" s="715"/>
      <c r="I80" s="715"/>
      <c r="J80" s="715"/>
      <c r="K80" s="715"/>
      <c r="L80" s="715"/>
      <c r="M80" s="715"/>
      <c r="N80" s="715"/>
      <c r="O80" s="715"/>
      <c r="P80" s="715"/>
      <c r="Q80" s="715"/>
      <c r="R80" s="177"/>
      <c r="S80" s="178"/>
      <c r="T80" s="145"/>
      <c r="U80" s="650" t="s">
        <v>533</v>
      </c>
      <c r="V80" s="666"/>
      <c r="W80" s="648"/>
      <c r="X80" s="716">
        <f>F80</f>
        <v>45939</v>
      </c>
      <c r="Y80" s="719"/>
      <c r="Z80" s="719"/>
      <c r="AA80" s="719"/>
      <c r="AB80" s="719"/>
      <c r="AC80" s="719"/>
      <c r="AD80" s="719"/>
      <c r="AE80" s="719"/>
      <c r="AF80" s="719"/>
      <c r="AG80" s="719"/>
      <c r="AH80" s="719"/>
      <c r="AI80" s="719"/>
      <c r="AJ80" s="177"/>
    </row>
    <row r="81" spans="2:36" ht="20.149999999999999" customHeight="1">
      <c r="B81" s="145"/>
      <c r="C81" s="650" t="s">
        <v>534</v>
      </c>
      <c r="D81" s="666"/>
      <c r="E81" s="666"/>
      <c r="F81" s="714"/>
      <c r="G81" s="715"/>
      <c r="H81" s="715"/>
      <c r="I81" s="715"/>
      <c r="J81" s="715"/>
      <c r="K81" s="715"/>
      <c r="L81" s="715"/>
      <c r="M81" s="715"/>
      <c r="N81" s="715"/>
      <c r="O81" s="715"/>
      <c r="P81" s="715"/>
      <c r="Q81" s="715"/>
      <c r="R81" s="177"/>
      <c r="S81" s="178"/>
      <c r="T81" s="145"/>
      <c r="U81" s="650" t="s">
        <v>534</v>
      </c>
      <c r="V81" s="666"/>
      <c r="W81" s="648"/>
      <c r="X81" s="716">
        <f ca="1">IF(F81="",TODAY(),F81)</f>
        <v>46116</v>
      </c>
      <c r="Y81" s="636"/>
      <c r="Z81" s="636"/>
      <c r="AA81" s="636"/>
      <c r="AB81" s="636"/>
      <c r="AC81" s="636"/>
      <c r="AD81" s="636"/>
      <c r="AE81" s="636"/>
      <c r="AF81" s="636"/>
      <c r="AG81" s="636"/>
      <c r="AH81" s="636"/>
      <c r="AI81" s="636"/>
      <c r="AJ81" s="177"/>
    </row>
    <row r="82" spans="2:36" ht="20.149999999999999" customHeight="1">
      <c r="B82" s="145"/>
      <c r="C82" s="171"/>
      <c r="D82" s="171"/>
      <c r="E82" s="171"/>
      <c r="F82" s="171"/>
      <c r="G82" s="171"/>
      <c r="H82" s="171"/>
      <c r="I82" s="171"/>
      <c r="J82" s="171"/>
      <c r="K82" s="171"/>
      <c r="L82" s="171"/>
      <c r="M82" s="171"/>
      <c r="N82" s="171"/>
      <c r="O82" s="171"/>
      <c r="P82" s="171"/>
      <c r="Q82" s="171"/>
      <c r="R82" s="177"/>
      <c r="S82" s="178"/>
      <c r="T82" s="145"/>
      <c r="U82" s="171"/>
      <c r="V82" s="171"/>
      <c r="W82" s="171"/>
      <c r="X82" s="171"/>
      <c r="Y82" s="171"/>
      <c r="Z82" s="171"/>
      <c r="AA82" s="171"/>
      <c r="AB82" s="171"/>
      <c r="AC82" s="171"/>
      <c r="AD82" s="171"/>
      <c r="AE82" s="171"/>
      <c r="AF82" s="171"/>
      <c r="AG82" s="171"/>
      <c r="AH82" s="171"/>
      <c r="AI82" s="171"/>
      <c r="AJ82" s="177"/>
    </row>
    <row r="83" spans="2:36" ht="20.149999999999999" customHeight="1">
      <c r="B83" s="145"/>
      <c r="C83" s="171"/>
      <c r="D83" s="171"/>
      <c r="E83" s="171"/>
      <c r="F83" s="171"/>
      <c r="G83" s="171"/>
      <c r="H83" s="171"/>
      <c r="I83" s="171"/>
      <c r="J83" s="171"/>
      <c r="K83" s="171"/>
      <c r="L83" s="171"/>
      <c r="M83" s="171"/>
      <c r="N83" s="171"/>
      <c r="O83" s="171"/>
      <c r="P83" s="171"/>
      <c r="Q83" s="171"/>
      <c r="R83" s="177"/>
      <c r="S83" s="178"/>
      <c r="T83" s="145"/>
      <c r="U83" s="171">
        <v>1</v>
      </c>
      <c r="V83" s="171"/>
      <c r="W83" s="171"/>
      <c r="X83" s="171"/>
      <c r="Y83" s="171"/>
      <c r="Z83" s="171"/>
      <c r="AA83" s="171"/>
      <c r="AB83" s="171"/>
      <c r="AC83" s="171"/>
      <c r="AD83" s="171"/>
      <c r="AE83" s="171"/>
      <c r="AF83" s="171"/>
      <c r="AG83" s="171"/>
      <c r="AH83" s="171"/>
      <c r="AI83" s="171"/>
      <c r="AJ83" s="177"/>
    </row>
    <row r="84" spans="2:36" ht="20.149999999999999" customHeight="1">
      <c r="B84" s="145"/>
      <c r="C84" s="171"/>
      <c r="D84" s="171"/>
      <c r="E84" s="171"/>
      <c r="F84" s="171"/>
      <c r="G84" s="171"/>
      <c r="H84" s="171"/>
      <c r="I84" s="171"/>
      <c r="J84" s="171"/>
      <c r="K84" s="171"/>
      <c r="L84" s="171"/>
      <c r="M84" s="171"/>
      <c r="N84" s="171"/>
      <c r="O84" s="171"/>
      <c r="P84" s="171"/>
      <c r="Q84" s="171"/>
      <c r="R84" s="177"/>
      <c r="S84" s="178"/>
      <c r="T84" s="145"/>
      <c r="U84" s="171">
        <v>2</v>
      </c>
      <c r="V84" s="171"/>
      <c r="W84" s="171"/>
      <c r="X84" s="171"/>
      <c r="Y84" s="171"/>
      <c r="Z84" s="171"/>
      <c r="AA84" s="171"/>
      <c r="AB84" s="171"/>
      <c r="AC84" s="171"/>
      <c r="AD84" s="171"/>
      <c r="AE84" s="171"/>
      <c r="AF84" s="171"/>
      <c r="AG84" s="171"/>
      <c r="AH84" s="171"/>
      <c r="AI84" s="171"/>
      <c r="AJ84" s="177"/>
    </row>
    <row r="85" spans="2:36" ht="20.149999999999999" customHeight="1">
      <c r="B85" s="145"/>
      <c r="C85" s="171"/>
      <c r="D85" s="171"/>
      <c r="E85" s="171"/>
      <c r="F85" s="171"/>
      <c r="G85" s="171"/>
      <c r="H85" s="171"/>
      <c r="I85" s="171"/>
      <c r="J85" s="171"/>
      <c r="K85" s="171"/>
      <c r="L85" s="171"/>
      <c r="M85" s="171"/>
      <c r="N85" s="171"/>
      <c r="O85" s="171"/>
      <c r="P85" s="171"/>
      <c r="Q85" s="171"/>
      <c r="R85" s="177"/>
      <c r="S85" s="178"/>
      <c r="T85" s="145"/>
      <c r="U85" s="171"/>
      <c r="V85" s="171"/>
      <c r="W85" s="171"/>
      <c r="X85" s="171"/>
      <c r="Y85" s="171"/>
      <c r="Z85" s="171"/>
      <c r="AA85" s="171"/>
      <c r="AB85" s="171"/>
      <c r="AC85" s="171"/>
      <c r="AD85" s="171"/>
      <c r="AE85" s="171"/>
      <c r="AF85" s="171"/>
      <c r="AG85" s="171"/>
      <c r="AH85" s="171"/>
      <c r="AI85" s="171"/>
      <c r="AJ85" s="177"/>
    </row>
    <row r="86" spans="2:36" ht="20.149999999999999" customHeight="1">
      <c r="B86" s="145"/>
      <c r="C86" s="171"/>
      <c r="D86" s="171"/>
      <c r="E86" s="171"/>
      <c r="F86" s="171"/>
      <c r="G86" s="171"/>
      <c r="H86" s="171"/>
      <c r="I86" s="171"/>
      <c r="J86" s="171"/>
      <c r="K86" s="171"/>
      <c r="L86" s="171"/>
      <c r="M86" s="171"/>
      <c r="N86" s="171"/>
      <c r="O86" s="171"/>
      <c r="P86" s="171"/>
      <c r="Q86" s="171"/>
      <c r="R86" s="177"/>
      <c r="S86" s="178"/>
      <c r="T86" s="145"/>
      <c r="U86" s="171"/>
      <c r="V86" s="171"/>
      <c r="W86" s="171"/>
      <c r="X86" s="171"/>
      <c r="Y86" s="171"/>
      <c r="Z86" s="171"/>
      <c r="AA86" s="171"/>
      <c r="AB86" s="171"/>
      <c r="AC86" s="171"/>
      <c r="AD86" s="171"/>
      <c r="AE86" s="171"/>
      <c r="AF86" s="171"/>
      <c r="AG86" s="171"/>
      <c r="AH86" s="171"/>
      <c r="AI86" s="171"/>
      <c r="AJ86" s="177"/>
    </row>
    <row r="87" spans="2:36" s="130" customFormat="1" ht="20.149999999999999" customHeight="1">
      <c r="B87" s="145"/>
      <c r="C87" s="171"/>
      <c r="D87" s="171" t="s">
        <v>461</v>
      </c>
      <c r="E87" s="171"/>
      <c r="F87" s="171"/>
      <c r="G87" s="171"/>
      <c r="H87" s="171"/>
      <c r="I87" s="171"/>
      <c r="J87" s="171"/>
      <c r="K87" s="171"/>
      <c r="L87" s="171"/>
      <c r="M87" s="171"/>
      <c r="N87" s="171"/>
      <c r="O87" s="171"/>
      <c r="P87" s="171"/>
      <c r="Q87" s="171"/>
      <c r="R87" s="177"/>
      <c r="S87" s="178"/>
      <c r="T87" s="145"/>
      <c r="U87" s="171"/>
      <c r="V87" s="171"/>
      <c r="W87" s="171"/>
      <c r="X87" s="171"/>
      <c r="Y87" s="171"/>
      <c r="Z87" s="171"/>
      <c r="AA87" s="171"/>
      <c r="AB87" s="171"/>
      <c r="AC87" s="171"/>
      <c r="AD87" s="171"/>
      <c r="AE87" s="171"/>
      <c r="AF87" s="171"/>
      <c r="AG87" s="171"/>
      <c r="AH87" s="171"/>
      <c r="AI87" s="171"/>
      <c r="AJ87" s="177"/>
    </row>
    <row r="88" spans="2:36" s="130" customFormat="1" ht="20.149999999999999" customHeight="1">
      <c r="B88" s="145"/>
      <c r="C88" s="171"/>
      <c r="D88" s="171"/>
      <c r="E88" s="171"/>
      <c r="F88" s="171"/>
      <c r="G88" s="171"/>
      <c r="H88" s="171"/>
      <c r="I88" s="171"/>
      <c r="J88" s="171"/>
      <c r="K88" s="171"/>
      <c r="L88" s="171"/>
      <c r="M88" s="171"/>
      <c r="N88" s="171"/>
      <c r="O88" s="171"/>
      <c r="P88" s="171"/>
      <c r="Q88" s="171"/>
      <c r="R88" s="177"/>
      <c r="S88" s="178"/>
      <c r="T88" s="145"/>
      <c r="U88" s="171"/>
      <c r="V88" s="171"/>
      <c r="W88" s="171"/>
      <c r="X88" s="171"/>
      <c r="Y88" s="171"/>
      <c r="Z88" s="171"/>
      <c r="AA88" s="171"/>
      <c r="AB88" s="171"/>
      <c r="AC88" s="171"/>
      <c r="AD88" s="171"/>
      <c r="AE88" s="171"/>
      <c r="AF88" s="171"/>
      <c r="AG88" s="171"/>
      <c r="AH88" s="171"/>
      <c r="AI88" s="171"/>
      <c r="AJ88" s="177"/>
    </row>
    <row r="89" spans="2:36" s="130" customFormat="1" ht="20.149999999999999" customHeight="1">
      <c r="B89" s="145"/>
      <c r="C89" s="171"/>
      <c r="D89" s="171"/>
      <c r="E89" s="171"/>
      <c r="F89" s="171"/>
      <c r="G89" s="171"/>
      <c r="H89" s="171"/>
      <c r="I89" s="171"/>
      <c r="J89" s="171"/>
      <c r="K89" s="171"/>
      <c r="L89" s="171"/>
      <c r="M89" s="171"/>
      <c r="N89" s="171"/>
      <c r="O89" s="171"/>
      <c r="P89" s="171"/>
      <c r="Q89" s="171"/>
      <c r="R89" s="177"/>
      <c r="S89" s="178"/>
      <c r="T89" s="145"/>
      <c r="U89" s="171"/>
      <c r="V89" s="171"/>
      <c r="W89" s="171"/>
      <c r="X89" s="171"/>
      <c r="Y89" s="171"/>
      <c r="Z89" s="171"/>
      <c r="AA89" s="171"/>
      <c r="AB89" s="171"/>
      <c r="AC89" s="171"/>
      <c r="AD89" s="171"/>
      <c r="AE89" s="171"/>
      <c r="AF89" s="171"/>
      <c r="AG89" s="171"/>
      <c r="AH89" s="171"/>
      <c r="AI89" s="171"/>
      <c r="AJ89" s="177"/>
    </row>
    <row r="90" spans="2:36" s="130" customFormat="1" ht="20.149999999999999" customHeight="1">
      <c r="B90" s="145"/>
      <c r="C90" s="171"/>
      <c r="D90" s="171"/>
      <c r="E90" s="171"/>
      <c r="F90" s="171"/>
      <c r="G90" s="171"/>
      <c r="H90" s="171"/>
      <c r="I90" s="171"/>
      <c r="J90" s="171"/>
      <c r="K90" s="171"/>
      <c r="L90" s="171"/>
      <c r="M90" s="171"/>
      <c r="N90" s="171"/>
      <c r="O90" s="171"/>
      <c r="P90" s="171"/>
      <c r="Q90" s="171"/>
      <c r="R90" s="177"/>
      <c r="S90" s="178"/>
      <c r="T90" s="145"/>
      <c r="U90" s="171"/>
      <c r="V90" s="171"/>
      <c r="W90" s="171"/>
      <c r="X90" s="171"/>
      <c r="Y90" s="171"/>
      <c r="Z90" s="171"/>
      <c r="AA90" s="171"/>
      <c r="AB90" s="171"/>
      <c r="AC90" s="171"/>
      <c r="AD90" s="171"/>
      <c r="AE90" s="171"/>
      <c r="AF90" s="171"/>
      <c r="AG90" s="171"/>
      <c r="AH90" s="171"/>
      <c r="AI90" s="171"/>
      <c r="AJ90" s="177"/>
    </row>
    <row r="91" spans="2:36" ht="20.149999999999999" customHeight="1">
      <c r="B91" s="145"/>
      <c r="C91" s="171"/>
      <c r="D91" s="171"/>
      <c r="E91" s="171"/>
      <c r="F91" s="171"/>
      <c r="G91" s="171"/>
      <c r="H91" s="171"/>
      <c r="I91" s="171"/>
      <c r="J91" s="171"/>
      <c r="K91" s="171"/>
      <c r="L91" s="171"/>
      <c r="M91" s="171"/>
      <c r="N91" s="171"/>
      <c r="O91" s="171"/>
      <c r="P91" s="171"/>
      <c r="Q91" s="171"/>
      <c r="R91" s="177"/>
      <c r="S91" s="178"/>
      <c r="T91" s="145"/>
      <c r="U91" s="171"/>
      <c r="V91" s="171"/>
      <c r="W91" s="171"/>
      <c r="X91" s="171"/>
      <c r="Y91" s="171"/>
      <c r="Z91" s="171"/>
      <c r="AA91" s="171"/>
      <c r="AB91" s="171"/>
      <c r="AC91" s="171"/>
      <c r="AD91" s="171"/>
      <c r="AE91" s="171"/>
      <c r="AF91" s="171"/>
      <c r="AG91" s="171"/>
      <c r="AH91" s="171"/>
      <c r="AI91" s="171"/>
      <c r="AJ91" s="177"/>
    </row>
    <row r="92" spans="2:36" ht="20.149999999999999" customHeight="1">
      <c r="B92" s="145"/>
      <c r="C92" s="171"/>
      <c r="D92" s="171"/>
      <c r="E92" s="171"/>
      <c r="F92" s="171"/>
      <c r="G92" s="171"/>
      <c r="H92" s="171"/>
      <c r="I92" s="171"/>
      <c r="J92" s="171"/>
      <c r="K92" s="171"/>
      <c r="L92" s="171"/>
      <c r="M92" s="171"/>
      <c r="N92" s="171"/>
      <c r="O92" s="171"/>
      <c r="P92" s="171"/>
      <c r="Q92" s="171"/>
      <c r="R92" s="177"/>
      <c r="S92" s="178"/>
      <c r="T92" s="145"/>
      <c r="U92" s="171"/>
      <c r="V92" s="171"/>
      <c r="W92" s="171"/>
      <c r="X92" s="171"/>
      <c r="Y92" s="171"/>
      <c r="Z92" s="171"/>
      <c r="AA92" s="171"/>
      <c r="AB92" s="171"/>
      <c r="AC92" s="171"/>
      <c r="AD92" s="171"/>
      <c r="AE92" s="171"/>
      <c r="AF92" s="171"/>
      <c r="AG92" s="171"/>
      <c r="AH92" s="171"/>
      <c r="AI92" s="171"/>
      <c r="AJ92" s="177"/>
    </row>
    <row r="93" spans="2:36" ht="20.149999999999999" customHeight="1">
      <c r="B93" s="145"/>
      <c r="C93" s="171"/>
      <c r="D93" s="171"/>
      <c r="E93" s="171"/>
      <c r="F93" s="171"/>
      <c r="G93" s="171"/>
      <c r="H93" s="171"/>
      <c r="I93" s="171"/>
      <c r="J93" s="171"/>
      <c r="K93" s="171"/>
      <c r="L93" s="171"/>
      <c r="M93" s="171"/>
      <c r="N93" s="171"/>
      <c r="O93" s="171"/>
      <c r="P93" s="171"/>
      <c r="Q93" s="171"/>
      <c r="R93" s="177"/>
      <c r="S93" s="178"/>
      <c r="T93" s="145"/>
      <c r="U93" s="171"/>
      <c r="V93" s="171"/>
      <c r="W93" s="171"/>
      <c r="X93" s="171"/>
      <c r="Y93" s="171"/>
      <c r="Z93" s="171"/>
      <c r="AA93" s="171"/>
      <c r="AB93" s="171"/>
      <c r="AC93" s="171"/>
      <c r="AD93" s="171"/>
      <c r="AE93" s="171"/>
      <c r="AF93" s="171"/>
      <c r="AG93" s="171"/>
      <c r="AH93" s="171"/>
      <c r="AI93" s="171"/>
      <c r="AJ93" s="177"/>
    </row>
    <row r="94" spans="2:36" ht="20.149999999999999" customHeight="1">
      <c r="B94" s="145"/>
      <c r="C94" s="171"/>
      <c r="D94" s="171"/>
      <c r="E94" s="171"/>
      <c r="F94" s="171"/>
      <c r="G94" s="171"/>
      <c r="H94" s="171"/>
      <c r="I94" s="171"/>
      <c r="J94" s="171"/>
      <c r="K94" s="171"/>
      <c r="L94" s="171"/>
      <c r="M94" s="171"/>
      <c r="N94" s="171"/>
      <c r="O94" s="171"/>
      <c r="P94" s="171"/>
      <c r="Q94" s="171"/>
      <c r="R94" s="177"/>
      <c r="S94" s="178"/>
      <c r="T94" s="145"/>
      <c r="U94" s="171"/>
      <c r="V94" s="171"/>
      <c r="W94" s="171"/>
      <c r="X94" s="171"/>
      <c r="Y94" s="171"/>
      <c r="Z94" s="171"/>
      <c r="AA94" s="171"/>
      <c r="AB94" s="171"/>
      <c r="AC94" s="171"/>
      <c r="AD94" s="171"/>
      <c r="AE94" s="171"/>
      <c r="AF94" s="171"/>
      <c r="AG94" s="171"/>
      <c r="AH94" s="171"/>
      <c r="AI94" s="171"/>
      <c r="AJ94" s="177"/>
    </row>
    <row r="95" spans="2:36" ht="20.149999999999999" customHeight="1">
      <c r="B95" s="145"/>
      <c r="C95" s="171"/>
      <c r="D95" s="172"/>
      <c r="E95" s="172"/>
      <c r="F95" s="172"/>
      <c r="G95" s="172"/>
      <c r="H95" s="172"/>
      <c r="I95" s="172"/>
      <c r="J95" s="172"/>
      <c r="K95" s="172"/>
      <c r="L95" s="172"/>
      <c r="M95" s="172"/>
      <c r="N95" s="172"/>
      <c r="O95" s="172"/>
      <c r="P95" s="172"/>
      <c r="Q95" s="172"/>
      <c r="R95" s="177"/>
      <c r="S95" s="178"/>
      <c r="T95" s="145"/>
      <c r="U95" s="171"/>
      <c r="V95" s="172"/>
      <c r="W95" s="172"/>
      <c r="X95" s="172"/>
      <c r="Y95" s="172"/>
      <c r="Z95" s="172"/>
      <c r="AA95" s="172"/>
      <c r="AB95" s="172"/>
      <c r="AC95" s="172"/>
      <c r="AD95" s="172"/>
      <c r="AE95" s="172"/>
      <c r="AF95" s="172"/>
      <c r="AG95" s="172"/>
      <c r="AH95" s="172"/>
      <c r="AI95" s="172"/>
      <c r="AJ95" s="177"/>
    </row>
    <row r="96" spans="2:36" ht="20.149999999999999" customHeight="1">
      <c r="B96" s="145"/>
      <c r="C96" s="171"/>
      <c r="D96" s="171"/>
      <c r="E96" s="171"/>
      <c r="F96" s="171"/>
      <c r="G96" s="171"/>
      <c r="H96" s="171"/>
      <c r="I96" s="171"/>
      <c r="J96" s="171"/>
      <c r="K96" s="171"/>
      <c r="L96" s="171"/>
      <c r="M96" s="171"/>
      <c r="N96" s="171"/>
      <c r="O96" s="171"/>
      <c r="P96" s="171"/>
      <c r="Q96" s="171"/>
      <c r="R96" s="177"/>
      <c r="S96" s="178"/>
      <c r="T96" s="145"/>
      <c r="U96" s="171"/>
      <c r="V96" s="171"/>
      <c r="W96" s="171"/>
      <c r="X96" s="171"/>
      <c r="Y96" s="171"/>
      <c r="Z96" s="171"/>
      <c r="AA96" s="171"/>
      <c r="AB96" s="171"/>
      <c r="AC96" s="171"/>
      <c r="AD96" s="171"/>
      <c r="AE96" s="171"/>
      <c r="AF96" s="171"/>
      <c r="AG96" s="171"/>
      <c r="AH96" s="171"/>
      <c r="AI96" s="171"/>
      <c r="AJ96" s="177"/>
    </row>
    <row r="97" spans="2:36" ht="20.149999999999999" customHeight="1">
      <c r="B97" s="145"/>
      <c r="C97" s="171"/>
      <c r="D97" s="172"/>
      <c r="E97" s="172"/>
      <c r="F97" s="172"/>
      <c r="G97" s="172"/>
      <c r="H97" s="172"/>
      <c r="I97" s="172"/>
      <c r="J97" s="172"/>
      <c r="K97" s="172"/>
      <c r="L97" s="172"/>
      <c r="M97" s="172"/>
      <c r="N97" s="172"/>
      <c r="O97" s="172"/>
      <c r="P97" s="172"/>
      <c r="Q97" s="172"/>
      <c r="R97" s="177"/>
      <c r="S97" s="178"/>
      <c r="T97" s="145"/>
      <c r="U97" s="171"/>
      <c r="V97" s="172"/>
      <c r="W97" s="172"/>
      <c r="X97" s="172"/>
      <c r="Y97" s="172"/>
      <c r="Z97" s="172"/>
      <c r="AA97" s="172"/>
      <c r="AB97" s="172"/>
      <c r="AC97" s="172"/>
      <c r="AD97" s="172"/>
      <c r="AE97" s="172"/>
      <c r="AF97" s="172"/>
      <c r="AG97" s="172"/>
      <c r="AH97" s="172"/>
      <c r="AI97" s="172"/>
      <c r="AJ97" s="177"/>
    </row>
    <row r="98" spans="2:36" ht="20.149999999999999" customHeight="1">
      <c r="B98" s="145"/>
      <c r="C98" s="171"/>
      <c r="D98" s="171"/>
      <c r="E98" s="171"/>
      <c r="F98" s="171"/>
      <c r="G98" s="171"/>
      <c r="H98" s="171"/>
      <c r="I98" s="171"/>
      <c r="J98" s="171"/>
      <c r="K98" s="171"/>
      <c r="L98" s="171"/>
      <c r="M98" s="171"/>
      <c r="N98" s="171"/>
      <c r="O98" s="171"/>
      <c r="P98" s="171"/>
      <c r="Q98" s="171"/>
      <c r="R98" s="177"/>
      <c r="S98" s="178"/>
      <c r="T98" s="145"/>
      <c r="U98" s="171"/>
      <c r="V98" s="171"/>
      <c r="W98" s="171"/>
      <c r="X98" s="171"/>
      <c r="Y98" s="171"/>
      <c r="Z98" s="171"/>
      <c r="AA98" s="171"/>
      <c r="AB98" s="171"/>
      <c r="AC98" s="171"/>
      <c r="AD98" s="171"/>
      <c r="AE98" s="171"/>
      <c r="AF98" s="171"/>
      <c r="AG98" s="171"/>
      <c r="AH98" s="171"/>
      <c r="AI98" s="171"/>
      <c r="AJ98" s="177"/>
    </row>
    <row r="99" spans="2:36" ht="20.149999999999999" customHeight="1">
      <c r="B99" s="145"/>
      <c r="C99" s="171"/>
      <c r="D99" s="171"/>
      <c r="E99" s="171"/>
      <c r="F99" s="171"/>
      <c r="G99" s="171"/>
      <c r="H99" s="171"/>
      <c r="I99" s="171"/>
      <c r="J99" s="171"/>
      <c r="K99" s="171"/>
      <c r="L99" s="171"/>
      <c r="M99" s="171"/>
      <c r="N99" s="171"/>
      <c r="O99" s="171"/>
      <c r="P99" s="171"/>
      <c r="Q99" s="171"/>
      <c r="R99" s="177"/>
      <c r="S99" s="178"/>
      <c r="T99" s="145"/>
      <c r="U99" s="171"/>
      <c r="V99" s="171"/>
      <c r="W99" s="171"/>
      <c r="X99" s="171"/>
      <c r="Y99" s="171"/>
      <c r="Z99" s="171"/>
      <c r="AA99" s="171"/>
      <c r="AB99" s="171"/>
      <c r="AC99" s="171"/>
      <c r="AD99" s="171"/>
      <c r="AE99" s="171"/>
      <c r="AF99" s="171"/>
      <c r="AG99" s="171"/>
      <c r="AH99" s="171"/>
      <c r="AI99" s="171"/>
      <c r="AJ99" s="177"/>
    </row>
    <row r="100" spans="2:36" ht="20.149999999999999" customHeight="1">
      <c r="B100" s="145"/>
      <c r="C100" s="171"/>
      <c r="D100" s="171"/>
      <c r="E100" s="171"/>
      <c r="F100" s="171"/>
      <c r="G100" s="171"/>
      <c r="H100" s="171"/>
      <c r="I100" s="171"/>
      <c r="J100" s="171"/>
      <c r="K100" s="171"/>
      <c r="L100" s="171"/>
      <c r="M100" s="171"/>
      <c r="N100" s="171"/>
      <c r="O100" s="171"/>
      <c r="P100" s="171"/>
      <c r="Q100" s="171"/>
      <c r="R100" s="177"/>
      <c r="S100" s="178"/>
      <c r="T100" s="145"/>
      <c r="U100" s="171"/>
      <c r="V100" s="171"/>
      <c r="W100" s="171"/>
      <c r="X100" s="171"/>
      <c r="Y100" s="171"/>
      <c r="Z100" s="171"/>
      <c r="AA100" s="171"/>
      <c r="AB100" s="171"/>
      <c r="AC100" s="171"/>
      <c r="AD100" s="171"/>
      <c r="AE100" s="171"/>
      <c r="AF100" s="171"/>
      <c r="AG100" s="171"/>
      <c r="AH100" s="171"/>
      <c r="AI100" s="171"/>
      <c r="AJ100" s="177"/>
    </row>
    <row r="101" spans="2:36" ht="20.149999999999999" customHeight="1">
      <c r="B101" s="145"/>
      <c r="C101" s="171"/>
      <c r="D101" s="171"/>
      <c r="E101" s="171"/>
      <c r="F101" s="171"/>
      <c r="G101" s="171"/>
      <c r="H101" s="171"/>
      <c r="I101" s="171"/>
      <c r="J101" s="171"/>
      <c r="K101" s="171"/>
      <c r="L101" s="171"/>
      <c r="M101" s="171"/>
      <c r="N101" s="171"/>
      <c r="O101" s="171"/>
      <c r="P101" s="171"/>
      <c r="Q101" s="171"/>
      <c r="R101" s="177"/>
      <c r="S101" s="178"/>
      <c r="T101" s="145"/>
      <c r="U101" s="171"/>
      <c r="V101" s="171"/>
      <c r="W101" s="171"/>
      <c r="X101" s="171"/>
      <c r="Y101" s="171"/>
      <c r="Z101" s="171"/>
      <c r="AA101" s="171"/>
      <c r="AB101" s="171"/>
      <c r="AC101" s="171"/>
      <c r="AD101" s="171"/>
      <c r="AE101" s="171"/>
      <c r="AF101" s="171"/>
      <c r="AG101" s="171"/>
      <c r="AH101" s="171"/>
      <c r="AI101" s="171"/>
      <c r="AJ101" s="177"/>
    </row>
    <row r="102" spans="2:36" ht="20.149999999999999" customHeight="1">
      <c r="B102" s="145"/>
      <c r="C102" s="171"/>
      <c r="D102" s="171"/>
      <c r="E102" s="171"/>
      <c r="F102" s="171"/>
      <c r="G102" s="171"/>
      <c r="H102" s="171"/>
      <c r="I102" s="171"/>
      <c r="J102" s="171"/>
      <c r="K102" s="171"/>
      <c r="L102" s="171"/>
      <c r="M102" s="171"/>
      <c r="N102" s="171"/>
      <c r="O102" s="171"/>
      <c r="P102" s="171"/>
      <c r="Q102" s="171"/>
      <c r="R102" s="177"/>
      <c r="S102" s="178"/>
      <c r="T102" s="145"/>
      <c r="U102" s="171"/>
      <c r="V102" s="171"/>
      <c r="W102" s="171"/>
      <c r="X102" s="171"/>
      <c r="Y102" s="171"/>
      <c r="Z102" s="171"/>
      <c r="AA102" s="171"/>
      <c r="AB102" s="171"/>
      <c r="AC102" s="171"/>
      <c r="AD102" s="171"/>
      <c r="AE102" s="171"/>
      <c r="AF102" s="171"/>
      <c r="AG102" s="171"/>
      <c r="AH102" s="171"/>
      <c r="AI102" s="171"/>
      <c r="AJ102" s="177"/>
    </row>
    <row r="103" spans="2:36" ht="20.149999999999999" customHeight="1">
      <c r="B103" s="145"/>
      <c r="C103" s="171"/>
      <c r="D103" s="171"/>
      <c r="E103" s="171"/>
      <c r="F103" s="171"/>
      <c r="G103" s="171"/>
      <c r="H103" s="171"/>
      <c r="I103" s="171"/>
      <c r="J103" s="171"/>
      <c r="K103" s="171"/>
      <c r="L103" s="171"/>
      <c r="M103" s="171"/>
      <c r="N103" s="171"/>
      <c r="O103" s="171"/>
      <c r="P103" s="171"/>
      <c r="Q103" s="171"/>
      <c r="R103" s="177"/>
      <c r="S103" s="178"/>
      <c r="T103" s="145"/>
      <c r="U103" s="171"/>
      <c r="V103" s="171"/>
      <c r="W103" s="171"/>
      <c r="X103" s="171"/>
      <c r="Y103" s="171"/>
      <c r="Z103" s="171"/>
      <c r="AA103" s="171"/>
      <c r="AB103" s="171"/>
      <c r="AC103" s="171"/>
      <c r="AD103" s="171"/>
      <c r="AE103" s="171"/>
      <c r="AF103" s="171"/>
      <c r="AG103" s="171"/>
      <c r="AH103" s="171"/>
      <c r="AI103" s="171"/>
      <c r="AJ103" s="177"/>
    </row>
    <row r="104" spans="2:36" ht="20.149999999999999" customHeight="1">
      <c r="B104" s="145"/>
      <c r="C104" s="171"/>
      <c r="D104" s="171"/>
      <c r="E104" s="171"/>
      <c r="F104" s="171"/>
      <c r="G104" s="171"/>
      <c r="H104" s="171"/>
      <c r="I104" s="171"/>
      <c r="J104" s="171"/>
      <c r="K104" s="171"/>
      <c r="L104" s="171"/>
      <c r="M104" s="171"/>
      <c r="N104" s="171"/>
      <c r="O104" s="171"/>
      <c r="P104" s="171"/>
      <c r="Q104" s="171"/>
      <c r="R104" s="177"/>
      <c r="S104" s="178"/>
      <c r="T104" s="145"/>
      <c r="U104" s="171"/>
      <c r="V104" s="171"/>
      <c r="W104" s="171"/>
      <c r="X104" s="171"/>
      <c r="Y104" s="171"/>
      <c r="Z104" s="171"/>
      <c r="AA104" s="171"/>
      <c r="AB104" s="171"/>
      <c r="AC104" s="171"/>
      <c r="AD104" s="171"/>
      <c r="AE104" s="171"/>
      <c r="AF104" s="171"/>
      <c r="AG104" s="171"/>
      <c r="AH104" s="171"/>
      <c r="AI104" s="171"/>
      <c r="AJ104" s="177"/>
    </row>
    <row r="105" spans="2:36" ht="20.149999999999999" customHeight="1">
      <c r="B105" s="145"/>
      <c r="C105" s="171"/>
      <c r="D105" s="171"/>
      <c r="E105" s="171"/>
      <c r="F105" s="171"/>
      <c r="G105" s="171"/>
      <c r="H105" s="171"/>
      <c r="I105" s="171"/>
      <c r="J105" s="171"/>
      <c r="K105" s="171"/>
      <c r="L105" s="171"/>
      <c r="M105" s="171"/>
      <c r="N105" s="171"/>
      <c r="O105" s="171"/>
      <c r="P105" s="171"/>
      <c r="Q105" s="171"/>
      <c r="R105" s="177"/>
      <c r="S105" s="178"/>
      <c r="T105" s="145"/>
      <c r="U105" s="171"/>
      <c r="V105" s="171"/>
      <c r="W105" s="171"/>
      <c r="X105" s="171"/>
      <c r="Y105" s="171"/>
      <c r="Z105" s="171"/>
      <c r="AA105" s="171"/>
      <c r="AB105" s="171"/>
      <c r="AC105" s="171"/>
      <c r="AD105" s="171"/>
      <c r="AE105" s="171"/>
      <c r="AF105" s="171"/>
      <c r="AG105" s="171"/>
      <c r="AH105" s="171"/>
      <c r="AI105" s="171"/>
      <c r="AJ105" s="177"/>
    </row>
    <row r="106" spans="2:36" ht="20.149999999999999" customHeight="1">
      <c r="B106" s="145"/>
      <c r="C106" s="171"/>
      <c r="D106" s="171"/>
      <c r="E106" s="171"/>
      <c r="F106" s="171"/>
      <c r="G106" s="171"/>
      <c r="H106" s="171"/>
      <c r="I106" s="171"/>
      <c r="J106" s="171"/>
      <c r="K106" s="171"/>
      <c r="L106" s="171"/>
      <c r="M106" s="171"/>
      <c r="N106" s="171"/>
      <c r="O106" s="171"/>
      <c r="P106" s="171"/>
      <c r="Q106" s="171"/>
      <c r="R106" s="177"/>
      <c r="S106" s="178"/>
      <c r="T106" s="145"/>
      <c r="U106" s="171"/>
      <c r="V106" s="171"/>
      <c r="W106" s="171"/>
      <c r="X106" s="171"/>
      <c r="Y106" s="171"/>
      <c r="Z106" s="171"/>
      <c r="AA106" s="171"/>
      <c r="AB106" s="171"/>
      <c r="AC106" s="171"/>
      <c r="AD106" s="171"/>
      <c r="AE106" s="171"/>
      <c r="AF106" s="171"/>
      <c r="AG106" s="171"/>
      <c r="AH106" s="171"/>
      <c r="AI106" s="171"/>
      <c r="AJ106" s="177"/>
    </row>
    <row r="107" spans="2:36" ht="20.149999999999999" customHeight="1">
      <c r="B107" s="145"/>
      <c r="C107" s="171"/>
      <c r="D107" s="171"/>
      <c r="E107" s="171"/>
      <c r="F107" s="171"/>
      <c r="G107" s="171"/>
      <c r="H107" s="171"/>
      <c r="I107" s="171"/>
      <c r="J107" s="171"/>
      <c r="K107" s="171"/>
      <c r="L107" s="171"/>
      <c r="M107" s="171"/>
      <c r="N107" s="171"/>
      <c r="O107" s="171"/>
      <c r="P107" s="171"/>
      <c r="Q107" s="171"/>
      <c r="R107" s="177"/>
      <c r="S107" s="178"/>
      <c r="T107" s="145"/>
      <c r="U107" s="171"/>
      <c r="V107" s="171"/>
      <c r="W107" s="171"/>
      <c r="X107" s="171"/>
      <c r="Y107" s="171"/>
      <c r="Z107" s="171"/>
      <c r="AA107" s="171"/>
      <c r="AB107" s="171"/>
      <c r="AC107" s="171"/>
      <c r="AD107" s="171"/>
      <c r="AE107" s="171"/>
      <c r="AF107" s="171"/>
      <c r="AG107" s="171"/>
      <c r="AH107" s="171"/>
      <c r="AI107" s="171"/>
      <c r="AJ107" s="177"/>
    </row>
    <row r="108" spans="2:36" ht="20.149999999999999" customHeight="1">
      <c r="B108" s="145"/>
      <c r="C108" s="171"/>
      <c r="D108" s="171"/>
      <c r="E108" s="171"/>
      <c r="F108" s="171"/>
      <c r="G108" s="171"/>
      <c r="H108" s="171"/>
      <c r="I108" s="171"/>
      <c r="J108" s="171"/>
      <c r="K108" s="171"/>
      <c r="L108" s="171"/>
      <c r="M108" s="171"/>
      <c r="N108" s="171"/>
      <c r="O108" s="171"/>
      <c r="P108" s="171"/>
      <c r="Q108" s="171"/>
      <c r="R108" s="177"/>
      <c r="S108" s="178"/>
      <c r="T108" s="145"/>
      <c r="U108" s="171"/>
      <c r="V108" s="171"/>
      <c r="W108" s="171"/>
      <c r="X108" s="171"/>
      <c r="Y108" s="171"/>
      <c r="Z108" s="171"/>
      <c r="AA108" s="171"/>
      <c r="AB108" s="171"/>
      <c r="AC108" s="171"/>
      <c r="AD108" s="171"/>
      <c r="AE108" s="171"/>
      <c r="AF108" s="171"/>
      <c r="AG108" s="171"/>
      <c r="AH108" s="171"/>
      <c r="AI108" s="171"/>
      <c r="AJ108" s="177"/>
    </row>
    <row r="109" spans="2:36" ht="20.149999999999999" customHeight="1">
      <c r="B109" s="145"/>
      <c r="C109" s="171"/>
      <c r="D109" s="171"/>
      <c r="E109" s="171"/>
      <c r="F109" s="171"/>
      <c r="G109" s="171"/>
      <c r="H109" s="171"/>
      <c r="I109" s="171"/>
      <c r="J109" s="171"/>
      <c r="K109" s="171"/>
      <c r="L109" s="171"/>
      <c r="M109" s="171"/>
      <c r="N109" s="171"/>
      <c r="O109" s="171"/>
      <c r="P109" s="171"/>
      <c r="Q109" s="171"/>
      <c r="R109" s="177"/>
      <c r="S109" s="178"/>
      <c r="T109" s="145"/>
      <c r="U109" s="171"/>
      <c r="V109" s="171"/>
      <c r="W109" s="171"/>
      <c r="X109" s="171"/>
      <c r="Y109" s="171"/>
      <c r="Z109" s="171"/>
      <c r="AA109" s="171"/>
      <c r="AB109" s="171"/>
      <c r="AC109" s="171"/>
      <c r="AD109" s="171"/>
      <c r="AE109" s="171"/>
      <c r="AF109" s="171"/>
      <c r="AG109" s="171"/>
      <c r="AH109" s="171"/>
      <c r="AI109" s="171"/>
      <c r="AJ109" s="177"/>
    </row>
    <row r="110" spans="2:36" ht="20.149999999999999" customHeight="1">
      <c r="B110" s="146"/>
      <c r="C110" s="171"/>
      <c r="D110" s="172"/>
      <c r="E110" s="172"/>
      <c r="F110" s="172"/>
      <c r="G110" s="172"/>
      <c r="H110" s="172"/>
      <c r="I110" s="172"/>
      <c r="J110" s="172"/>
      <c r="K110" s="172"/>
      <c r="L110" s="172"/>
      <c r="M110" s="172"/>
      <c r="N110" s="172"/>
      <c r="O110" s="172"/>
      <c r="P110" s="172"/>
      <c r="Q110" s="172"/>
      <c r="R110" s="159"/>
      <c r="T110" s="146"/>
      <c r="U110" s="171"/>
      <c r="V110" s="172"/>
      <c r="W110" s="172"/>
      <c r="X110" s="172"/>
      <c r="Y110" s="172"/>
      <c r="Z110" s="172"/>
      <c r="AA110" s="172"/>
      <c r="AB110" s="172"/>
      <c r="AC110" s="172"/>
      <c r="AD110" s="172"/>
      <c r="AE110" s="172"/>
      <c r="AF110" s="172"/>
      <c r="AG110" s="172"/>
      <c r="AH110" s="172"/>
      <c r="AI110" s="172"/>
      <c r="AJ110" s="159"/>
    </row>
    <row r="111" spans="2:36" ht="20.149999999999999" customHeight="1">
      <c r="B111" s="146"/>
      <c r="C111" s="171"/>
      <c r="D111" s="171"/>
      <c r="E111" s="171"/>
      <c r="F111" s="171"/>
      <c r="G111" s="171"/>
      <c r="H111" s="171"/>
      <c r="I111" s="171"/>
      <c r="J111" s="171"/>
      <c r="K111" s="171"/>
      <c r="L111" s="171"/>
      <c r="M111" s="171"/>
      <c r="N111" s="171"/>
      <c r="O111" s="171"/>
      <c r="P111" s="171"/>
      <c r="Q111" s="171"/>
      <c r="R111" s="179"/>
      <c r="T111" s="146"/>
      <c r="U111" s="171"/>
      <c r="V111" s="171"/>
      <c r="W111" s="171"/>
      <c r="X111" s="171"/>
      <c r="Y111" s="171"/>
      <c r="Z111" s="171"/>
      <c r="AA111" s="171"/>
      <c r="AB111" s="171"/>
      <c r="AC111" s="171"/>
      <c r="AD111" s="171"/>
      <c r="AE111" s="171"/>
      <c r="AF111" s="171"/>
      <c r="AG111" s="171"/>
      <c r="AH111" s="171"/>
      <c r="AI111" s="171"/>
      <c r="AJ111" s="179"/>
    </row>
    <row r="112" spans="2:36" ht="20.149999999999999" customHeight="1">
      <c r="B112" s="146"/>
      <c r="C112" s="171"/>
      <c r="D112" s="171"/>
      <c r="E112" s="171"/>
      <c r="F112" s="171"/>
      <c r="G112" s="171"/>
      <c r="H112" s="171"/>
      <c r="I112" s="171"/>
      <c r="J112" s="171"/>
      <c r="K112" s="171"/>
      <c r="L112" s="171"/>
      <c r="M112" s="171"/>
      <c r="N112" s="171"/>
      <c r="O112" s="171"/>
      <c r="P112" s="171"/>
      <c r="Q112" s="171"/>
      <c r="R112" s="159"/>
      <c r="T112" s="146"/>
      <c r="U112" s="171"/>
      <c r="V112" s="171"/>
      <c r="W112" s="171"/>
      <c r="X112" s="171"/>
      <c r="Y112" s="171"/>
      <c r="Z112" s="171"/>
      <c r="AA112" s="171"/>
      <c r="AB112" s="171"/>
      <c r="AC112" s="171"/>
      <c r="AD112" s="171"/>
      <c r="AE112" s="171"/>
      <c r="AF112" s="171"/>
      <c r="AG112" s="171"/>
      <c r="AH112" s="171"/>
      <c r="AI112" s="171"/>
      <c r="AJ112" s="159"/>
    </row>
    <row r="113" spans="2:36" ht="20.149999999999999" customHeight="1">
      <c r="B113" s="146"/>
      <c r="C113" s="171"/>
      <c r="D113" s="171"/>
      <c r="E113" s="171"/>
      <c r="F113" s="171"/>
      <c r="G113" s="171"/>
      <c r="H113" s="171"/>
      <c r="I113" s="171"/>
      <c r="J113" s="171"/>
      <c r="K113" s="171"/>
      <c r="L113" s="171"/>
      <c r="M113" s="171"/>
      <c r="N113" s="171"/>
      <c r="O113" s="171"/>
      <c r="P113" s="171"/>
      <c r="Q113" s="171"/>
      <c r="R113" s="159"/>
      <c r="T113" s="146"/>
      <c r="U113" s="171"/>
      <c r="V113" s="171"/>
      <c r="W113" s="171"/>
      <c r="X113" s="171"/>
      <c r="Y113" s="171"/>
      <c r="Z113" s="171"/>
      <c r="AA113" s="171"/>
      <c r="AB113" s="171"/>
      <c r="AC113" s="171"/>
      <c r="AD113" s="171"/>
      <c r="AE113" s="171"/>
      <c r="AF113" s="171"/>
      <c r="AG113" s="171"/>
      <c r="AH113" s="171"/>
      <c r="AI113" s="171"/>
      <c r="AJ113" s="159"/>
    </row>
    <row r="114" spans="2:36" ht="20.149999999999999" customHeight="1">
      <c r="B114" s="146"/>
      <c r="C114" s="171"/>
      <c r="D114" s="171"/>
      <c r="E114" s="171"/>
      <c r="F114" s="171"/>
      <c r="G114" s="171"/>
      <c r="H114" s="171"/>
      <c r="I114" s="171"/>
      <c r="J114" s="171"/>
      <c r="K114" s="171"/>
      <c r="L114" s="171"/>
      <c r="M114" s="171"/>
      <c r="N114" s="171"/>
      <c r="O114" s="171"/>
      <c r="P114" s="171"/>
      <c r="Q114" s="171"/>
      <c r="R114" s="159"/>
      <c r="T114" s="146"/>
      <c r="U114" s="171"/>
      <c r="V114" s="171"/>
      <c r="W114" s="171"/>
      <c r="X114" s="171"/>
      <c r="Y114" s="171"/>
      <c r="Z114" s="171"/>
      <c r="AA114" s="171"/>
      <c r="AB114" s="171"/>
      <c r="AC114" s="171"/>
      <c r="AD114" s="171"/>
      <c r="AE114" s="171"/>
      <c r="AF114" s="171"/>
      <c r="AG114" s="171"/>
      <c r="AH114" s="171"/>
      <c r="AI114" s="171"/>
      <c r="AJ114" s="159"/>
    </row>
    <row r="115" spans="2:36" ht="20.149999999999999" customHeight="1">
      <c r="B115" s="146"/>
      <c r="C115" s="171"/>
      <c r="D115" s="171"/>
      <c r="E115" s="171"/>
      <c r="F115" s="171"/>
      <c r="G115" s="171"/>
      <c r="H115" s="171"/>
      <c r="I115" s="171"/>
      <c r="J115" s="171"/>
      <c r="K115" s="171"/>
      <c r="L115" s="171"/>
      <c r="M115" s="171"/>
      <c r="N115" s="171"/>
      <c r="O115" s="171"/>
      <c r="P115" s="171"/>
      <c r="Q115" s="171"/>
      <c r="R115" s="159"/>
      <c r="T115" s="146"/>
      <c r="U115" s="171"/>
      <c r="V115" s="171"/>
      <c r="W115" s="171"/>
      <c r="X115" s="171"/>
      <c r="Y115" s="171"/>
      <c r="Z115" s="171"/>
      <c r="AA115" s="171"/>
      <c r="AB115" s="171"/>
      <c r="AC115" s="171"/>
      <c r="AD115" s="171"/>
      <c r="AE115" s="171"/>
      <c r="AF115" s="171"/>
      <c r="AG115" s="171"/>
      <c r="AH115" s="171"/>
      <c r="AI115" s="171"/>
      <c r="AJ115" s="159"/>
    </row>
    <row r="116" spans="2:36" ht="20.149999999999999" customHeight="1">
      <c r="B116" s="146"/>
      <c r="C116" s="171"/>
      <c r="D116" s="171"/>
      <c r="E116" s="171"/>
      <c r="F116" s="171"/>
      <c r="G116" s="171"/>
      <c r="H116" s="171"/>
      <c r="I116" s="171"/>
      <c r="J116" s="171"/>
      <c r="K116" s="171"/>
      <c r="L116" s="171"/>
      <c r="M116" s="171"/>
      <c r="N116" s="171"/>
      <c r="O116" s="171"/>
      <c r="P116" s="171"/>
      <c r="Q116" s="171"/>
      <c r="R116" s="159"/>
      <c r="T116" s="146"/>
      <c r="U116" s="171"/>
      <c r="V116" s="171"/>
      <c r="W116" s="171"/>
      <c r="X116" s="171"/>
      <c r="Y116" s="171"/>
      <c r="Z116" s="171"/>
      <c r="AA116" s="171"/>
      <c r="AB116" s="171"/>
      <c r="AC116" s="171"/>
      <c r="AD116" s="171"/>
      <c r="AE116" s="171"/>
      <c r="AF116" s="171"/>
      <c r="AG116" s="171"/>
      <c r="AH116" s="171"/>
      <c r="AI116" s="171"/>
      <c r="AJ116" s="159"/>
    </row>
    <row r="117" spans="2:36" ht="20.149999999999999" customHeight="1">
      <c r="B117" s="146"/>
      <c r="C117" s="171"/>
      <c r="D117" s="171"/>
      <c r="E117" s="171"/>
      <c r="F117" s="171"/>
      <c r="G117" s="171"/>
      <c r="H117" s="171"/>
      <c r="I117" s="171"/>
      <c r="J117" s="171"/>
      <c r="K117" s="171"/>
      <c r="L117" s="171"/>
      <c r="M117" s="171"/>
      <c r="N117" s="171"/>
      <c r="O117" s="171"/>
      <c r="P117" s="171"/>
      <c r="Q117" s="171"/>
      <c r="R117" s="159"/>
      <c r="T117" s="146"/>
      <c r="U117" s="171"/>
      <c r="V117" s="171"/>
      <c r="W117" s="171"/>
      <c r="X117" s="171"/>
      <c r="Y117" s="171"/>
      <c r="Z117" s="171"/>
      <c r="AA117" s="171"/>
      <c r="AB117" s="171"/>
      <c r="AC117" s="171"/>
      <c r="AD117" s="171"/>
      <c r="AE117" s="171"/>
      <c r="AF117" s="171"/>
      <c r="AG117" s="171"/>
      <c r="AH117" s="171"/>
      <c r="AI117" s="171"/>
      <c r="AJ117" s="159"/>
    </row>
    <row r="118" spans="2:36" ht="20.149999999999999" customHeight="1">
      <c r="B118" s="146"/>
      <c r="C118" s="171"/>
      <c r="D118" s="171"/>
      <c r="E118" s="171"/>
      <c r="F118" s="171"/>
      <c r="G118" s="171"/>
      <c r="H118" s="171"/>
      <c r="I118" s="171"/>
      <c r="J118" s="171"/>
      <c r="K118" s="171"/>
      <c r="L118" s="171"/>
      <c r="M118" s="171"/>
      <c r="N118" s="171"/>
      <c r="O118" s="171"/>
      <c r="P118" s="171"/>
      <c r="Q118" s="171"/>
      <c r="R118" s="159"/>
      <c r="T118" s="146"/>
      <c r="U118" s="171"/>
      <c r="V118" s="171"/>
      <c r="W118" s="171"/>
      <c r="X118" s="171"/>
      <c r="Y118" s="171"/>
      <c r="Z118" s="171"/>
      <c r="AA118" s="171"/>
      <c r="AB118" s="171"/>
      <c r="AC118" s="171"/>
      <c r="AD118" s="171"/>
      <c r="AE118" s="171"/>
      <c r="AF118" s="171"/>
      <c r="AG118" s="171"/>
      <c r="AH118" s="171"/>
      <c r="AI118" s="171"/>
      <c r="AJ118" s="159"/>
    </row>
    <row r="119" spans="2:36" ht="20.149999999999999" customHeight="1">
      <c r="B119" s="173"/>
      <c r="C119" s="171"/>
      <c r="D119" s="171"/>
      <c r="E119" s="171"/>
      <c r="F119" s="171"/>
      <c r="G119" s="171"/>
      <c r="H119" s="171"/>
      <c r="I119" s="171"/>
      <c r="J119" s="171"/>
      <c r="K119" s="171"/>
      <c r="L119" s="171"/>
      <c r="M119" s="171"/>
      <c r="N119" s="171"/>
      <c r="O119" s="171"/>
      <c r="P119" s="171"/>
      <c r="Q119" s="171"/>
      <c r="R119" s="179"/>
      <c r="S119" s="180"/>
      <c r="T119" s="173"/>
      <c r="U119" s="171"/>
      <c r="V119" s="171"/>
      <c r="W119" s="171"/>
      <c r="X119" s="171"/>
      <c r="Y119" s="171"/>
      <c r="Z119" s="171"/>
      <c r="AA119" s="171"/>
      <c r="AB119" s="171"/>
      <c r="AC119" s="171"/>
      <c r="AD119" s="171"/>
      <c r="AE119" s="171"/>
      <c r="AF119" s="171"/>
      <c r="AG119" s="171"/>
      <c r="AH119" s="171"/>
      <c r="AI119" s="171"/>
      <c r="AJ119" s="179"/>
    </row>
    <row r="120" spans="2:36" ht="20.149999999999999" customHeight="1">
      <c r="B120" s="174"/>
      <c r="C120" s="171"/>
      <c r="D120" s="175"/>
      <c r="E120" s="175"/>
      <c r="F120" s="175"/>
      <c r="G120" s="175"/>
      <c r="H120" s="175"/>
      <c r="I120" s="171"/>
      <c r="J120" s="171"/>
      <c r="K120" s="171"/>
      <c r="L120" s="171"/>
      <c r="M120" s="171"/>
      <c r="N120" s="171"/>
      <c r="O120" s="171"/>
      <c r="P120" s="171"/>
      <c r="Q120" s="171"/>
      <c r="R120" s="181"/>
      <c r="S120" s="136"/>
      <c r="T120" s="174"/>
      <c r="U120" s="171"/>
      <c r="V120" s="175"/>
      <c r="W120" s="175"/>
      <c r="X120" s="175"/>
      <c r="Y120" s="175"/>
      <c r="Z120" s="175"/>
      <c r="AA120" s="171"/>
      <c r="AB120" s="171"/>
      <c r="AC120" s="171"/>
      <c r="AD120" s="171"/>
      <c r="AE120" s="171"/>
      <c r="AF120" s="171"/>
      <c r="AG120" s="171"/>
      <c r="AH120" s="171"/>
      <c r="AI120" s="171"/>
      <c r="AJ120" s="181"/>
    </row>
    <row r="121" spans="2:36" ht="20.149999999999999" customHeight="1">
      <c r="B121" s="146"/>
      <c r="C121" s="171"/>
      <c r="D121" s="175"/>
      <c r="E121" s="175"/>
      <c r="F121" s="175"/>
      <c r="G121" s="175"/>
      <c r="H121" s="175"/>
      <c r="I121" s="171"/>
      <c r="J121" s="171"/>
      <c r="K121" s="171"/>
      <c r="L121" s="171"/>
      <c r="M121" s="171"/>
      <c r="N121" s="171"/>
      <c r="O121" s="171"/>
      <c r="P121" s="171"/>
      <c r="Q121" s="171"/>
      <c r="R121" s="159"/>
      <c r="T121" s="146"/>
      <c r="U121" s="171"/>
      <c r="V121" s="175"/>
      <c r="W121" s="175"/>
      <c r="X121" s="175"/>
      <c r="Y121" s="175"/>
      <c r="Z121" s="175"/>
      <c r="AA121" s="171"/>
      <c r="AB121" s="171"/>
      <c r="AC121" s="171"/>
      <c r="AD121" s="171"/>
      <c r="AE121" s="171"/>
      <c r="AF121" s="171"/>
      <c r="AG121" s="171"/>
      <c r="AH121" s="171"/>
      <c r="AI121" s="171"/>
      <c r="AJ121" s="159"/>
    </row>
    <row r="122" spans="2:36" ht="20.149999999999999" customHeight="1">
      <c r="B122" s="146"/>
      <c r="C122" s="171"/>
      <c r="D122" s="176"/>
      <c r="E122" s="176"/>
      <c r="F122" s="176"/>
      <c r="G122" s="176"/>
      <c r="H122" s="176"/>
      <c r="I122" s="171"/>
      <c r="J122" s="171"/>
      <c r="K122" s="171"/>
      <c r="L122" s="171"/>
      <c r="M122" s="171"/>
      <c r="N122" s="171"/>
      <c r="O122" s="171"/>
      <c r="P122" s="171"/>
      <c r="Q122" s="171"/>
      <c r="R122" s="159"/>
      <c r="T122" s="146"/>
      <c r="U122" s="171"/>
      <c r="V122" s="176"/>
      <c r="W122" s="176"/>
      <c r="X122" s="176"/>
      <c r="Y122" s="176"/>
      <c r="Z122" s="176"/>
      <c r="AA122" s="171"/>
      <c r="AB122" s="171"/>
      <c r="AC122" s="171"/>
      <c r="AD122" s="171"/>
      <c r="AE122" s="171"/>
      <c r="AF122" s="171"/>
      <c r="AG122" s="171"/>
      <c r="AH122" s="171"/>
      <c r="AI122" s="171"/>
      <c r="AJ122" s="159"/>
    </row>
    <row r="123" spans="2:36" ht="20.149999999999999" customHeight="1">
      <c r="B123" s="146"/>
      <c r="C123" s="171"/>
      <c r="D123" s="176"/>
      <c r="E123" s="176"/>
      <c r="F123" s="176"/>
      <c r="G123" s="176"/>
      <c r="H123" s="176"/>
      <c r="I123" s="171"/>
      <c r="J123" s="171"/>
      <c r="K123" s="171"/>
      <c r="L123" s="171"/>
      <c r="M123" s="171"/>
      <c r="N123" s="171"/>
      <c r="O123" s="171"/>
      <c r="P123" s="171"/>
      <c r="Q123" s="171"/>
      <c r="R123" s="159"/>
      <c r="T123" s="146"/>
      <c r="U123" s="171"/>
      <c r="V123" s="176"/>
      <c r="W123" s="176"/>
      <c r="X123" s="176"/>
      <c r="Y123" s="176"/>
      <c r="Z123" s="176"/>
      <c r="AA123" s="171"/>
      <c r="AB123" s="171"/>
      <c r="AC123" s="171"/>
      <c r="AD123" s="171"/>
      <c r="AE123" s="171"/>
      <c r="AF123" s="171"/>
      <c r="AG123" s="171"/>
      <c r="AH123" s="171"/>
      <c r="AI123" s="171"/>
      <c r="AJ123" s="159"/>
    </row>
    <row r="124" spans="2:36" ht="20.149999999999999" customHeight="1">
      <c r="B124" s="146"/>
      <c r="C124" s="171"/>
      <c r="D124" s="176"/>
      <c r="E124" s="176"/>
      <c r="F124" s="176"/>
      <c r="G124" s="176"/>
      <c r="H124" s="176"/>
      <c r="I124" s="171"/>
      <c r="J124" s="171"/>
      <c r="K124" s="171"/>
      <c r="L124" s="171"/>
      <c r="M124" s="171"/>
      <c r="N124" s="171"/>
      <c r="O124" s="171"/>
      <c r="P124" s="171"/>
      <c r="Q124" s="171"/>
      <c r="R124" s="159"/>
      <c r="T124" s="146"/>
      <c r="U124" s="171"/>
      <c r="V124" s="176"/>
      <c r="W124" s="176"/>
      <c r="X124" s="176"/>
      <c r="Y124" s="176"/>
      <c r="Z124" s="176"/>
      <c r="AA124" s="171"/>
      <c r="AB124" s="171"/>
      <c r="AC124" s="171"/>
      <c r="AD124" s="171"/>
      <c r="AE124" s="171"/>
      <c r="AF124" s="171"/>
      <c r="AG124" s="171"/>
      <c r="AH124" s="171"/>
      <c r="AI124" s="171"/>
      <c r="AJ124" s="159"/>
    </row>
    <row r="125" spans="2:36" ht="20.149999999999999" customHeight="1">
      <c r="B125" s="146"/>
      <c r="C125" s="171"/>
      <c r="D125" s="171"/>
      <c r="E125" s="171"/>
      <c r="F125" s="171"/>
      <c r="G125" s="171"/>
      <c r="H125" s="171"/>
      <c r="I125" s="171"/>
      <c r="J125" s="171"/>
      <c r="K125" s="171"/>
      <c r="L125" s="171"/>
      <c r="M125" s="171"/>
      <c r="N125" s="171"/>
      <c r="O125" s="171"/>
      <c r="P125" s="171"/>
      <c r="Q125" s="171"/>
      <c r="R125" s="159"/>
      <c r="T125" s="146"/>
      <c r="U125" s="171"/>
      <c r="V125" s="171"/>
      <c r="W125" s="171"/>
      <c r="X125" s="171"/>
      <c r="Y125" s="171"/>
      <c r="Z125" s="171"/>
      <c r="AA125" s="171"/>
      <c r="AB125" s="171"/>
      <c r="AC125" s="171"/>
      <c r="AD125" s="171"/>
      <c r="AE125" s="171"/>
      <c r="AF125" s="171"/>
      <c r="AG125" s="171"/>
      <c r="AH125" s="171"/>
      <c r="AI125" s="171"/>
      <c r="AJ125" s="159"/>
    </row>
    <row r="126" spans="2:36" ht="20.149999999999999" customHeight="1">
      <c r="B126" s="146"/>
      <c r="C126" s="171"/>
      <c r="D126" s="171"/>
      <c r="E126" s="171"/>
      <c r="F126" s="171"/>
      <c r="G126" s="171"/>
      <c r="H126" s="171"/>
      <c r="I126" s="171"/>
      <c r="J126" s="171"/>
      <c r="K126" s="171"/>
      <c r="L126" s="171"/>
      <c r="M126" s="171"/>
      <c r="N126" s="171"/>
      <c r="O126" s="171"/>
      <c r="P126" s="171"/>
      <c r="Q126" s="171"/>
      <c r="R126" s="159"/>
      <c r="T126" s="146"/>
      <c r="U126" s="171"/>
      <c r="V126" s="171"/>
      <c r="W126" s="171"/>
      <c r="X126" s="171"/>
      <c r="Y126" s="171"/>
      <c r="Z126" s="171"/>
      <c r="AA126" s="171"/>
      <c r="AB126" s="171"/>
      <c r="AC126" s="171"/>
      <c r="AD126" s="171"/>
      <c r="AE126" s="171"/>
      <c r="AF126" s="171"/>
      <c r="AG126" s="171"/>
      <c r="AH126" s="171"/>
      <c r="AI126" s="171"/>
      <c r="AJ126" s="159"/>
    </row>
    <row r="127" spans="2:36" ht="20.149999999999999" customHeight="1">
      <c r="B127" s="146"/>
      <c r="C127" s="171"/>
      <c r="D127" s="171"/>
      <c r="E127" s="171"/>
      <c r="F127" s="171"/>
      <c r="G127" s="171"/>
      <c r="H127" s="171"/>
      <c r="I127" s="171"/>
      <c r="J127" s="171"/>
      <c r="K127" s="171"/>
      <c r="L127" s="171"/>
      <c r="M127" s="171"/>
      <c r="N127" s="171"/>
      <c r="O127" s="171"/>
      <c r="P127" s="171"/>
      <c r="Q127" s="171"/>
      <c r="R127" s="159"/>
      <c r="T127" s="146"/>
      <c r="U127" s="171"/>
      <c r="V127" s="171"/>
      <c r="W127" s="171"/>
      <c r="X127" s="171"/>
      <c r="Y127" s="171"/>
      <c r="Z127" s="171"/>
      <c r="AA127" s="171"/>
      <c r="AB127" s="171"/>
      <c r="AC127" s="171"/>
      <c r="AD127" s="171"/>
      <c r="AE127" s="171"/>
      <c r="AF127" s="171"/>
      <c r="AG127" s="171"/>
      <c r="AH127" s="171"/>
      <c r="AI127" s="171"/>
      <c r="AJ127" s="159"/>
    </row>
    <row r="128" spans="2:36" ht="20.149999999999999" customHeight="1">
      <c r="B128" s="146"/>
      <c r="C128" s="171"/>
      <c r="D128" s="171"/>
      <c r="E128" s="171"/>
      <c r="F128" s="171"/>
      <c r="G128" s="171"/>
      <c r="H128" s="171"/>
      <c r="I128" s="171"/>
      <c r="J128" s="171"/>
      <c r="K128" s="171"/>
      <c r="L128" s="171"/>
      <c r="M128" s="171"/>
      <c r="N128" s="171"/>
      <c r="O128" s="171"/>
      <c r="P128" s="171"/>
      <c r="Q128" s="171"/>
      <c r="R128" s="159"/>
      <c r="T128" s="146"/>
      <c r="U128" s="171"/>
      <c r="V128" s="171"/>
      <c r="W128" s="171"/>
      <c r="X128" s="171"/>
      <c r="Y128" s="171"/>
      <c r="Z128" s="171"/>
      <c r="AA128" s="171"/>
      <c r="AB128" s="171"/>
      <c r="AC128" s="171"/>
      <c r="AD128" s="171"/>
      <c r="AE128" s="171"/>
      <c r="AF128" s="171"/>
      <c r="AG128" s="171"/>
      <c r="AH128" s="171"/>
      <c r="AI128" s="171"/>
      <c r="AJ128" s="159"/>
    </row>
    <row r="129" spans="2:36" ht="20.149999999999999" customHeight="1">
      <c r="B129" s="145"/>
      <c r="C129" s="171"/>
      <c r="D129" s="171"/>
      <c r="E129" s="171"/>
      <c r="F129" s="171"/>
      <c r="G129" s="171"/>
      <c r="H129" s="171"/>
      <c r="I129" s="171"/>
      <c r="J129" s="171"/>
      <c r="K129" s="171"/>
      <c r="L129" s="171"/>
      <c r="M129" s="171"/>
      <c r="N129" s="171"/>
      <c r="O129" s="171"/>
      <c r="P129" s="171"/>
      <c r="Q129" s="171"/>
      <c r="R129" s="177"/>
      <c r="S129" s="178"/>
      <c r="T129" s="145"/>
      <c r="U129" s="171"/>
      <c r="V129" s="171"/>
      <c r="W129" s="171"/>
      <c r="X129" s="171"/>
      <c r="Y129" s="171"/>
      <c r="Z129" s="171"/>
      <c r="AA129" s="171"/>
      <c r="AB129" s="171"/>
      <c r="AC129" s="171"/>
      <c r="AD129" s="171"/>
      <c r="AE129" s="171"/>
      <c r="AF129" s="171"/>
      <c r="AG129" s="171"/>
      <c r="AH129" s="171"/>
      <c r="AI129" s="171"/>
      <c r="AJ129" s="177"/>
    </row>
    <row r="130" spans="2:36" ht="20.149999999999999" customHeight="1">
      <c r="B130" s="145"/>
      <c r="C130" s="171"/>
      <c r="D130" s="171"/>
      <c r="E130" s="171"/>
      <c r="F130" s="171"/>
      <c r="G130" s="171"/>
      <c r="H130" s="171"/>
      <c r="I130" s="171"/>
      <c r="J130" s="171"/>
      <c r="K130" s="171"/>
      <c r="L130" s="171"/>
      <c r="M130" s="171"/>
      <c r="N130" s="171"/>
      <c r="O130" s="171"/>
      <c r="P130" s="171"/>
      <c r="Q130" s="171"/>
      <c r="R130" s="177"/>
      <c r="S130" s="178"/>
      <c r="T130" s="145"/>
      <c r="U130" s="171"/>
      <c r="V130" s="171"/>
      <c r="W130" s="171"/>
      <c r="X130" s="171"/>
      <c r="Y130" s="171"/>
      <c r="Z130" s="171"/>
      <c r="AA130" s="171"/>
      <c r="AB130" s="171"/>
      <c r="AC130" s="171"/>
      <c r="AD130" s="171"/>
      <c r="AE130" s="171"/>
      <c r="AF130" s="171"/>
      <c r="AG130" s="171"/>
      <c r="AH130" s="171"/>
      <c r="AI130" s="171"/>
      <c r="AJ130" s="177"/>
    </row>
    <row r="131" spans="2:36" ht="20.149999999999999" customHeight="1">
      <c r="B131" s="145"/>
      <c r="C131" s="171"/>
      <c r="D131" s="171"/>
      <c r="E131" s="171"/>
      <c r="F131" s="171"/>
      <c r="G131" s="171"/>
      <c r="H131" s="171"/>
      <c r="I131" s="171"/>
      <c r="J131" s="171"/>
      <c r="K131" s="171"/>
      <c r="L131" s="171"/>
      <c r="M131" s="171"/>
      <c r="N131" s="171"/>
      <c r="O131" s="171"/>
      <c r="P131" s="171"/>
      <c r="Q131" s="171"/>
      <c r="R131" s="177"/>
      <c r="S131" s="178"/>
      <c r="T131" s="145"/>
      <c r="U131" s="171"/>
      <c r="V131" s="171"/>
      <c r="W131" s="171"/>
      <c r="X131" s="171"/>
      <c r="Y131" s="171"/>
      <c r="Z131" s="171"/>
      <c r="AA131" s="171"/>
      <c r="AB131" s="171"/>
      <c r="AC131" s="171"/>
      <c r="AD131" s="171"/>
      <c r="AE131" s="171"/>
      <c r="AF131" s="171"/>
      <c r="AG131" s="171"/>
      <c r="AH131" s="171"/>
      <c r="AI131" s="171"/>
      <c r="AJ131" s="177"/>
    </row>
    <row r="132" spans="2:36" ht="20.149999999999999" customHeight="1">
      <c r="B132" s="145"/>
      <c r="C132" s="171"/>
      <c r="D132" s="171"/>
      <c r="E132" s="171"/>
      <c r="F132" s="171"/>
      <c r="G132" s="171"/>
      <c r="H132" s="171"/>
      <c r="I132" s="171"/>
      <c r="J132" s="171"/>
      <c r="K132" s="171"/>
      <c r="L132" s="171"/>
      <c r="M132" s="171"/>
      <c r="N132" s="171"/>
      <c r="O132" s="171"/>
      <c r="P132" s="171"/>
      <c r="Q132" s="171"/>
      <c r="R132" s="177"/>
      <c r="S132" s="178"/>
      <c r="T132" s="145"/>
      <c r="U132" s="171"/>
      <c r="V132" s="171"/>
      <c r="W132" s="171"/>
      <c r="X132" s="171"/>
      <c r="Y132" s="171"/>
      <c r="Z132" s="171"/>
      <c r="AA132" s="171"/>
      <c r="AB132" s="171"/>
      <c r="AC132" s="171"/>
      <c r="AD132" s="171"/>
      <c r="AE132" s="171"/>
      <c r="AF132" s="171"/>
      <c r="AG132" s="171"/>
      <c r="AH132" s="171"/>
      <c r="AI132" s="171"/>
      <c r="AJ132" s="177"/>
    </row>
    <row r="133" spans="2:36" ht="20.149999999999999" customHeight="1">
      <c r="B133" s="145"/>
      <c r="C133" s="171"/>
      <c r="D133" s="171"/>
      <c r="E133" s="171"/>
      <c r="F133" s="171"/>
      <c r="G133" s="171"/>
      <c r="H133" s="171"/>
      <c r="I133" s="171"/>
      <c r="J133" s="171"/>
      <c r="K133" s="171"/>
      <c r="L133" s="171"/>
      <c r="M133" s="171"/>
      <c r="N133" s="171"/>
      <c r="O133" s="171"/>
      <c r="P133" s="171"/>
      <c r="Q133" s="171"/>
      <c r="R133" s="177"/>
      <c r="S133" s="178"/>
      <c r="T133" s="145"/>
      <c r="U133" s="171"/>
      <c r="V133" s="171"/>
      <c r="W133" s="171"/>
      <c r="X133" s="171"/>
      <c r="Y133" s="171"/>
      <c r="Z133" s="171"/>
      <c r="AA133" s="171"/>
      <c r="AB133" s="171"/>
      <c r="AC133" s="171"/>
      <c r="AD133" s="171"/>
      <c r="AE133" s="171"/>
      <c r="AF133" s="171"/>
      <c r="AG133" s="171"/>
      <c r="AH133" s="171"/>
      <c r="AI133" s="171"/>
      <c r="AJ133" s="177"/>
    </row>
    <row r="134" spans="2:36" ht="20.149999999999999" customHeight="1">
      <c r="B134" s="145"/>
      <c r="C134" s="171"/>
      <c r="D134" s="172"/>
      <c r="E134" s="172"/>
      <c r="F134" s="172"/>
      <c r="G134" s="172"/>
      <c r="H134" s="172"/>
      <c r="I134" s="172"/>
      <c r="J134" s="172"/>
      <c r="K134" s="172"/>
      <c r="L134" s="172"/>
      <c r="M134" s="172"/>
      <c r="N134" s="172"/>
      <c r="O134" s="172"/>
      <c r="P134" s="172"/>
      <c r="Q134" s="172"/>
      <c r="R134" s="189"/>
      <c r="S134" s="190"/>
      <c r="T134" s="145"/>
      <c r="U134" s="171"/>
      <c r="V134" s="172"/>
      <c r="W134" s="172"/>
      <c r="X134" s="172"/>
      <c r="Y134" s="172"/>
      <c r="Z134" s="172"/>
      <c r="AA134" s="172"/>
      <c r="AB134" s="172"/>
      <c r="AC134" s="172"/>
      <c r="AD134" s="172"/>
      <c r="AE134" s="172"/>
      <c r="AF134" s="172"/>
      <c r="AG134" s="172"/>
      <c r="AH134" s="172"/>
      <c r="AI134" s="172"/>
      <c r="AJ134" s="189"/>
    </row>
    <row r="135" spans="2:36" ht="20.149999999999999" customHeight="1">
      <c r="B135" s="146"/>
      <c r="C135" s="171"/>
      <c r="D135" s="171"/>
      <c r="E135" s="171"/>
      <c r="F135" s="171"/>
      <c r="G135" s="171"/>
      <c r="H135" s="171"/>
      <c r="I135" s="171"/>
      <c r="J135" s="171"/>
      <c r="K135" s="171"/>
      <c r="L135" s="171"/>
      <c r="M135" s="171"/>
      <c r="N135" s="171"/>
      <c r="O135" s="171"/>
      <c r="P135" s="171"/>
      <c r="Q135" s="171"/>
      <c r="R135" s="159"/>
      <c r="T135" s="146"/>
      <c r="U135" s="171"/>
      <c r="V135" s="171"/>
      <c r="W135" s="171"/>
      <c r="X135" s="171"/>
      <c r="Y135" s="171"/>
      <c r="Z135" s="171"/>
      <c r="AA135" s="171"/>
      <c r="AB135" s="171"/>
      <c r="AC135" s="171"/>
      <c r="AD135" s="171"/>
      <c r="AE135" s="171"/>
      <c r="AF135" s="171"/>
      <c r="AG135" s="171"/>
      <c r="AH135" s="171"/>
      <c r="AI135" s="171"/>
      <c r="AJ135" s="159"/>
    </row>
    <row r="136" spans="2:36" ht="20.149999999999999" customHeight="1">
      <c r="B136" s="146"/>
      <c r="C136" s="171"/>
      <c r="D136" s="171"/>
      <c r="E136" s="171"/>
      <c r="F136" s="171"/>
      <c r="G136" s="171"/>
      <c r="H136" s="171"/>
      <c r="I136" s="171"/>
      <c r="J136" s="171"/>
      <c r="K136" s="171"/>
      <c r="L136" s="171"/>
      <c r="M136" s="171"/>
      <c r="N136" s="171"/>
      <c r="O136" s="171"/>
      <c r="P136" s="171"/>
      <c r="Q136" s="171"/>
      <c r="R136" s="159"/>
      <c r="T136" s="146"/>
      <c r="U136" s="171"/>
      <c r="V136" s="171"/>
      <c r="W136" s="171"/>
      <c r="X136" s="171"/>
      <c r="Y136" s="171"/>
      <c r="Z136" s="171"/>
      <c r="AA136" s="171"/>
      <c r="AB136" s="171"/>
      <c r="AC136" s="171"/>
      <c r="AD136" s="171"/>
      <c r="AE136" s="171"/>
      <c r="AF136" s="171"/>
      <c r="AG136" s="171"/>
      <c r="AH136" s="171"/>
      <c r="AI136" s="171"/>
      <c r="AJ136" s="159"/>
    </row>
    <row r="137" spans="2:36" ht="20.149999999999999" customHeight="1">
      <c r="B137" s="146"/>
      <c r="C137" s="171"/>
      <c r="D137" s="171"/>
      <c r="E137" s="171"/>
      <c r="F137" s="171"/>
      <c r="G137" s="171"/>
      <c r="H137" s="171"/>
      <c r="I137" s="171"/>
      <c r="J137" s="171"/>
      <c r="K137" s="171"/>
      <c r="L137" s="171"/>
      <c r="M137" s="171"/>
      <c r="N137" s="171"/>
      <c r="O137" s="171"/>
      <c r="P137" s="171"/>
      <c r="Q137" s="171"/>
      <c r="R137" s="159"/>
      <c r="T137" s="146"/>
      <c r="U137" s="171"/>
      <c r="V137" s="171"/>
      <c r="W137" s="171"/>
      <c r="X137" s="171"/>
      <c r="Y137" s="171"/>
      <c r="Z137" s="171"/>
      <c r="AA137" s="171"/>
      <c r="AB137" s="171"/>
      <c r="AC137" s="171"/>
      <c r="AD137" s="171"/>
      <c r="AE137" s="171"/>
      <c r="AF137" s="171"/>
      <c r="AG137" s="171"/>
      <c r="AH137" s="171"/>
      <c r="AI137" s="171"/>
      <c r="AJ137" s="159"/>
    </row>
    <row r="138" spans="2:36" ht="20.149999999999999" customHeight="1">
      <c r="B138" s="146"/>
      <c r="C138" s="171"/>
      <c r="D138" s="171"/>
      <c r="E138" s="171"/>
      <c r="F138" s="171"/>
      <c r="G138" s="171"/>
      <c r="H138" s="171"/>
      <c r="I138" s="171"/>
      <c r="J138" s="171"/>
      <c r="K138" s="171"/>
      <c r="L138" s="171"/>
      <c r="M138" s="171"/>
      <c r="N138" s="171"/>
      <c r="O138" s="171"/>
      <c r="P138" s="171"/>
      <c r="Q138" s="171"/>
      <c r="R138" s="159"/>
      <c r="T138" s="146"/>
      <c r="U138" s="171"/>
      <c r="V138" s="171"/>
      <c r="W138" s="171"/>
      <c r="X138" s="171"/>
      <c r="Y138" s="171"/>
      <c r="Z138" s="171"/>
      <c r="AA138" s="171"/>
      <c r="AB138" s="171"/>
      <c r="AC138" s="171"/>
      <c r="AD138" s="171"/>
      <c r="AE138" s="171"/>
      <c r="AF138" s="171"/>
      <c r="AG138" s="171"/>
      <c r="AH138" s="171"/>
      <c r="AI138" s="171"/>
      <c r="AJ138" s="159"/>
    </row>
    <row r="139" spans="2:36" ht="20.149999999999999" customHeight="1">
      <c r="B139" s="146"/>
      <c r="C139" s="171"/>
      <c r="D139" s="171"/>
      <c r="E139" s="171"/>
      <c r="F139" s="171"/>
      <c r="G139" s="171"/>
      <c r="H139" s="171"/>
      <c r="I139" s="171"/>
      <c r="J139" s="171"/>
      <c r="K139" s="171"/>
      <c r="L139" s="171"/>
      <c r="M139" s="171"/>
      <c r="N139" s="171"/>
      <c r="O139" s="171"/>
      <c r="P139" s="171"/>
      <c r="Q139" s="171"/>
      <c r="R139" s="159"/>
      <c r="T139" s="146"/>
      <c r="U139" s="171"/>
      <c r="V139" s="171"/>
      <c r="W139" s="171"/>
      <c r="X139" s="171"/>
      <c r="Y139" s="171"/>
      <c r="Z139" s="171"/>
      <c r="AA139" s="171"/>
      <c r="AB139" s="171"/>
      <c r="AC139" s="171"/>
      <c r="AD139" s="171"/>
      <c r="AE139" s="171"/>
      <c r="AF139" s="171"/>
      <c r="AG139" s="171"/>
      <c r="AH139" s="171"/>
      <c r="AI139" s="171"/>
      <c r="AJ139" s="159"/>
    </row>
    <row r="140" spans="2:36" ht="20.149999999999999" customHeight="1">
      <c r="B140" s="146"/>
      <c r="C140" s="171"/>
      <c r="D140" s="171"/>
      <c r="E140" s="171"/>
      <c r="F140" s="171"/>
      <c r="G140" s="171"/>
      <c r="H140" s="171"/>
      <c r="I140" s="171"/>
      <c r="J140" s="171"/>
      <c r="K140" s="171"/>
      <c r="L140" s="171"/>
      <c r="M140" s="171"/>
      <c r="N140" s="171"/>
      <c r="O140" s="171"/>
      <c r="P140" s="171"/>
      <c r="Q140" s="171"/>
      <c r="R140" s="159"/>
      <c r="T140" s="146"/>
      <c r="U140" s="171"/>
      <c r="V140" s="171"/>
      <c r="W140" s="171"/>
      <c r="X140" s="171"/>
      <c r="Y140" s="171"/>
      <c r="Z140" s="171"/>
      <c r="AA140" s="171"/>
      <c r="AB140" s="171"/>
      <c r="AC140" s="171"/>
      <c r="AD140" s="171"/>
      <c r="AE140" s="171"/>
      <c r="AF140" s="171"/>
      <c r="AG140" s="171"/>
      <c r="AH140" s="171"/>
      <c r="AI140" s="171"/>
      <c r="AJ140" s="159"/>
    </row>
    <row r="141" spans="2:36" ht="20.149999999999999" customHeight="1">
      <c r="B141" s="146"/>
      <c r="C141" s="171"/>
      <c r="D141" s="171"/>
      <c r="E141" s="171"/>
      <c r="F141" s="171"/>
      <c r="G141" s="171"/>
      <c r="H141" s="171"/>
      <c r="I141" s="171"/>
      <c r="J141" s="171"/>
      <c r="K141" s="171"/>
      <c r="L141" s="171"/>
      <c r="M141" s="171"/>
      <c r="N141" s="171"/>
      <c r="O141" s="171"/>
      <c r="P141" s="171"/>
      <c r="Q141" s="171"/>
      <c r="R141" s="159"/>
      <c r="T141" s="146"/>
      <c r="U141" s="171"/>
      <c r="V141" s="171"/>
      <c r="W141" s="171"/>
      <c r="X141" s="171"/>
      <c r="Y141" s="171"/>
      <c r="Z141" s="171"/>
      <c r="AA141" s="171"/>
      <c r="AB141" s="171"/>
      <c r="AC141" s="171"/>
      <c r="AD141" s="171"/>
      <c r="AE141" s="171"/>
      <c r="AF141" s="171"/>
      <c r="AG141" s="171"/>
      <c r="AH141" s="171"/>
      <c r="AI141" s="171"/>
      <c r="AJ141" s="159"/>
    </row>
    <row r="142" spans="2:36" ht="20.149999999999999" customHeight="1">
      <c r="B142" s="146"/>
      <c r="C142" s="171"/>
      <c r="D142" s="171"/>
      <c r="E142" s="171"/>
      <c r="F142" s="171"/>
      <c r="G142" s="171"/>
      <c r="H142" s="171"/>
      <c r="I142" s="171"/>
      <c r="J142" s="171"/>
      <c r="K142" s="171"/>
      <c r="L142" s="171"/>
      <c r="M142" s="171"/>
      <c r="N142" s="171"/>
      <c r="O142" s="171"/>
      <c r="P142" s="171"/>
      <c r="Q142" s="171"/>
      <c r="R142" s="159"/>
      <c r="T142" s="146"/>
      <c r="U142" s="171"/>
      <c r="V142" s="171"/>
      <c r="W142" s="171"/>
      <c r="X142" s="171"/>
      <c r="Y142" s="171"/>
      <c r="Z142" s="171"/>
      <c r="AA142" s="171"/>
      <c r="AB142" s="171"/>
      <c r="AC142" s="171"/>
      <c r="AD142" s="171"/>
      <c r="AE142" s="171"/>
      <c r="AF142" s="171"/>
      <c r="AG142" s="171"/>
      <c r="AH142" s="171"/>
      <c r="AI142" s="171"/>
      <c r="AJ142" s="159"/>
    </row>
    <row r="143" spans="2:36" ht="20.149999999999999" customHeight="1">
      <c r="B143" s="146"/>
      <c r="C143" s="171"/>
      <c r="D143" s="171"/>
      <c r="E143" s="171"/>
      <c r="F143" s="171"/>
      <c r="G143" s="171"/>
      <c r="H143" s="171"/>
      <c r="I143" s="171"/>
      <c r="J143" s="171"/>
      <c r="K143" s="171"/>
      <c r="L143" s="171"/>
      <c r="M143" s="171"/>
      <c r="N143" s="171"/>
      <c r="O143" s="171"/>
      <c r="P143" s="171"/>
      <c r="Q143" s="171"/>
      <c r="R143" s="159"/>
      <c r="T143" s="146"/>
      <c r="U143" s="171"/>
      <c r="V143" s="171"/>
      <c r="W143" s="171"/>
      <c r="X143" s="171"/>
      <c r="Y143" s="171"/>
      <c r="Z143" s="171"/>
      <c r="AA143" s="171"/>
      <c r="AB143" s="171"/>
      <c r="AC143" s="171"/>
      <c r="AD143" s="171"/>
      <c r="AE143" s="171"/>
      <c r="AF143" s="171"/>
      <c r="AG143" s="171"/>
      <c r="AH143" s="171"/>
      <c r="AI143" s="171"/>
      <c r="AJ143" s="159"/>
    </row>
    <row r="144" spans="2:36" ht="20.149999999999999" customHeight="1">
      <c r="B144" s="146"/>
      <c r="C144" s="171"/>
      <c r="D144" s="171"/>
      <c r="E144" s="171"/>
      <c r="F144" s="171"/>
      <c r="G144" s="171"/>
      <c r="H144" s="171"/>
      <c r="I144" s="171"/>
      <c r="J144" s="171"/>
      <c r="K144" s="171"/>
      <c r="L144" s="171"/>
      <c r="M144" s="171"/>
      <c r="N144" s="171"/>
      <c r="O144" s="171"/>
      <c r="P144" s="171"/>
      <c r="Q144" s="171"/>
      <c r="R144" s="159"/>
      <c r="T144" s="146"/>
      <c r="U144" s="171"/>
      <c r="V144" s="171"/>
      <c r="W144" s="171"/>
      <c r="X144" s="171"/>
      <c r="Y144" s="171"/>
      <c r="Z144" s="171"/>
      <c r="AA144" s="171"/>
      <c r="AB144" s="171"/>
      <c r="AC144" s="171"/>
      <c r="AD144" s="171"/>
      <c r="AE144" s="171"/>
      <c r="AF144" s="171"/>
      <c r="AG144" s="171"/>
      <c r="AH144" s="171"/>
      <c r="AI144" s="171"/>
      <c r="AJ144" s="159"/>
    </row>
    <row r="145" spans="2:46" ht="20.149999999999999" customHeight="1">
      <c r="B145" s="146"/>
      <c r="C145" s="171"/>
      <c r="D145" s="171"/>
      <c r="E145" s="171"/>
      <c r="F145" s="171"/>
      <c r="G145" s="171"/>
      <c r="H145" s="171"/>
      <c r="I145" s="171"/>
      <c r="J145" s="171"/>
      <c r="K145" s="171"/>
      <c r="L145" s="171"/>
      <c r="M145" s="171"/>
      <c r="N145" s="171"/>
      <c r="O145" s="171"/>
      <c r="P145" s="171"/>
      <c r="Q145" s="171"/>
      <c r="R145" s="159"/>
      <c r="T145" s="146"/>
      <c r="U145" s="171"/>
      <c r="V145" s="171"/>
      <c r="W145" s="171"/>
      <c r="X145" s="171"/>
      <c r="Y145" s="171"/>
      <c r="Z145" s="171"/>
      <c r="AA145" s="171"/>
      <c r="AB145" s="171"/>
      <c r="AC145" s="171"/>
      <c r="AD145" s="171"/>
      <c r="AE145" s="171"/>
      <c r="AF145" s="171"/>
      <c r="AG145" s="171"/>
      <c r="AH145" s="171"/>
      <c r="AI145" s="171"/>
      <c r="AJ145" s="159"/>
    </row>
    <row r="146" spans="2:46" ht="20.149999999999999" customHeight="1">
      <c r="B146" s="146"/>
      <c r="C146" s="171"/>
      <c r="D146" s="171"/>
      <c r="E146" s="171"/>
      <c r="F146" s="171"/>
      <c r="G146" s="171"/>
      <c r="H146" s="171"/>
      <c r="I146" s="171"/>
      <c r="J146" s="171"/>
      <c r="K146" s="171"/>
      <c r="L146" s="171"/>
      <c r="M146" s="171"/>
      <c r="N146" s="171"/>
      <c r="O146" s="171"/>
      <c r="P146" s="171"/>
      <c r="Q146" s="171"/>
      <c r="R146" s="159"/>
      <c r="T146" s="146"/>
      <c r="U146" s="171"/>
      <c r="V146" s="171"/>
      <c r="W146" s="171"/>
      <c r="X146" s="171"/>
      <c r="Y146" s="171"/>
      <c r="Z146" s="171"/>
      <c r="AA146" s="171"/>
      <c r="AB146" s="171"/>
      <c r="AC146" s="171"/>
      <c r="AD146" s="171"/>
      <c r="AE146" s="171"/>
      <c r="AF146" s="171"/>
      <c r="AG146" s="171"/>
      <c r="AH146" s="171"/>
      <c r="AI146" s="171"/>
      <c r="AJ146" s="159"/>
    </row>
    <row r="147" spans="2:46" ht="20.149999999999999" customHeight="1">
      <c r="B147" s="146"/>
      <c r="C147" s="171"/>
      <c r="D147" s="171"/>
      <c r="E147" s="171"/>
      <c r="F147" s="171"/>
      <c r="G147" s="171"/>
      <c r="H147" s="171"/>
      <c r="I147" s="171"/>
      <c r="J147" s="171"/>
      <c r="K147" s="171"/>
      <c r="L147" s="171"/>
      <c r="M147" s="171"/>
      <c r="N147" s="171"/>
      <c r="O147" s="171"/>
      <c r="P147" s="171"/>
      <c r="Q147" s="171"/>
      <c r="R147" s="159"/>
      <c r="T147" s="146"/>
      <c r="U147" s="171"/>
      <c r="V147" s="171"/>
      <c r="W147" s="171"/>
      <c r="X147" s="171"/>
      <c r="Y147" s="171"/>
      <c r="Z147" s="171"/>
      <c r="AA147" s="171"/>
      <c r="AB147" s="171"/>
      <c r="AC147" s="171"/>
      <c r="AD147" s="171"/>
      <c r="AE147" s="171"/>
      <c r="AF147" s="171"/>
      <c r="AG147" s="171"/>
      <c r="AH147" s="171"/>
      <c r="AI147" s="171"/>
      <c r="AJ147" s="159"/>
    </row>
    <row r="148" spans="2:46" ht="20.149999999999999" customHeight="1">
      <c r="B148" s="146"/>
      <c r="C148" s="171"/>
      <c r="D148" s="171"/>
      <c r="E148" s="171"/>
      <c r="F148" s="171"/>
      <c r="G148" s="171"/>
      <c r="H148" s="171"/>
      <c r="I148" s="171"/>
      <c r="J148" s="171"/>
      <c r="K148" s="171"/>
      <c r="L148" s="171"/>
      <c r="M148" s="171"/>
      <c r="N148" s="171"/>
      <c r="O148" s="171"/>
      <c r="P148" s="171"/>
      <c r="Q148" s="171"/>
      <c r="R148" s="159"/>
      <c r="T148" s="146"/>
      <c r="U148" s="171"/>
      <c r="V148" s="171"/>
      <c r="W148" s="171"/>
      <c r="X148" s="171"/>
      <c r="Y148" s="171"/>
      <c r="Z148" s="171"/>
      <c r="AA148" s="171"/>
      <c r="AB148" s="171"/>
      <c r="AC148" s="171"/>
      <c r="AD148" s="171"/>
      <c r="AE148" s="171"/>
      <c r="AF148" s="171"/>
      <c r="AG148" s="171"/>
      <c r="AH148" s="171"/>
      <c r="AI148" s="171"/>
      <c r="AJ148" s="159"/>
    </row>
    <row r="149" spans="2:46" ht="20.149999999999999" customHeight="1">
      <c r="B149" s="146"/>
      <c r="C149" s="171"/>
      <c r="D149" s="171"/>
      <c r="E149" s="171"/>
      <c r="F149" s="171"/>
      <c r="G149" s="171"/>
      <c r="H149" s="171"/>
      <c r="I149" s="171"/>
      <c r="J149" s="171"/>
      <c r="K149" s="171"/>
      <c r="L149" s="171"/>
      <c r="M149" s="171"/>
      <c r="N149" s="171"/>
      <c r="O149" s="171"/>
      <c r="P149" s="171"/>
      <c r="Q149" s="171"/>
      <c r="R149" s="159"/>
      <c r="T149" s="146"/>
      <c r="U149" s="171"/>
      <c r="V149" s="171"/>
      <c r="W149" s="171"/>
      <c r="X149" s="171"/>
      <c r="Y149" s="171"/>
      <c r="Z149" s="171"/>
      <c r="AA149" s="171"/>
      <c r="AB149" s="171"/>
      <c r="AC149" s="171"/>
      <c r="AD149" s="171"/>
      <c r="AE149" s="171"/>
      <c r="AF149" s="171"/>
      <c r="AG149" s="171"/>
      <c r="AH149" s="171"/>
      <c r="AI149" s="171"/>
      <c r="AJ149" s="159"/>
    </row>
    <row r="150" spans="2:46" ht="20.149999999999999" customHeight="1">
      <c r="B150" s="146"/>
      <c r="C150" s="171"/>
      <c r="D150" s="171"/>
      <c r="E150" s="171"/>
      <c r="F150" s="171"/>
      <c r="G150" s="171"/>
      <c r="H150" s="171"/>
      <c r="I150" s="171"/>
      <c r="J150" s="171"/>
      <c r="K150" s="171"/>
      <c r="L150" s="171"/>
      <c r="M150" s="171"/>
      <c r="N150" s="171"/>
      <c r="O150" s="171"/>
      <c r="P150" s="171"/>
      <c r="Q150" s="171"/>
      <c r="R150" s="159"/>
      <c r="T150" s="146"/>
      <c r="U150" s="171"/>
      <c r="V150" s="171"/>
      <c r="W150" s="171"/>
      <c r="X150" s="171"/>
      <c r="Y150" s="171"/>
      <c r="Z150" s="171"/>
      <c r="AA150" s="171"/>
      <c r="AB150" s="171"/>
      <c r="AC150" s="171"/>
      <c r="AD150" s="171"/>
      <c r="AE150" s="171"/>
      <c r="AF150" s="171"/>
      <c r="AG150" s="171"/>
      <c r="AH150" s="171"/>
      <c r="AI150" s="171"/>
      <c r="AJ150" s="159"/>
    </row>
    <row r="151" spans="2:46" ht="20.149999999999999" customHeight="1">
      <c r="B151" s="146"/>
      <c r="C151" s="182"/>
      <c r="D151" s="182"/>
      <c r="E151" s="182"/>
      <c r="F151" s="182"/>
      <c r="G151" s="182"/>
      <c r="H151" s="182"/>
      <c r="I151" s="182"/>
      <c r="J151" s="182"/>
      <c r="K151" s="182"/>
      <c r="L151" s="182"/>
      <c r="M151" s="182"/>
      <c r="N151" s="182"/>
      <c r="O151" s="182"/>
      <c r="P151" s="182"/>
      <c r="Q151" s="182"/>
      <c r="R151" s="159"/>
      <c r="T151" s="146"/>
      <c r="U151" s="182"/>
      <c r="V151" s="182"/>
      <c r="W151" s="182"/>
      <c r="X151" s="182"/>
      <c r="Y151" s="182"/>
      <c r="Z151" s="182"/>
      <c r="AA151" s="182"/>
      <c r="AB151" s="182"/>
      <c r="AC151" s="182"/>
      <c r="AD151" s="182"/>
      <c r="AE151" s="182"/>
      <c r="AF151" s="182"/>
      <c r="AG151" s="182"/>
      <c r="AH151" s="182"/>
      <c r="AI151" s="182"/>
      <c r="AJ151" s="159"/>
    </row>
    <row r="152" spans="2:46" ht="20.149999999999999" customHeight="1">
      <c r="B152" s="146"/>
      <c r="C152" s="182"/>
      <c r="D152" s="182"/>
      <c r="E152" s="182"/>
      <c r="F152" s="182"/>
      <c r="G152" s="182"/>
      <c r="H152" s="182"/>
      <c r="I152" s="182"/>
      <c r="J152" s="182"/>
      <c r="K152" s="182"/>
      <c r="L152" s="182"/>
      <c r="M152" s="182"/>
      <c r="N152" s="182"/>
      <c r="O152" s="182"/>
      <c r="P152" s="182"/>
      <c r="Q152" s="182"/>
      <c r="R152" s="159"/>
      <c r="T152" s="146"/>
      <c r="U152" s="182"/>
      <c r="V152" s="182"/>
      <c r="W152" s="182"/>
      <c r="X152" s="182"/>
      <c r="Y152" s="182"/>
      <c r="Z152" s="182"/>
      <c r="AA152" s="182"/>
      <c r="AB152" s="182"/>
      <c r="AC152" s="182"/>
      <c r="AD152" s="182"/>
      <c r="AE152" s="182"/>
      <c r="AF152" s="182"/>
      <c r="AG152" s="182"/>
      <c r="AH152" s="182"/>
      <c r="AI152" s="182"/>
      <c r="AJ152" s="159"/>
    </row>
    <row r="153" spans="2:46" ht="20.149999999999999" customHeight="1">
      <c r="B153" s="146"/>
      <c r="C153" s="182"/>
      <c r="D153" s="182"/>
      <c r="E153" s="182"/>
      <c r="F153" s="182"/>
      <c r="G153" s="182"/>
      <c r="H153" s="182"/>
      <c r="I153" s="182"/>
      <c r="J153" s="182"/>
      <c r="K153" s="182"/>
      <c r="L153" s="182"/>
      <c r="M153" s="182"/>
      <c r="N153" s="182"/>
      <c r="O153" s="182"/>
      <c r="P153" s="182"/>
      <c r="Q153" s="182"/>
      <c r="R153" s="159"/>
      <c r="T153" s="146"/>
      <c r="U153" s="182"/>
      <c r="V153" s="182"/>
      <c r="W153" s="182"/>
      <c r="X153" s="182"/>
      <c r="Y153" s="182"/>
      <c r="Z153" s="182"/>
      <c r="AA153" s="182"/>
      <c r="AB153" s="182"/>
      <c r="AC153" s="182"/>
      <c r="AD153" s="182"/>
      <c r="AE153" s="182"/>
      <c r="AF153" s="182"/>
      <c r="AG153" s="182"/>
      <c r="AH153" s="182"/>
      <c r="AI153" s="182"/>
      <c r="AJ153" s="159"/>
    </row>
    <row r="154" spans="2:46" ht="20.149999999999999" customHeight="1">
      <c r="B154" s="146"/>
      <c r="C154" s="183"/>
      <c r="D154" s="184"/>
      <c r="E154" s="184"/>
      <c r="F154" s="184"/>
      <c r="G154" s="184"/>
      <c r="H154" s="184"/>
      <c r="I154" s="184"/>
      <c r="J154" s="185"/>
      <c r="K154" s="185"/>
      <c r="L154" s="185"/>
      <c r="M154" s="185"/>
      <c r="N154" s="184"/>
      <c r="O154" s="184"/>
      <c r="P154" s="184"/>
      <c r="Q154" s="191"/>
      <c r="R154" s="159"/>
      <c r="T154" s="146"/>
      <c r="U154" s="183"/>
      <c r="V154" s="192"/>
      <c r="W154" s="192"/>
      <c r="X154" s="192"/>
      <c r="Y154" s="192"/>
      <c r="Z154" s="192"/>
      <c r="AA154" s="192"/>
      <c r="AB154" s="193"/>
      <c r="AC154" s="193"/>
      <c r="AD154" s="193"/>
      <c r="AE154" s="193"/>
      <c r="AF154" s="192"/>
      <c r="AG154" s="192"/>
      <c r="AH154" s="192"/>
      <c r="AI154" s="191"/>
      <c r="AJ154" s="159"/>
      <c r="AL154" s="196"/>
      <c r="AM154" s="196"/>
      <c r="AN154" s="196"/>
      <c r="AO154" s="196"/>
      <c r="AP154" s="197"/>
      <c r="AQ154" s="196"/>
      <c r="AR154" s="196"/>
      <c r="AS154" s="196"/>
      <c r="AT154" s="196"/>
    </row>
    <row r="155" spans="2:46" ht="20.149999999999999" customHeight="1">
      <c r="B155" s="146"/>
      <c r="C155" s="183"/>
      <c r="D155" s="184"/>
      <c r="E155" s="184"/>
      <c r="F155" s="184"/>
      <c r="G155" s="184"/>
      <c r="H155" s="184"/>
      <c r="I155" s="184"/>
      <c r="J155" s="185"/>
      <c r="K155" s="185"/>
      <c r="L155" s="185"/>
      <c r="M155" s="185"/>
      <c r="N155" s="184"/>
      <c r="O155" s="184"/>
      <c r="P155" s="184"/>
      <c r="Q155" s="191"/>
      <c r="R155" s="159"/>
      <c r="T155" s="146"/>
      <c r="U155" s="183"/>
      <c r="V155" s="192"/>
      <c r="W155" s="192"/>
      <c r="X155" s="192"/>
      <c r="Y155" s="192"/>
      <c r="Z155" s="192"/>
      <c r="AA155" s="192"/>
      <c r="AB155" s="193"/>
      <c r="AC155" s="193"/>
      <c r="AD155" s="193"/>
      <c r="AE155" s="193"/>
      <c r="AF155" s="192"/>
      <c r="AG155" s="192"/>
      <c r="AH155" s="192"/>
      <c r="AI155" s="191"/>
      <c r="AJ155" s="159"/>
      <c r="AL155" s="196"/>
      <c r="AM155" s="196"/>
      <c r="AN155" s="196"/>
      <c r="AO155" s="196"/>
      <c r="AP155" s="197"/>
      <c r="AQ155" s="196"/>
      <c r="AR155" s="196"/>
      <c r="AS155" s="196"/>
      <c r="AT155" s="196"/>
    </row>
    <row r="156" spans="2:46" ht="20.149999999999999" customHeight="1">
      <c r="B156" s="146"/>
      <c r="C156" s="183"/>
      <c r="D156" s="184"/>
      <c r="E156" s="184"/>
      <c r="F156" s="184"/>
      <c r="G156" s="184"/>
      <c r="H156" s="184"/>
      <c r="I156" s="184"/>
      <c r="J156" s="185"/>
      <c r="K156" s="185"/>
      <c r="L156" s="185"/>
      <c r="M156" s="185"/>
      <c r="N156" s="184"/>
      <c r="O156" s="184"/>
      <c r="P156" s="184"/>
      <c r="Q156" s="191"/>
      <c r="R156" s="159"/>
      <c r="T156" s="146"/>
      <c r="U156" s="183"/>
      <c r="V156" s="192"/>
      <c r="W156" s="192"/>
      <c r="X156" s="192"/>
      <c r="Y156" s="192"/>
      <c r="Z156" s="192"/>
      <c r="AA156" s="192"/>
      <c r="AB156" s="193"/>
      <c r="AC156" s="193"/>
      <c r="AD156" s="193"/>
      <c r="AE156" s="193"/>
      <c r="AF156" s="192"/>
      <c r="AG156" s="192"/>
      <c r="AH156" s="192"/>
      <c r="AI156" s="191"/>
      <c r="AJ156" s="159"/>
      <c r="AL156" s="196"/>
      <c r="AM156" s="196"/>
      <c r="AN156" s="196"/>
      <c r="AO156" s="196"/>
      <c r="AP156" s="197"/>
      <c r="AQ156" s="196"/>
      <c r="AR156" s="196"/>
      <c r="AS156" s="196"/>
      <c r="AT156" s="196"/>
    </row>
    <row r="157" spans="2:46" ht="20.149999999999999" customHeight="1">
      <c r="B157" s="146"/>
      <c r="C157" s="183"/>
      <c r="D157" s="185"/>
      <c r="E157" s="185"/>
      <c r="F157" s="185"/>
      <c r="G157" s="185"/>
      <c r="H157" s="185"/>
      <c r="I157" s="185"/>
      <c r="J157" s="185"/>
      <c r="K157" s="185"/>
      <c r="L157" s="185"/>
      <c r="M157" s="185"/>
      <c r="N157" s="185"/>
      <c r="O157" s="185"/>
      <c r="P157" s="185"/>
      <c r="Q157" s="191"/>
      <c r="R157" s="159"/>
      <c r="T157" s="146"/>
      <c r="U157" s="183"/>
      <c r="V157" s="193"/>
      <c r="W157" s="193"/>
      <c r="X157" s="193"/>
      <c r="Y157" s="193"/>
      <c r="Z157" s="193"/>
      <c r="AA157" s="193"/>
      <c r="AB157" s="193"/>
      <c r="AC157" s="193"/>
      <c r="AD157" s="193"/>
      <c r="AE157" s="193"/>
      <c r="AF157" s="193"/>
      <c r="AG157" s="193"/>
      <c r="AH157" s="193"/>
      <c r="AI157" s="191"/>
      <c r="AJ157" s="159"/>
      <c r="AL157" s="196" t="e">
        <f>'[1]100.Motherdata'!#REF!</f>
        <v>#REF!</v>
      </c>
      <c r="AM157" s="196"/>
      <c r="AN157" s="196"/>
      <c r="AO157" s="196"/>
      <c r="AP157" s="197"/>
      <c r="AQ157" s="196"/>
      <c r="AR157" s="196"/>
      <c r="AS157" s="196"/>
      <c r="AT157" s="196"/>
    </row>
    <row r="158" spans="2:46" ht="20.149999999999999" customHeight="1">
      <c r="B158" s="146"/>
      <c r="C158" s="183"/>
      <c r="D158" s="185"/>
      <c r="E158" s="185"/>
      <c r="F158" s="185"/>
      <c r="G158" s="185"/>
      <c r="H158" s="185"/>
      <c r="I158" s="185"/>
      <c r="J158" s="185"/>
      <c r="K158" s="185"/>
      <c r="L158" s="185"/>
      <c r="M158" s="185"/>
      <c r="N158" s="185"/>
      <c r="O158" s="185"/>
      <c r="P158" s="185"/>
      <c r="Q158" s="191"/>
      <c r="R158" s="159"/>
      <c r="T158" s="146"/>
      <c r="U158" s="183"/>
      <c r="V158" s="193"/>
      <c r="W158" s="193"/>
      <c r="X158" s="193"/>
      <c r="Y158" s="193"/>
      <c r="Z158" s="193"/>
      <c r="AA158" s="193"/>
      <c r="AB158" s="193"/>
      <c r="AC158" s="193"/>
      <c r="AD158" s="193"/>
      <c r="AE158" s="193"/>
      <c r="AF158" s="193"/>
      <c r="AG158" s="193"/>
      <c r="AH158" s="193"/>
      <c r="AI158" s="191"/>
      <c r="AJ158" s="159"/>
      <c r="AL158" s="196"/>
      <c r="AM158" s="196"/>
      <c r="AN158" s="196"/>
      <c r="AO158" s="196"/>
      <c r="AP158" s="197"/>
      <c r="AQ158" s="196"/>
      <c r="AR158" s="196"/>
      <c r="AS158" s="196"/>
      <c r="AT158" s="196"/>
    </row>
    <row r="159" spans="2:46" ht="20.149999999999999" customHeight="1">
      <c r="B159" s="146"/>
      <c r="C159" s="183"/>
      <c r="D159" s="185"/>
      <c r="E159" s="185"/>
      <c r="F159" s="185"/>
      <c r="G159" s="185"/>
      <c r="H159" s="185"/>
      <c r="I159" s="185"/>
      <c r="J159" s="185"/>
      <c r="K159" s="185"/>
      <c r="L159" s="185"/>
      <c r="M159" s="185"/>
      <c r="N159" s="185"/>
      <c r="O159" s="185"/>
      <c r="P159" s="185"/>
      <c r="Q159" s="191"/>
      <c r="R159" s="159"/>
      <c r="T159" s="146"/>
      <c r="U159" s="183"/>
      <c r="V159" s="193"/>
      <c r="W159" s="193"/>
      <c r="X159" s="193"/>
      <c r="Y159" s="193"/>
      <c r="Z159" s="193"/>
      <c r="AA159" s="193"/>
      <c r="AB159" s="193"/>
      <c r="AC159" s="193"/>
      <c r="AD159" s="193"/>
      <c r="AE159" s="193"/>
      <c r="AF159" s="193"/>
      <c r="AG159" s="193"/>
      <c r="AH159" s="193"/>
      <c r="AI159" s="191"/>
      <c r="AJ159" s="159"/>
      <c r="AL159" s="196"/>
      <c r="AM159" s="196"/>
      <c r="AN159" s="196"/>
      <c r="AO159" s="196"/>
      <c r="AP159" s="197"/>
      <c r="AQ159" s="196"/>
      <c r="AR159" s="196"/>
      <c r="AS159" s="196"/>
      <c r="AT159" s="196"/>
    </row>
    <row r="160" spans="2:46" ht="20.149999999999999" customHeight="1">
      <c r="B160" s="146"/>
      <c r="C160" s="183"/>
      <c r="D160" s="185"/>
      <c r="E160" s="185"/>
      <c r="F160" s="185"/>
      <c r="G160" s="185"/>
      <c r="H160" s="185"/>
      <c r="I160" s="185"/>
      <c r="J160" s="185"/>
      <c r="K160" s="185"/>
      <c r="L160" s="185"/>
      <c r="M160" s="185"/>
      <c r="N160" s="185"/>
      <c r="O160" s="185"/>
      <c r="P160" s="185"/>
      <c r="Q160" s="191"/>
      <c r="R160" s="159"/>
      <c r="T160" s="146"/>
      <c r="U160" s="183"/>
      <c r="V160" s="193"/>
      <c r="W160" s="193"/>
      <c r="X160" s="193"/>
      <c r="Y160" s="193"/>
      <c r="Z160" s="193"/>
      <c r="AA160" s="193"/>
      <c r="AB160" s="193"/>
      <c r="AC160" s="193"/>
      <c r="AD160" s="193"/>
      <c r="AE160" s="193"/>
      <c r="AF160" s="193"/>
      <c r="AG160" s="193"/>
      <c r="AH160" s="193"/>
      <c r="AI160" s="191"/>
      <c r="AJ160" s="159"/>
      <c r="AL160" s="196" t="e">
        <f>'[1]100.Motherdata'!#REF!</f>
        <v>#REF!</v>
      </c>
      <c r="AM160" s="196"/>
      <c r="AN160" s="196"/>
      <c r="AO160" s="196"/>
      <c r="AP160" s="197"/>
      <c r="AQ160" s="196"/>
      <c r="AR160" s="196"/>
      <c r="AS160" s="196"/>
      <c r="AT160" s="196"/>
    </row>
    <row r="161" spans="2:46" ht="20.149999999999999" customHeight="1">
      <c r="B161" s="146"/>
      <c r="C161" s="183"/>
      <c r="D161" s="185"/>
      <c r="E161" s="185"/>
      <c r="F161" s="185"/>
      <c r="G161" s="185"/>
      <c r="H161" s="185"/>
      <c r="I161" s="185"/>
      <c r="J161" s="185"/>
      <c r="K161" s="185"/>
      <c r="L161" s="185"/>
      <c r="M161" s="185"/>
      <c r="N161" s="185"/>
      <c r="O161" s="185"/>
      <c r="P161" s="185"/>
      <c r="Q161" s="191"/>
      <c r="R161" s="159"/>
      <c r="T161" s="146"/>
      <c r="U161" s="183"/>
      <c r="V161" s="193"/>
      <c r="W161" s="193"/>
      <c r="X161" s="193"/>
      <c r="Y161" s="193"/>
      <c r="Z161" s="193"/>
      <c r="AA161" s="193"/>
      <c r="AB161" s="193"/>
      <c r="AC161" s="193"/>
      <c r="AD161" s="193"/>
      <c r="AE161" s="193"/>
      <c r="AF161" s="193"/>
      <c r="AG161" s="193"/>
      <c r="AH161" s="193"/>
      <c r="AI161" s="191"/>
      <c r="AJ161" s="159"/>
      <c r="AL161" s="196"/>
      <c r="AM161" s="196"/>
      <c r="AN161" s="196"/>
      <c r="AO161" s="196"/>
      <c r="AP161" s="197"/>
      <c r="AQ161" s="196"/>
      <c r="AR161" s="196"/>
      <c r="AS161" s="196"/>
      <c r="AT161" s="196"/>
    </row>
    <row r="162" spans="2:46" ht="20.149999999999999" customHeight="1">
      <c r="B162" s="146"/>
      <c r="C162" s="183"/>
      <c r="D162" s="185"/>
      <c r="E162" s="185"/>
      <c r="F162" s="185"/>
      <c r="G162" s="185"/>
      <c r="H162" s="185"/>
      <c r="I162" s="185"/>
      <c r="J162" s="185"/>
      <c r="K162" s="185"/>
      <c r="L162" s="185"/>
      <c r="M162" s="185"/>
      <c r="N162" s="185"/>
      <c r="O162" s="185"/>
      <c r="P162" s="185"/>
      <c r="Q162" s="191"/>
      <c r="R162" s="159"/>
      <c r="T162" s="146"/>
      <c r="U162" s="183"/>
      <c r="V162" s="193"/>
      <c r="W162" s="193"/>
      <c r="X162" s="193"/>
      <c r="Y162" s="193"/>
      <c r="Z162" s="193"/>
      <c r="AA162" s="193"/>
      <c r="AB162" s="193"/>
      <c r="AC162" s="193"/>
      <c r="AD162" s="193"/>
      <c r="AE162" s="193"/>
      <c r="AF162" s="193"/>
      <c r="AG162" s="193"/>
      <c r="AH162" s="193"/>
      <c r="AI162" s="191"/>
      <c r="AJ162" s="159"/>
      <c r="AL162" s="196"/>
      <c r="AM162" s="196"/>
      <c r="AN162" s="196"/>
      <c r="AO162" s="196"/>
      <c r="AP162" s="197"/>
      <c r="AQ162" s="196"/>
      <c r="AR162" s="196"/>
      <c r="AS162" s="196"/>
      <c r="AT162" s="196"/>
    </row>
    <row r="163" spans="2:46" ht="20.149999999999999" customHeight="1">
      <c r="B163" s="146"/>
      <c r="C163" s="183"/>
      <c r="D163" s="185"/>
      <c r="E163" s="185"/>
      <c r="F163" s="185"/>
      <c r="G163" s="185"/>
      <c r="H163" s="185"/>
      <c r="I163" s="185"/>
      <c r="J163" s="185"/>
      <c r="K163" s="185"/>
      <c r="L163" s="185"/>
      <c r="M163" s="185"/>
      <c r="N163" s="185"/>
      <c r="O163" s="185"/>
      <c r="P163" s="185"/>
      <c r="Q163" s="191"/>
      <c r="R163" s="159"/>
      <c r="T163" s="146"/>
      <c r="U163" s="183"/>
      <c r="V163" s="193"/>
      <c r="W163" s="193"/>
      <c r="X163" s="193"/>
      <c r="Y163" s="193"/>
      <c r="Z163" s="193"/>
      <c r="AA163" s="193"/>
      <c r="AB163" s="193"/>
      <c r="AC163" s="193"/>
      <c r="AD163" s="193"/>
      <c r="AE163" s="193"/>
      <c r="AF163" s="193"/>
      <c r="AG163" s="193"/>
      <c r="AH163" s="193"/>
      <c r="AI163" s="191"/>
      <c r="AJ163" s="159"/>
      <c r="AL163" s="196"/>
      <c r="AM163" s="196"/>
      <c r="AN163" s="196"/>
      <c r="AO163" s="196"/>
      <c r="AP163" s="197"/>
      <c r="AQ163" s="196"/>
      <c r="AR163" s="196"/>
      <c r="AS163" s="196"/>
      <c r="AT163" s="196"/>
    </row>
    <row r="164" spans="2:46" ht="20.149999999999999" customHeight="1">
      <c r="B164" s="146"/>
      <c r="C164" s="183"/>
      <c r="D164" s="185"/>
      <c r="E164" s="185"/>
      <c r="F164" s="185"/>
      <c r="G164" s="185"/>
      <c r="H164" s="185"/>
      <c r="I164" s="185"/>
      <c r="J164" s="185"/>
      <c r="K164" s="185"/>
      <c r="L164" s="185"/>
      <c r="M164" s="185"/>
      <c r="N164" s="185"/>
      <c r="O164" s="185"/>
      <c r="P164" s="185"/>
      <c r="Q164" s="191"/>
      <c r="R164" s="159"/>
      <c r="T164" s="146"/>
      <c r="U164" s="183"/>
      <c r="V164" s="193"/>
      <c r="W164" s="193"/>
      <c r="X164" s="193"/>
      <c r="Y164" s="193"/>
      <c r="Z164" s="193"/>
      <c r="AA164" s="193"/>
      <c r="AB164" s="193"/>
      <c r="AC164" s="193"/>
      <c r="AD164" s="193"/>
      <c r="AE164" s="193"/>
      <c r="AF164" s="193"/>
      <c r="AG164" s="193"/>
      <c r="AH164" s="193"/>
      <c r="AI164" s="191"/>
      <c r="AJ164" s="159"/>
      <c r="AL164" s="196"/>
      <c r="AM164" s="196"/>
      <c r="AN164" s="196"/>
      <c r="AO164" s="196"/>
      <c r="AP164" s="197"/>
      <c r="AQ164" s="196"/>
      <c r="AR164" s="196"/>
      <c r="AS164" s="196"/>
      <c r="AT164" s="196"/>
    </row>
    <row r="165" spans="2:46" ht="20.149999999999999" customHeight="1">
      <c r="B165" s="146"/>
      <c r="C165" s="183"/>
      <c r="D165" s="185"/>
      <c r="E165" s="185"/>
      <c r="F165" s="185"/>
      <c r="G165" s="185"/>
      <c r="H165" s="185"/>
      <c r="I165" s="185"/>
      <c r="J165" s="185"/>
      <c r="K165" s="185"/>
      <c r="L165" s="185"/>
      <c r="M165" s="185"/>
      <c r="N165" s="185"/>
      <c r="O165" s="185"/>
      <c r="P165" s="185"/>
      <c r="Q165" s="191"/>
      <c r="R165" s="159"/>
      <c r="T165" s="146"/>
      <c r="U165" s="183"/>
      <c r="V165" s="193"/>
      <c r="W165" s="193"/>
      <c r="X165" s="193"/>
      <c r="Y165" s="193"/>
      <c r="Z165" s="193"/>
      <c r="AA165" s="193"/>
      <c r="AB165" s="193"/>
      <c r="AC165" s="193"/>
      <c r="AD165" s="193"/>
      <c r="AE165" s="193"/>
      <c r="AF165" s="193"/>
      <c r="AG165" s="193"/>
      <c r="AH165" s="193"/>
      <c r="AI165" s="191"/>
      <c r="AJ165" s="159"/>
      <c r="AL165" s="196"/>
      <c r="AM165" s="196"/>
      <c r="AN165" s="196"/>
      <c r="AO165" s="196"/>
      <c r="AP165" s="197"/>
      <c r="AQ165" s="196"/>
      <c r="AR165" s="196"/>
      <c r="AS165" s="196"/>
      <c r="AT165" s="196"/>
    </row>
    <row r="166" spans="2:46" ht="20.149999999999999" customHeight="1">
      <c r="B166" s="146"/>
      <c r="C166" s="183"/>
      <c r="D166" s="185"/>
      <c r="E166" s="185"/>
      <c r="F166" s="185"/>
      <c r="G166" s="185"/>
      <c r="H166" s="185"/>
      <c r="I166" s="185"/>
      <c r="J166" s="185"/>
      <c r="K166" s="185"/>
      <c r="L166" s="185"/>
      <c r="M166" s="185"/>
      <c r="N166" s="185"/>
      <c r="O166" s="185"/>
      <c r="P166" s="185"/>
      <c r="Q166" s="191"/>
      <c r="R166" s="159"/>
      <c r="T166" s="146"/>
      <c r="U166" s="183"/>
      <c r="V166" s="193"/>
      <c r="W166" s="193"/>
      <c r="X166" s="193"/>
      <c r="Y166" s="193"/>
      <c r="Z166" s="193"/>
      <c r="AA166" s="193"/>
      <c r="AB166" s="193"/>
      <c r="AC166" s="193"/>
      <c r="AD166" s="193"/>
      <c r="AE166" s="193"/>
      <c r="AF166" s="193"/>
      <c r="AG166" s="193"/>
      <c r="AH166" s="193"/>
      <c r="AI166" s="191"/>
      <c r="AJ166" s="159"/>
      <c r="AL166" s="196"/>
      <c r="AM166" s="196"/>
      <c r="AN166" s="196"/>
      <c r="AO166" s="196"/>
      <c r="AP166" s="197"/>
      <c r="AQ166" s="196"/>
      <c r="AR166" s="196"/>
      <c r="AS166" s="196"/>
      <c r="AT166" s="196"/>
    </row>
    <row r="167" spans="2:46" ht="20.149999999999999" customHeight="1">
      <c r="B167" s="146"/>
      <c r="C167" s="183"/>
      <c r="D167" s="185"/>
      <c r="E167" s="185"/>
      <c r="F167" s="185"/>
      <c r="G167" s="185"/>
      <c r="H167" s="185"/>
      <c r="I167" s="185"/>
      <c r="J167" s="185"/>
      <c r="K167" s="185"/>
      <c r="L167" s="185"/>
      <c r="M167" s="185"/>
      <c r="N167" s="185"/>
      <c r="O167" s="185"/>
      <c r="P167" s="185"/>
      <c r="Q167" s="191"/>
      <c r="R167" s="159"/>
      <c r="T167" s="146"/>
      <c r="U167" s="183"/>
      <c r="V167" s="193"/>
      <c r="W167" s="193"/>
      <c r="X167" s="193"/>
      <c r="Y167" s="193"/>
      <c r="Z167" s="193"/>
      <c r="AA167" s="193"/>
      <c r="AB167" s="193"/>
      <c r="AC167" s="193"/>
      <c r="AD167" s="193"/>
      <c r="AE167" s="193"/>
      <c r="AF167" s="193"/>
      <c r="AG167" s="193"/>
      <c r="AH167" s="193"/>
      <c r="AI167" s="191"/>
      <c r="AJ167" s="159"/>
      <c r="AL167" s="196"/>
      <c r="AM167" s="196"/>
      <c r="AN167" s="196"/>
      <c r="AO167" s="196"/>
      <c r="AP167" s="197"/>
      <c r="AQ167" s="196"/>
      <c r="AR167" s="196"/>
      <c r="AS167" s="196"/>
      <c r="AT167" s="196"/>
    </row>
    <row r="168" spans="2:46" ht="20.149999999999999" customHeight="1">
      <c r="B168" s="146"/>
      <c r="C168" s="183"/>
      <c r="D168" s="185"/>
      <c r="E168" s="185"/>
      <c r="F168" s="185"/>
      <c r="G168" s="185"/>
      <c r="H168" s="185"/>
      <c r="I168" s="185"/>
      <c r="J168" s="185"/>
      <c r="K168" s="185"/>
      <c r="L168" s="185"/>
      <c r="M168" s="185"/>
      <c r="N168" s="185"/>
      <c r="O168" s="185"/>
      <c r="P168" s="185"/>
      <c r="Q168" s="191"/>
      <c r="R168" s="159"/>
      <c r="T168" s="146"/>
      <c r="U168" s="183"/>
      <c r="V168" s="193"/>
      <c r="W168" s="193"/>
      <c r="X168" s="193"/>
      <c r="Y168" s="193"/>
      <c r="Z168" s="193"/>
      <c r="AA168" s="193"/>
      <c r="AB168" s="193"/>
      <c r="AC168" s="193"/>
      <c r="AD168" s="193"/>
      <c r="AE168" s="193"/>
      <c r="AF168" s="193"/>
      <c r="AG168" s="193"/>
      <c r="AH168" s="193"/>
      <c r="AI168" s="191"/>
      <c r="AJ168" s="159"/>
      <c r="AL168" s="196"/>
      <c r="AM168" s="196"/>
      <c r="AN168" s="196"/>
      <c r="AO168" s="196"/>
      <c r="AP168" s="197"/>
      <c r="AQ168" s="196"/>
      <c r="AR168" s="196"/>
      <c r="AS168" s="196"/>
      <c r="AT168" s="196"/>
    </row>
    <row r="169" spans="2:46" ht="20.149999999999999" customHeight="1">
      <c r="B169" s="146"/>
      <c r="C169" s="182"/>
      <c r="D169" s="182"/>
      <c r="E169" s="182"/>
      <c r="F169" s="182"/>
      <c r="G169" s="182"/>
      <c r="H169" s="182"/>
      <c r="I169" s="182"/>
      <c r="J169" s="182"/>
      <c r="K169" s="182"/>
      <c r="L169" s="182"/>
      <c r="M169" s="182"/>
      <c r="N169" s="182"/>
      <c r="O169" s="182"/>
      <c r="P169" s="182"/>
      <c r="Q169" s="182"/>
      <c r="R169" s="159"/>
      <c r="T169" s="146"/>
      <c r="U169" s="182"/>
      <c r="V169" s="182"/>
      <c r="W169" s="182"/>
      <c r="X169" s="182"/>
      <c r="Y169" s="182"/>
      <c r="Z169" s="182"/>
      <c r="AA169" s="182"/>
      <c r="AB169" s="182"/>
      <c r="AC169" s="182"/>
      <c r="AD169" s="182"/>
      <c r="AE169" s="182"/>
      <c r="AF169" s="182"/>
      <c r="AG169" s="182"/>
      <c r="AH169" s="182"/>
      <c r="AI169" s="182"/>
      <c r="AJ169" s="159"/>
    </row>
    <row r="170" spans="2:46" ht="20.149999999999999" customHeight="1">
      <c r="B170" s="146"/>
      <c r="C170" s="183"/>
      <c r="D170" s="427" t="s">
        <v>535</v>
      </c>
      <c r="E170" s="427"/>
      <c r="F170" s="427"/>
      <c r="G170" s="427"/>
      <c r="H170" s="427"/>
      <c r="I170" s="717"/>
      <c r="J170" s="717"/>
      <c r="K170" s="717"/>
      <c r="L170" s="717"/>
      <c r="M170" s="717"/>
      <c r="N170" s="717"/>
      <c r="O170" s="717"/>
      <c r="P170" s="717"/>
      <c r="Q170" s="191"/>
      <c r="R170" s="159"/>
      <c r="T170" s="146"/>
      <c r="U170" s="183"/>
      <c r="V170" s="427" t="s">
        <v>535</v>
      </c>
      <c r="W170" s="427"/>
      <c r="X170" s="427"/>
      <c r="Y170" s="427"/>
      <c r="Z170" s="427"/>
      <c r="AA170" s="427"/>
      <c r="AB170" s="427"/>
      <c r="AC170" s="427"/>
      <c r="AD170" s="427"/>
      <c r="AE170" s="427"/>
      <c r="AF170" s="427"/>
      <c r="AG170" s="427"/>
      <c r="AH170" s="427"/>
      <c r="AI170" s="191"/>
      <c r="AJ170" s="159"/>
    </row>
    <row r="171" spans="2:46" ht="20.149999999999999" customHeight="1">
      <c r="B171" s="146"/>
      <c r="C171" s="183"/>
      <c r="D171" s="425" t="s">
        <v>536</v>
      </c>
      <c r="E171" s="425"/>
      <c r="F171" s="425"/>
      <c r="G171" s="425"/>
      <c r="H171" s="701"/>
      <c r="I171" s="718"/>
      <c r="J171" s="718"/>
      <c r="K171" s="718"/>
      <c r="L171" s="718"/>
      <c r="M171" s="718"/>
      <c r="N171" s="718"/>
      <c r="O171" s="718"/>
      <c r="P171" s="718"/>
      <c r="Q171" s="191"/>
      <c r="R171" s="159"/>
      <c r="T171" s="146"/>
      <c r="U171" s="183"/>
      <c r="V171" s="425" t="s">
        <v>536</v>
      </c>
      <c r="W171" s="425"/>
      <c r="X171" s="425"/>
      <c r="Y171" s="425"/>
      <c r="Z171" s="425"/>
      <c r="AA171" s="711"/>
      <c r="AB171" s="711"/>
      <c r="AC171" s="711"/>
      <c r="AD171" s="711"/>
      <c r="AE171" s="711"/>
      <c r="AF171" s="711"/>
      <c r="AG171" s="711"/>
      <c r="AH171" s="711"/>
      <c r="AI171" s="191"/>
      <c r="AJ171" s="159"/>
    </row>
    <row r="172" spans="2:46" ht="20.149999999999999" customHeight="1">
      <c r="B172" s="146"/>
      <c r="C172" s="183"/>
      <c r="D172" s="691" t="s">
        <v>537</v>
      </c>
      <c r="E172" s="691"/>
      <c r="F172" s="691"/>
      <c r="G172" s="691"/>
      <c r="H172" s="683"/>
      <c r="I172" s="710" t="s">
        <v>538</v>
      </c>
      <c r="J172" s="710"/>
      <c r="K172" s="710"/>
      <c r="L172" s="710"/>
      <c r="M172" s="710"/>
      <c r="N172" s="710"/>
      <c r="O172" s="710"/>
      <c r="P172" s="710"/>
      <c r="Q172" s="191"/>
      <c r="R172" s="159"/>
      <c r="T172" s="146"/>
      <c r="U172" s="183"/>
      <c r="V172" s="691" t="s">
        <v>537</v>
      </c>
      <c r="W172" s="691"/>
      <c r="X172" s="691"/>
      <c r="Y172" s="691"/>
      <c r="Z172" s="691"/>
      <c r="AA172" s="711" t="str">
        <f>I172</f>
        <v>HDFC Form Available</v>
      </c>
      <c r="AB172" s="711"/>
      <c r="AC172" s="711"/>
      <c r="AD172" s="711"/>
      <c r="AE172" s="711"/>
      <c r="AF172" s="711"/>
      <c r="AG172" s="711"/>
      <c r="AH172" s="711"/>
      <c r="AI172" s="191"/>
      <c r="AJ172" s="159"/>
    </row>
    <row r="173" spans="2:46" ht="20.149999999999999" customHeight="1">
      <c r="B173" s="146"/>
      <c r="C173" s="183"/>
      <c r="D173" s="691" t="s">
        <v>539</v>
      </c>
      <c r="E173" s="691"/>
      <c r="F173" s="691"/>
      <c r="G173" s="691"/>
      <c r="H173" s="683"/>
      <c r="I173" s="710" t="s">
        <v>540</v>
      </c>
      <c r="J173" s="710"/>
      <c r="K173" s="710"/>
      <c r="L173" s="710"/>
      <c r="M173" s="710"/>
      <c r="N173" s="710"/>
      <c r="O173" s="710"/>
      <c r="P173" s="710"/>
      <c r="Q173" s="191"/>
      <c r="R173" s="159"/>
      <c r="T173" s="146"/>
      <c r="U173" s="183"/>
      <c r="V173" s="691" t="s">
        <v>539</v>
      </c>
      <c r="W173" s="691"/>
      <c r="X173" s="691"/>
      <c r="Y173" s="691"/>
      <c r="Z173" s="691"/>
      <c r="AA173" s="711" t="str">
        <f t="shared" ref="AA173:AA176" si="12">I173</f>
        <v>YES</v>
      </c>
      <c r="AB173" s="711"/>
      <c r="AC173" s="711"/>
      <c r="AD173" s="711"/>
      <c r="AE173" s="711"/>
      <c r="AF173" s="711"/>
      <c r="AG173" s="711"/>
      <c r="AH173" s="711"/>
      <c r="AI173" s="191"/>
      <c r="AJ173" s="159"/>
    </row>
    <row r="174" spans="2:46" ht="20.149999999999999" customHeight="1">
      <c r="B174" s="146"/>
      <c r="C174" s="183"/>
      <c r="D174" s="691" t="s">
        <v>541</v>
      </c>
      <c r="E174" s="691"/>
      <c r="F174" s="691"/>
      <c r="G174" s="691"/>
      <c r="H174" s="683"/>
      <c r="I174" s="710" t="s">
        <v>540</v>
      </c>
      <c r="J174" s="710"/>
      <c r="K174" s="710"/>
      <c r="L174" s="710"/>
      <c r="M174" s="710"/>
      <c r="N174" s="710"/>
      <c r="O174" s="710"/>
      <c r="P174" s="710"/>
      <c r="Q174" s="191"/>
      <c r="R174" s="159"/>
      <c r="T174" s="146"/>
      <c r="U174" s="183"/>
      <c r="V174" s="691" t="s">
        <v>541</v>
      </c>
      <c r="W174" s="691"/>
      <c r="X174" s="691"/>
      <c r="Y174" s="691"/>
      <c r="Z174" s="691"/>
      <c r="AA174" s="711" t="str">
        <f t="shared" si="12"/>
        <v>YES</v>
      </c>
      <c r="AB174" s="711"/>
      <c r="AC174" s="711"/>
      <c r="AD174" s="711"/>
      <c r="AE174" s="711"/>
      <c r="AF174" s="711"/>
      <c r="AG174" s="711"/>
      <c r="AH174" s="711"/>
      <c r="AI174" s="191"/>
      <c r="AJ174" s="159"/>
    </row>
    <row r="175" spans="2:46" ht="20.149999999999999" customHeight="1">
      <c r="B175" s="146"/>
      <c r="C175" s="183"/>
      <c r="D175" s="691" t="s">
        <v>542</v>
      </c>
      <c r="E175" s="691"/>
      <c r="F175" s="691"/>
      <c r="G175" s="691"/>
      <c r="H175" s="683"/>
      <c r="I175" s="710" t="s">
        <v>540</v>
      </c>
      <c r="J175" s="710"/>
      <c r="K175" s="710"/>
      <c r="L175" s="710"/>
      <c r="M175" s="710"/>
      <c r="N175" s="710"/>
      <c r="O175" s="710"/>
      <c r="P175" s="710"/>
      <c r="Q175" s="191"/>
      <c r="R175" s="159"/>
      <c r="T175" s="146"/>
      <c r="U175" s="183"/>
      <c r="V175" s="691" t="s">
        <v>542</v>
      </c>
      <c r="W175" s="691"/>
      <c r="X175" s="691"/>
      <c r="Y175" s="691"/>
      <c r="Z175" s="691"/>
      <c r="AA175" s="711" t="str">
        <f t="shared" si="12"/>
        <v>YES</v>
      </c>
      <c r="AB175" s="711"/>
      <c r="AC175" s="711"/>
      <c r="AD175" s="711"/>
      <c r="AE175" s="711"/>
      <c r="AF175" s="711"/>
      <c r="AG175" s="711"/>
      <c r="AH175" s="711"/>
      <c r="AI175" s="191"/>
      <c r="AJ175" s="159"/>
    </row>
    <row r="176" spans="2:46" ht="20.149999999999999" customHeight="1">
      <c r="B176" s="146"/>
      <c r="C176" s="183"/>
      <c r="D176" s="607" t="s">
        <v>543</v>
      </c>
      <c r="E176" s="608"/>
      <c r="F176" s="608"/>
      <c r="G176" s="608"/>
      <c r="H176" s="608"/>
      <c r="I176" s="710" t="s">
        <v>544</v>
      </c>
      <c r="J176" s="710"/>
      <c r="K176" s="710"/>
      <c r="L176" s="710"/>
      <c r="M176" s="710"/>
      <c r="N176" s="710"/>
      <c r="O176" s="710"/>
      <c r="P176" s="710"/>
      <c r="Q176" s="191"/>
      <c r="R176" s="159"/>
      <c r="T176" s="146"/>
      <c r="U176" s="183"/>
      <c r="V176" s="607" t="s">
        <v>543</v>
      </c>
      <c r="W176" s="608"/>
      <c r="X176" s="608"/>
      <c r="Y176" s="608"/>
      <c r="Z176" s="609"/>
      <c r="AA176" s="616" t="str">
        <f t="shared" si="12"/>
        <v>LTR</v>
      </c>
      <c r="AB176" s="617"/>
      <c r="AC176" s="617"/>
      <c r="AD176" s="617"/>
      <c r="AE176" s="617"/>
      <c r="AF176" s="617"/>
      <c r="AG176" s="617"/>
      <c r="AH176" s="618"/>
      <c r="AI176" s="191"/>
      <c r="AJ176" s="159"/>
    </row>
    <row r="177" spans="2:46" ht="20.149999999999999" customHeight="1">
      <c r="B177" s="146"/>
      <c r="C177" s="183"/>
      <c r="D177" s="610"/>
      <c r="E177" s="611"/>
      <c r="F177" s="611"/>
      <c r="G177" s="611"/>
      <c r="H177" s="611"/>
      <c r="I177" s="710"/>
      <c r="J177" s="710"/>
      <c r="K177" s="710"/>
      <c r="L177" s="710"/>
      <c r="M177" s="710"/>
      <c r="N177" s="710"/>
      <c r="O177" s="710"/>
      <c r="P177" s="710"/>
      <c r="Q177" s="191"/>
      <c r="R177" s="159"/>
      <c r="T177" s="146"/>
      <c r="U177" s="183"/>
      <c r="V177" s="610"/>
      <c r="W177" s="611"/>
      <c r="X177" s="611"/>
      <c r="Y177" s="611"/>
      <c r="Z177" s="612"/>
      <c r="AA177" s="619"/>
      <c r="AB177" s="620"/>
      <c r="AC177" s="620"/>
      <c r="AD177" s="620"/>
      <c r="AE177" s="620"/>
      <c r="AF177" s="620"/>
      <c r="AG177" s="620"/>
      <c r="AH177" s="621"/>
      <c r="AI177" s="191"/>
      <c r="AJ177" s="159"/>
    </row>
    <row r="178" spans="2:46" ht="20.149999999999999" customHeight="1">
      <c r="B178" s="146"/>
      <c r="C178" s="183"/>
      <c r="D178" s="610"/>
      <c r="E178" s="611"/>
      <c r="F178" s="611"/>
      <c r="G178" s="611"/>
      <c r="H178" s="611"/>
      <c r="I178" s="710"/>
      <c r="J178" s="710"/>
      <c r="K178" s="710"/>
      <c r="L178" s="710"/>
      <c r="M178" s="710"/>
      <c r="N178" s="710"/>
      <c r="O178" s="710"/>
      <c r="P178" s="710"/>
      <c r="Q178" s="191"/>
      <c r="R178" s="159"/>
      <c r="T178" s="146"/>
      <c r="U178" s="183"/>
      <c r="V178" s="610"/>
      <c r="W178" s="611"/>
      <c r="X178" s="611"/>
      <c r="Y178" s="611"/>
      <c r="Z178" s="612"/>
      <c r="AA178" s="619"/>
      <c r="AB178" s="620"/>
      <c r="AC178" s="620"/>
      <c r="AD178" s="620"/>
      <c r="AE178" s="620"/>
      <c r="AF178" s="620"/>
      <c r="AG178" s="620"/>
      <c r="AH178" s="621"/>
      <c r="AI178" s="191"/>
      <c r="AJ178" s="159"/>
    </row>
    <row r="179" spans="2:46" ht="20.149999999999999" customHeight="1">
      <c r="B179" s="146"/>
      <c r="C179" s="183"/>
      <c r="D179" s="613"/>
      <c r="E179" s="614"/>
      <c r="F179" s="614"/>
      <c r="G179" s="614"/>
      <c r="H179" s="614"/>
      <c r="I179" s="710"/>
      <c r="J179" s="710"/>
      <c r="K179" s="710"/>
      <c r="L179" s="710"/>
      <c r="M179" s="710"/>
      <c r="N179" s="710"/>
      <c r="O179" s="710"/>
      <c r="P179" s="710"/>
      <c r="Q179" s="191"/>
      <c r="R179" s="159"/>
      <c r="T179" s="146"/>
      <c r="U179" s="183"/>
      <c r="V179" s="613"/>
      <c r="W179" s="614"/>
      <c r="X179" s="614"/>
      <c r="Y179" s="614"/>
      <c r="Z179" s="615"/>
      <c r="AA179" s="622"/>
      <c r="AB179" s="623"/>
      <c r="AC179" s="623"/>
      <c r="AD179" s="623"/>
      <c r="AE179" s="623"/>
      <c r="AF179" s="623"/>
      <c r="AG179" s="623"/>
      <c r="AH179" s="624"/>
      <c r="AI179" s="191"/>
      <c r="AJ179" s="159"/>
    </row>
    <row r="180" spans="2:46" ht="20.149999999999999" customHeight="1">
      <c r="B180" s="146"/>
      <c r="C180" s="183"/>
      <c r="D180" s="425" t="s">
        <v>545</v>
      </c>
      <c r="E180" s="425"/>
      <c r="F180" s="425"/>
      <c r="G180" s="425"/>
      <c r="H180" s="425"/>
      <c r="I180" s="712"/>
      <c r="J180" s="712"/>
      <c r="K180" s="712"/>
      <c r="L180" s="712"/>
      <c r="M180" s="712"/>
      <c r="N180" s="712"/>
      <c r="O180" s="712"/>
      <c r="P180" s="712"/>
      <c r="Q180" s="191"/>
      <c r="R180" s="159"/>
      <c r="T180" s="146"/>
      <c r="U180" s="183"/>
      <c r="V180" s="425" t="s">
        <v>545</v>
      </c>
      <c r="W180" s="425"/>
      <c r="X180" s="425"/>
      <c r="Y180" s="425"/>
      <c r="Z180" s="425"/>
      <c r="AA180" s="425"/>
      <c r="AB180" s="425"/>
      <c r="AC180" s="425"/>
      <c r="AD180" s="425"/>
      <c r="AE180" s="425"/>
      <c r="AF180" s="425"/>
      <c r="AG180" s="425"/>
      <c r="AH180" s="425"/>
      <c r="AI180" s="191"/>
      <c r="AJ180" s="159"/>
    </row>
    <row r="181" spans="2:46" ht="20.149999999999999" customHeight="1">
      <c r="B181" s="146"/>
      <c r="C181" s="183"/>
      <c r="D181" s="676" t="s">
        <v>91</v>
      </c>
      <c r="E181" s="708"/>
      <c r="F181" s="708"/>
      <c r="G181" s="708"/>
      <c r="H181" s="708"/>
      <c r="I181" s="708"/>
      <c r="J181" s="708"/>
      <c r="K181" s="708"/>
      <c r="L181" s="708"/>
      <c r="M181" s="708"/>
      <c r="N181" s="708"/>
      <c r="O181" s="708"/>
      <c r="P181" s="708"/>
      <c r="Q181" s="191"/>
      <c r="R181" s="159"/>
      <c r="T181" s="146"/>
      <c r="U181" s="183"/>
      <c r="V181" s="676" t="s">
        <v>91</v>
      </c>
      <c r="W181" s="627" t="str">
        <f>AD55</f>
        <v>Shafna S S</v>
      </c>
      <c r="X181" s="627"/>
      <c r="Y181" s="627"/>
      <c r="Z181" s="627"/>
      <c r="AA181" s="627"/>
      <c r="AB181" s="627"/>
      <c r="AC181" s="627"/>
      <c r="AD181" s="627"/>
      <c r="AE181" s="627"/>
      <c r="AF181" s="627"/>
      <c r="AG181" s="627"/>
      <c r="AH181" s="627"/>
      <c r="AI181" s="191"/>
      <c r="AJ181" s="159"/>
    </row>
    <row r="182" spans="2:46" ht="20.149999999999999" customHeight="1">
      <c r="B182" s="146"/>
      <c r="C182" s="183"/>
      <c r="D182" s="676"/>
      <c r="E182" s="708"/>
      <c r="F182" s="708"/>
      <c r="G182" s="708"/>
      <c r="H182" s="708"/>
      <c r="I182" s="708"/>
      <c r="J182" s="708"/>
      <c r="K182" s="708"/>
      <c r="L182" s="708"/>
      <c r="M182" s="708"/>
      <c r="N182" s="708"/>
      <c r="O182" s="708"/>
      <c r="P182" s="708"/>
      <c r="Q182" s="191"/>
      <c r="R182" s="194"/>
      <c r="T182" s="146"/>
      <c r="U182" s="183"/>
      <c r="V182" s="676"/>
      <c r="W182" s="627"/>
      <c r="X182" s="627"/>
      <c r="Y182" s="627"/>
      <c r="Z182" s="627"/>
      <c r="AA182" s="627"/>
      <c r="AB182" s="627"/>
      <c r="AC182" s="627"/>
      <c r="AD182" s="627"/>
      <c r="AE182" s="627"/>
      <c r="AF182" s="627"/>
      <c r="AG182" s="627"/>
      <c r="AH182" s="627"/>
      <c r="AI182" s="191"/>
      <c r="AJ182" s="159"/>
    </row>
    <row r="183" spans="2:46" ht="20.149999999999999" customHeight="1">
      <c r="B183" s="146"/>
      <c r="C183" s="183"/>
      <c r="D183" s="676" t="s">
        <v>97</v>
      </c>
      <c r="E183" s="708"/>
      <c r="F183" s="708"/>
      <c r="G183" s="708"/>
      <c r="H183" s="708"/>
      <c r="I183" s="708"/>
      <c r="J183" s="708"/>
      <c r="K183" s="708"/>
      <c r="L183" s="708"/>
      <c r="M183" s="708"/>
      <c r="N183" s="708"/>
      <c r="O183" s="708"/>
      <c r="P183" s="708"/>
      <c r="Q183" s="191"/>
      <c r="R183" s="159"/>
      <c r="T183" s="146"/>
      <c r="U183" s="183"/>
      <c r="V183" s="676" t="s">
        <v>97</v>
      </c>
      <c r="W183" s="627" t="str">
        <f>AG55</f>
        <v>Asgarsha</v>
      </c>
      <c r="X183" s="627"/>
      <c r="Y183" s="627"/>
      <c r="Z183" s="627"/>
      <c r="AA183" s="627"/>
      <c r="AB183" s="627"/>
      <c r="AC183" s="627"/>
      <c r="AD183" s="627"/>
      <c r="AE183" s="627"/>
      <c r="AF183" s="627"/>
      <c r="AG183" s="627"/>
      <c r="AH183" s="627"/>
      <c r="AI183" s="191"/>
      <c r="AJ183" s="159"/>
    </row>
    <row r="184" spans="2:46" ht="20.149999999999999" customHeight="1">
      <c r="B184" s="146"/>
      <c r="C184" s="183"/>
      <c r="D184" s="676"/>
      <c r="E184" s="708"/>
      <c r="F184" s="708"/>
      <c r="G184" s="708"/>
      <c r="H184" s="708"/>
      <c r="I184" s="708"/>
      <c r="J184" s="708"/>
      <c r="K184" s="708"/>
      <c r="L184" s="708"/>
      <c r="M184" s="708"/>
      <c r="N184" s="708"/>
      <c r="O184" s="708"/>
      <c r="P184" s="708"/>
      <c r="Q184" s="191"/>
      <c r="R184" s="159"/>
      <c r="T184" s="146"/>
      <c r="U184" s="183"/>
      <c r="V184" s="676"/>
      <c r="W184" s="627"/>
      <c r="X184" s="627"/>
      <c r="Y184" s="627"/>
      <c r="Z184" s="627"/>
      <c r="AA184" s="627"/>
      <c r="AB184" s="627"/>
      <c r="AC184" s="627"/>
      <c r="AD184" s="627"/>
      <c r="AE184" s="627"/>
      <c r="AF184" s="627"/>
      <c r="AG184" s="627"/>
      <c r="AH184" s="627"/>
      <c r="AI184" s="191"/>
      <c r="AJ184" s="159"/>
    </row>
    <row r="185" spans="2:46" ht="20.149999999999999" customHeight="1">
      <c r="B185" s="146"/>
      <c r="C185" s="183"/>
      <c r="D185" s="676" t="s">
        <v>94</v>
      </c>
      <c r="E185" s="708"/>
      <c r="F185" s="708"/>
      <c r="G185" s="708"/>
      <c r="H185" s="708"/>
      <c r="I185" s="708"/>
      <c r="J185" s="708"/>
      <c r="K185" s="708"/>
      <c r="L185" s="708"/>
      <c r="M185" s="708"/>
      <c r="N185" s="708"/>
      <c r="O185" s="708"/>
      <c r="P185" s="708"/>
      <c r="Q185" s="191"/>
      <c r="R185" s="159"/>
      <c r="T185" s="146"/>
      <c r="U185" s="183"/>
      <c r="V185" s="676" t="s">
        <v>94</v>
      </c>
      <c r="W185" s="627" t="str">
        <f>X55</f>
        <v>Neerchal</v>
      </c>
      <c r="X185" s="627"/>
      <c r="Y185" s="627"/>
      <c r="Z185" s="627"/>
      <c r="AA185" s="627"/>
      <c r="AB185" s="627"/>
      <c r="AC185" s="627"/>
      <c r="AD185" s="627"/>
      <c r="AE185" s="627"/>
      <c r="AF185" s="627"/>
      <c r="AG185" s="627"/>
      <c r="AH185" s="627"/>
      <c r="AI185" s="191"/>
      <c r="AJ185" s="159"/>
    </row>
    <row r="186" spans="2:46" ht="20.149999999999999" customHeight="1">
      <c r="B186" s="146"/>
      <c r="C186" s="183"/>
      <c r="D186" s="676"/>
      <c r="E186" s="708"/>
      <c r="F186" s="708"/>
      <c r="G186" s="708"/>
      <c r="H186" s="708"/>
      <c r="I186" s="708"/>
      <c r="J186" s="708"/>
      <c r="K186" s="708"/>
      <c r="L186" s="708"/>
      <c r="M186" s="708"/>
      <c r="N186" s="708"/>
      <c r="O186" s="708"/>
      <c r="P186" s="708"/>
      <c r="Q186" s="195"/>
      <c r="R186" s="159"/>
      <c r="T186" s="146"/>
      <c r="U186" s="183"/>
      <c r="V186" s="676"/>
      <c r="W186" s="627"/>
      <c r="X186" s="627"/>
      <c r="Y186" s="627"/>
      <c r="Z186" s="627"/>
      <c r="AA186" s="627"/>
      <c r="AB186" s="627"/>
      <c r="AC186" s="627"/>
      <c r="AD186" s="627"/>
      <c r="AE186" s="627"/>
      <c r="AF186" s="627"/>
      <c r="AG186" s="627"/>
      <c r="AH186" s="627"/>
      <c r="AI186" s="195"/>
      <c r="AJ186" s="159"/>
    </row>
    <row r="187" spans="2:46" ht="20.149999999999999" customHeight="1">
      <c r="B187" s="146"/>
      <c r="C187" s="183"/>
      <c r="D187" s="676" t="s">
        <v>100</v>
      </c>
      <c r="E187" s="708"/>
      <c r="F187" s="708"/>
      <c r="G187" s="708"/>
      <c r="H187" s="708"/>
      <c r="I187" s="708"/>
      <c r="J187" s="708"/>
      <c r="K187" s="708"/>
      <c r="L187" s="708"/>
      <c r="M187" s="708"/>
      <c r="N187" s="708"/>
      <c r="O187" s="708"/>
      <c r="P187" s="708"/>
      <c r="Q187" s="191"/>
      <c r="R187" s="159"/>
      <c r="T187" s="146"/>
      <c r="U187" s="183"/>
      <c r="V187" s="676" t="s">
        <v>100</v>
      </c>
      <c r="W187" s="627" t="str">
        <f>AA55</f>
        <v>3.5m wide way</v>
      </c>
      <c r="X187" s="627"/>
      <c r="Y187" s="627"/>
      <c r="Z187" s="627"/>
      <c r="AA187" s="627"/>
      <c r="AB187" s="627"/>
      <c r="AC187" s="627"/>
      <c r="AD187" s="627"/>
      <c r="AE187" s="627"/>
      <c r="AF187" s="627"/>
      <c r="AG187" s="627"/>
      <c r="AH187" s="627"/>
      <c r="AI187" s="191"/>
      <c r="AJ187" s="159"/>
      <c r="AL187" s="196">
        <f>'[1]100.Motherdata'!BL65</f>
        <v>0</v>
      </c>
      <c r="AM187" s="196"/>
      <c r="AN187" s="196"/>
      <c r="AO187" s="196"/>
      <c r="AP187" s="197"/>
      <c r="AQ187" s="196"/>
      <c r="AR187" s="196"/>
      <c r="AS187" s="196"/>
      <c r="AT187" s="196"/>
    </row>
    <row r="188" spans="2:46" ht="20.149999999999999" customHeight="1">
      <c r="B188" s="146"/>
      <c r="C188" s="183"/>
      <c r="D188" s="676"/>
      <c r="E188" s="708"/>
      <c r="F188" s="708"/>
      <c r="G188" s="708"/>
      <c r="H188" s="708"/>
      <c r="I188" s="708"/>
      <c r="J188" s="708"/>
      <c r="K188" s="708"/>
      <c r="L188" s="708"/>
      <c r="M188" s="708"/>
      <c r="N188" s="708"/>
      <c r="O188" s="708"/>
      <c r="P188" s="708"/>
      <c r="Q188" s="191"/>
      <c r="R188" s="159"/>
      <c r="T188" s="146"/>
      <c r="U188" s="183"/>
      <c r="V188" s="676"/>
      <c r="W188" s="627"/>
      <c r="X188" s="627"/>
      <c r="Y188" s="627"/>
      <c r="Z188" s="627"/>
      <c r="AA188" s="627"/>
      <c r="AB188" s="627"/>
      <c r="AC188" s="627"/>
      <c r="AD188" s="627"/>
      <c r="AE188" s="627"/>
      <c r="AF188" s="627"/>
      <c r="AG188" s="627"/>
      <c r="AH188" s="627"/>
      <c r="AI188" s="191"/>
      <c r="AJ188" s="159"/>
      <c r="AL188" s="196"/>
      <c r="AM188" s="196"/>
      <c r="AN188" s="196"/>
      <c r="AO188" s="196"/>
      <c r="AP188" s="197"/>
      <c r="AQ188" s="196"/>
      <c r="AR188" s="196"/>
      <c r="AS188" s="196"/>
      <c r="AT188" s="196"/>
    </row>
    <row r="189" spans="2:46" ht="20.149999999999999" customHeight="1">
      <c r="B189" s="146"/>
      <c r="C189" s="183"/>
      <c r="D189" s="425" t="s">
        <v>546</v>
      </c>
      <c r="E189" s="425"/>
      <c r="F189" s="425"/>
      <c r="G189" s="425"/>
      <c r="H189" s="425"/>
      <c r="I189" s="425"/>
      <c r="J189" s="425"/>
      <c r="K189" s="425"/>
      <c r="L189" s="425"/>
      <c r="M189" s="425"/>
      <c r="N189" s="425"/>
      <c r="O189" s="425"/>
      <c r="P189" s="425"/>
      <c r="Q189" s="191"/>
      <c r="R189" s="159"/>
      <c r="T189" s="146"/>
      <c r="U189" s="183"/>
      <c r="V189" s="425" t="s">
        <v>546</v>
      </c>
      <c r="W189" s="425"/>
      <c r="X189" s="425"/>
      <c r="Y189" s="425"/>
      <c r="Z189" s="425"/>
      <c r="AA189" s="425"/>
      <c r="AB189" s="425"/>
      <c r="AC189" s="425"/>
      <c r="AD189" s="425"/>
      <c r="AE189" s="425"/>
      <c r="AF189" s="425"/>
      <c r="AG189" s="425"/>
      <c r="AH189" s="425"/>
      <c r="AI189" s="191"/>
      <c r="AJ189" s="159"/>
      <c r="AL189" s="196"/>
      <c r="AM189" s="196"/>
      <c r="AN189" s="196"/>
      <c r="AO189" s="196"/>
      <c r="AP189" s="197"/>
      <c r="AQ189" s="196"/>
      <c r="AR189" s="196"/>
      <c r="AS189" s="196"/>
      <c r="AT189" s="196"/>
    </row>
    <row r="190" spans="2:46" ht="20.149999999999999" customHeight="1">
      <c r="B190" s="146"/>
      <c r="C190" s="183"/>
      <c r="D190" s="676" t="s">
        <v>91</v>
      </c>
      <c r="E190" s="708"/>
      <c r="F190" s="708"/>
      <c r="G190" s="708"/>
      <c r="H190" s="708"/>
      <c r="I190" s="708"/>
      <c r="J190" s="708"/>
      <c r="K190" s="708"/>
      <c r="L190" s="708"/>
      <c r="M190" s="708"/>
      <c r="N190" s="708"/>
      <c r="O190" s="708"/>
      <c r="P190" s="708"/>
      <c r="Q190" s="191"/>
      <c r="R190" s="159"/>
      <c r="T190" s="146"/>
      <c r="U190" s="183"/>
      <c r="V190" s="676" t="s">
        <v>91</v>
      </c>
      <c r="W190" s="627" t="str">
        <f>AD57</f>
        <v>Shafna S S</v>
      </c>
      <c r="X190" s="627"/>
      <c r="Y190" s="627"/>
      <c r="Z190" s="627"/>
      <c r="AA190" s="627"/>
      <c r="AB190" s="627"/>
      <c r="AC190" s="627"/>
      <c r="AD190" s="627"/>
      <c r="AE190" s="627"/>
      <c r="AF190" s="627"/>
      <c r="AG190" s="627"/>
      <c r="AH190" s="627"/>
      <c r="AI190" s="191"/>
      <c r="AJ190" s="159"/>
      <c r="AL190" s="196"/>
      <c r="AM190" s="196"/>
      <c r="AN190" s="196"/>
      <c r="AO190" s="196"/>
      <c r="AP190" s="197"/>
      <c r="AQ190" s="196"/>
      <c r="AR190" s="196"/>
      <c r="AS190" s="196"/>
      <c r="AT190" s="196"/>
    </row>
    <row r="191" spans="2:46" ht="20.149999999999999" customHeight="1">
      <c r="B191" s="146"/>
      <c r="C191" s="183"/>
      <c r="D191" s="676"/>
      <c r="E191" s="708"/>
      <c r="F191" s="708"/>
      <c r="G191" s="708"/>
      <c r="H191" s="708"/>
      <c r="I191" s="708"/>
      <c r="J191" s="708"/>
      <c r="K191" s="708"/>
      <c r="L191" s="708"/>
      <c r="M191" s="708"/>
      <c r="N191" s="708"/>
      <c r="O191" s="708"/>
      <c r="P191" s="708"/>
      <c r="Q191" s="191"/>
      <c r="R191" s="159"/>
      <c r="T191" s="146"/>
      <c r="U191" s="183"/>
      <c r="V191" s="676"/>
      <c r="W191" s="627"/>
      <c r="X191" s="627"/>
      <c r="Y191" s="627"/>
      <c r="Z191" s="627"/>
      <c r="AA191" s="627"/>
      <c r="AB191" s="627"/>
      <c r="AC191" s="627"/>
      <c r="AD191" s="627"/>
      <c r="AE191" s="627"/>
      <c r="AF191" s="627"/>
      <c r="AG191" s="627"/>
      <c r="AH191" s="627"/>
      <c r="AI191" s="191"/>
      <c r="AJ191" s="159"/>
      <c r="AL191" s="196"/>
      <c r="AM191" s="196"/>
      <c r="AN191" s="196"/>
      <c r="AO191" s="196"/>
      <c r="AP191" s="197"/>
      <c r="AQ191" s="196"/>
      <c r="AR191" s="196"/>
      <c r="AS191" s="196"/>
      <c r="AT191" s="196"/>
    </row>
    <row r="192" spans="2:46" ht="20.149999999999999" customHeight="1">
      <c r="B192" s="146"/>
      <c r="C192" s="183"/>
      <c r="D192" s="676" t="s">
        <v>97</v>
      </c>
      <c r="E192" s="708"/>
      <c r="F192" s="708"/>
      <c r="G192" s="708"/>
      <c r="H192" s="708"/>
      <c r="I192" s="708"/>
      <c r="J192" s="708"/>
      <c r="K192" s="708"/>
      <c r="L192" s="708"/>
      <c r="M192" s="708"/>
      <c r="N192" s="708"/>
      <c r="O192" s="708"/>
      <c r="P192" s="708"/>
      <c r="Q192" s="191"/>
      <c r="R192" s="159"/>
      <c r="T192" s="146"/>
      <c r="U192" s="183"/>
      <c r="V192" s="676" t="s">
        <v>97</v>
      </c>
      <c r="W192" s="627" t="str">
        <f>AG57</f>
        <v>Asgarsha</v>
      </c>
      <c r="X192" s="627"/>
      <c r="Y192" s="627"/>
      <c r="Z192" s="627"/>
      <c r="AA192" s="627"/>
      <c r="AB192" s="627"/>
      <c r="AC192" s="627"/>
      <c r="AD192" s="627"/>
      <c r="AE192" s="627"/>
      <c r="AF192" s="627"/>
      <c r="AG192" s="627"/>
      <c r="AH192" s="627"/>
      <c r="AI192" s="191"/>
      <c r="AJ192" s="159"/>
      <c r="AL192" s="196"/>
      <c r="AM192" s="196"/>
      <c r="AN192" s="196"/>
      <c r="AO192" s="713"/>
      <c r="AP192" s="713"/>
      <c r="AQ192" s="713"/>
      <c r="AR192" s="196"/>
      <c r="AS192" s="196"/>
      <c r="AT192" s="196"/>
    </row>
    <row r="193" spans="2:46" ht="20.149999999999999" customHeight="1">
      <c r="B193" s="146"/>
      <c r="C193" s="183"/>
      <c r="D193" s="676"/>
      <c r="E193" s="708"/>
      <c r="F193" s="708"/>
      <c r="G193" s="708"/>
      <c r="H193" s="708"/>
      <c r="I193" s="708"/>
      <c r="J193" s="708"/>
      <c r="K193" s="708"/>
      <c r="L193" s="708"/>
      <c r="M193" s="708"/>
      <c r="N193" s="708"/>
      <c r="O193" s="708"/>
      <c r="P193" s="708"/>
      <c r="Q193" s="191"/>
      <c r="R193" s="159"/>
      <c r="T193" s="146"/>
      <c r="U193" s="183"/>
      <c r="V193" s="676"/>
      <c r="W193" s="627"/>
      <c r="X193" s="627"/>
      <c r="Y193" s="627"/>
      <c r="Z193" s="627"/>
      <c r="AA193" s="627"/>
      <c r="AB193" s="627"/>
      <c r="AC193" s="627"/>
      <c r="AD193" s="627"/>
      <c r="AE193" s="627"/>
      <c r="AF193" s="627"/>
      <c r="AG193" s="627"/>
      <c r="AH193" s="627"/>
      <c r="AI193" s="191"/>
      <c r="AJ193" s="159"/>
      <c r="AL193" s="196"/>
      <c r="AM193" s="196"/>
      <c r="AN193" s="196"/>
      <c r="AO193" s="196"/>
      <c r="AP193" s="197"/>
      <c r="AQ193" s="196"/>
      <c r="AR193" s="196"/>
      <c r="AS193" s="196"/>
      <c r="AT193" s="196"/>
    </row>
    <row r="194" spans="2:46" s="131" customFormat="1" ht="20.149999999999999" customHeight="1">
      <c r="B194" s="173"/>
      <c r="C194" s="198"/>
      <c r="D194" s="676" t="s">
        <v>94</v>
      </c>
      <c r="E194" s="708"/>
      <c r="F194" s="708"/>
      <c r="G194" s="708"/>
      <c r="H194" s="708"/>
      <c r="I194" s="708"/>
      <c r="J194" s="708"/>
      <c r="K194" s="708"/>
      <c r="L194" s="708"/>
      <c r="M194" s="708"/>
      <c r="N194" s="708"/>
      <c r="O194" s="708"/>
      <c r="P194" s="708"/>
      <c r="Q194" s="202"/>
      <c r="R194" s="179"/>
      <c r="S194" s="180"/>
      <c r="T194" s="173"/>
      <c r="U194" s="198"/>
      <c r="V194" s="676" t="s">
        <v>94</v>
      </c>
      <c r="W194" s="627" t="str">
        <f>X57</f>
        <v>Neerchal</v>
      </c>
      <c r="X194" s="627"/>
      <c r="Y194" s="627"/>
      <c r="Z194" s="627"/>
      <c r="AA194" s="627"/>
      <c r="AB194" s="627"/>
      <c r="AC194" s="627"/>
      <c r="AD194" s="627"/>
      <c r="AE194" s="627"/>
      <c r="AF194" s="627"/>
      <c r="AG194" s="627"/>
      <c r="AH194" s="627"/>
      <c r="AI194" s="202"/>
      <c r="AJ194" s="179"/>
      <c r="AL194" s="690"/>
      <c r="AM194" s="690"/>
      <c r="AN194" s="690"/>
      <c r="AO194" s="690"/>
      <c r="AP194" s="690"/>
      <c r="AQ194" s="690"/>
      <c r="AR194" s="690"/>
      <c r="AS194" s="690"/>
      <c r="AT194" s="690"/>
    </row>
    <row r="195" spans="2:46" ht="20.149999999999999" customHeight="1">
      <c r="B195" s="146"/>
      <c r="C195" s="183"/>
      <c r="D195" s="676"/>
      <c r="E195" s="708"/>
      <c r="F195" s="708"/>
      <c r="G195" s="708"/>
      <c r="H195" s="708"/>
      <c r="I195" s="708"/>
      <c r="J195" s="708"/>
      <c r="K195" s="708"/>
      <c r="L195" s="708"/>
      <c r="M195" s="708"/>
      <c r="N195" s="708"/>
      <c r="O195" s="708"/>
      <c r="P195" s="708"/>
      <c r="Q195" s="191"/>
      <c r="R195" s="159"/>
      <c r="T195" s="146"/>
      <c r="U195" s="183"/>
      <c r="V195" s="676"/>
      <c r="W195" s="627"/>
      <c r="X195" s="627"/>
      <c r="Y195" s="627"/>
      <c r="Z195" s="627"/>
      <c r="AA195" s="627"/>
      <c r="AB195" s="627"/>
      <c r="AC195" s="627"/>
      <c r="AD195" s="627"/>
      <c r="AE195" s="627"/>
      <c r="AF195" s="627"/>
      <c r="AG195" s="627"/>
      <c r="AH195" s="627"/>
      <c r="AI195" s="191"/>
      <c r="AJ195" s="159"/>
      <c r="AL195" s="196">
        <f>'[1]100.Motherdata'!BB65</f>
        <v>0</v>
      </c>
      <c r="AM195" s="196"/>
      <c r="AN195" s="196"/>
      <c r="AO195" s="196"/>
      <c r="AP195" s="197"/>
      <c r="AQ195" s="196"/>
      <c r="AR195" s="196"/>
      <c r="AS195" s="196"/>
      <c r="AT195" s="196"/>
    </row>
    <row r="196" spans="2:46" ht="20.149999999999999" customHeight="1">
      <c r="B196" s="146"/>
      <c r="C196" s="183"/>
      <c r="D196" s="676" t="s">
        <v>100</v>
      </c>
      <c r="E196" s="708"/>
      <c r="F196" s="708"/>
      <c r="G196" s="708"/>
      <c r="H196" s="708"/>
      <c r="I196" s="708"/>
      <c r="J196" s="708"/>
      <c r="K196" s="708"/>
      <c r="L196" s="708"/>
      <c r="M196" s="708"/>
      <c r="N196" s="708"/>
      <c r="O196" s="708"/>
      <c r="P196" s="708"/>
      <c r="Q196" s="191"/>
      <c r="R196" s="159"/>
      <c r="T196" s="146"/>
      <c r="U196" s="183"/>
      <c r="V196" s="676" t="s">
        <v>100</v>
      </c>
      <c r="W196" s="627" t="str">
        <f>AA57</f>
        <v>3.5m wide private way</v>
      </c>
      <c r="X196" s="627"/>
      <c r="Y196" s="627"/>
      <c r="Z196" s="627"/>
      <c r="AA196" s="627"/>
      <c r="AB196" s="627"/>
      <c r="AC196" s="627"/>
      <c r="AD196" s="627"/>
      <c r="AE196" s="627"/>
      <c r="AF196" s="627"/>
      <c r="AG196" s="627"/>
      <c r="AH196" s="627"/>
      <c r="AI196" s="191"/>
      <c r="AJ196" s="159"/>
      <c r="AL196" s="196"/>
      <c r="AM196" s="196"/>
      <c r="AN196" s="196"/>
      <c r="AO196" s="196"/>
      <c r="AP196" s="197"/>
      <c r="AQ196" s="196"/>
      <c r="AR196" s="196"/>
      <c r="AS196" s="196"/>
      <c r="AT196" s="196"/>
    </row>
    <row r="197" spans="2:46" ht="20.149999999999999" customHeight="1">
      <c r="B197" s="146"/>
      <c r="C197" s="183"/>
      <c r="D197" s="676"/>
      <c r="E197" s="708"/>
      <c r="F197" s="708"/>
      <c r="G197" s="708"/>
      <c r="H197" s="708"/>
      <c r="I197" s="708"/>
      <c r="J197" s="709"/>
      <c r="K197" s="709"/>
      <c r="L197" s="709"/>
      <c r="M197" s="709"/>
      <c r="N197" s="709"/>
      <c r="O197" s="709"/>
      <c r="P197" s="709"/>
      <c r="Q197" s="191"/>
      <c r="R197" s="159"/>
      <c r="T197" s="146"/>
      <c r="U197" s="183"/>
      <c r="V197" s="676"/>
      <c r="W197" s="627"/>
      <c r="X197" s="627"/>
      <c r="Y197" s="627"/>
      <c r="Z197" s="627"/>
      <c r="AA197" s="627"/>
      <c r="AB197" s="627"/>
      <c r="AC197" s="627"/>
      <c r="AD197" s="627"/>
      <c r="AE197" s="627"/>
      <c r="AF197" s="627"/>
      <c r="AG197" s="627"/>
      <c r="AH197" s="627"/>
      <c r="AI197" s="191"/>
      <c r="AJ197" s="159"/>
      <c r="AL197" s="196"/>
      <c r="AM197" s="196"/>
      <c r="AN197" s="196"/>
      <c r="AO197" s="196"/>
      <c r="AP197" s="197"/>
      <c r="AQ197" s="196"/>
      <c r="AR197" s="196"/>
      <c r="AS197" s="196"/>
      <c r="AT197" s="196"/>
    </row>
    <row r="198" spans="2:46" ht="20.149999999999999" customHeight="1">
      <c r="B198" s="146"/>
      <c r="C198" s="183"/>
      <c r="D198" s="704" t="s">
        <v>547</v>
      </c>
      <c r="E198" s="704"/>
      <c r="F198" s="704"/>
      <c r="G198" s="704"/>
      <c r="H198" s="704"/>
      <c r="I198" s="705"/>
      <c r="J198" s="685" t="s">
        <v>548</v>
      </c>
      <c r="K198" s="685"/>
      <c r="L198" s="685"/>
      <c r="M198" s="685"/>
      <c r="N198" s="685"/>
      <c r="O198" s="685"/>
      <c r="P198" s="685"/>
      <c r="Q198" s="191"/>
      <c r="R198" s="159"/>
      <c r="T198" s="146"/>
      <c r="U198" s="183"/>
      <c r="V198" s="704" t="s">
        <v>547</v>
      </c>
      <c r="W198" s="704"/>
      <c r="X198" s="704"/>
      <c r="Y198" s="704"/>
      <c r="Z198" s="704"/>
      <c r="AA198" s="704"/>
      <c r="AB198" s="687" t="str">
        <f>J198</f>
        <v>Resale</v>
      </c>
      <c r="AC198" s="687"/>
      <c r="AD198" s="687"/>
      <c r="AE198" s="687"/>
      <c r="AF198" s="687"/>
      <c r="AG198" s="687"/>
      <c r="AH198" s="687"/>
      <c r="AI198" s="191"/>
      <c r="AJ198" s="159"/>
      <c r="AL198" s="196"/>
      <c r="AM198" s="196"/>
      <c r="AN198" s="196"/>
      <c r="AO198" s="196"/>
      <c r="AP198" s="197"/>
      <c r="AQ198" s="196"/>
      <c r="AR198" s="196"/>
      <c r="AS198" s="196"/>
      <c r="AT198" s="196"/>
    </row>
    <row r="199" spans="2:46" ht="20.149999999999999" customHeight="1">
      <c r="B199" s="146"/>
      <c r="C199" s="183"/>
      <c r="D199" s="706" t="s">
        <v>549</v>
      </c>
      <c r="E199" s="706"/>
      <c r="F199" s="706"/>
      <c r="G199" s="706"/>
      <c r="H199" s="706"/>
      <c r="I199" s="707"/>
      <c r="J199" s="685" t="s">
        <v>550</v>
      </c>
      <c r="K199" s="685"/>
      <c r="L199" s="685"/>
      <c r="M199" s="685"/>
      <c r="N199" s="685"/>
      <c r="O199" s="685"/>
      <c r="P199" s="685"/>
      <c r="Q199" s="191"/>
      <c r="R199" s="159"/>
      <c r="T199" s="146"/>
      <c r="U199" s="183"/>
      <c r="V199" s="706" t="s">
        <v>549</v>
      </c>
      <c r="W199" s="706"/>
      <c r="X199" s="706"/>
      <c r="Y199" s="706"/>
      <c r="Z199" s="706"/>
      <c r="AA199" s="706"/>
      <c r="AB199" s="687" t="str">
        <f t="shared" ref="AB199:AB209" si="13">J199</f>
        <v>Completed</v>
      </c>
      <c r="AC199" s="687"/>
      <c r="AD199" s="687"/>
      <c r="AE199" s="687"/>
      <c r="AF199" s="687"/>
      <c r="AG199" s="687"/>
      <c r="AH199" s="687"/>
      <c r="AI199" s="191"/>
      <c r="AJ199" s="159"/>
      <c r="AL199" s="196"/>
      <c r="AM199" s="196"/>
      <c r="AN199" s="196"/>
      <c r="AO199" s="196"/>
      <c r="AP199" s="197"/>
      <c r="AQ199" s="196"/>
      <c r="AR199" s="196"/>
      <c r="AS199" s="196"/>
      <c r="AT199" s="196"/>
    </row>
    <row r="200" spans="2:46" ht="20.149999999999999" customHeight="1">
      <c r="B200" s="146"/>
      <c r="C200" s="183"/>
      <c r="D200" s="702" t="s">
        <v>551</v>
      </c>
      <c r="E200" s="702"/>
      <c r="F200" s="702"/>
      <c r="G200" s="702"/>
      <c r="H200" s="702"/>
      <c r="I200" s="703"/>
      <c r="J200" s="685" t="s">
        <v>212</v>
      </c>
      <c r="K200" s="685"/>
      <c r="L200" s="685"/>
      <c r="M200" s="685"/>
      <c r="N200" s="685"/>
      <c r="O200" s="685"/>
      <c r="P200" s="685"/>
      <c r="Q200" s="191"/>
      <c r="R200" s="159"/>
      <c r="T200" s="146"/>
      <c r="U200" s="183"/>
      <c r="V200" s="702" t="s">
        <v>551</v>
      </c>
      <c r="W200" s="702"/>
      <c r="X200" s="702"/>
      <c r="Y200" s="702"/>
      <c r="Z200" s="702"/>
      <c r="AA200" s="702"/>
      <c r="AB200" s="687" t="str">
        <f t="shared" si="13"/>
        <v>NA</v>
      </c>
      <c r="AC200" s="687"/>
      <c r="AD200" s="687"/>
      <c r="AE200" s="687"/>
      <c r="AF200" s="687"/>
      <c r="AG200" s="687"/>
      <c r="AH200" s="687"/>
      <c r="AI200" s="191"/>
      <c r="AJ200" s="159"/>
      <c r="AL200" s="196"/>
      <c r="AM200" s="196"/>
      <c r="AN200" s="196"/>
      <c r="AO200" s="196"/>
      <c r="AP200" s="197"/>
      <c r="AQ200" s="196"/>
      <c r="AR200" s="196"/>
      <c r="AS200" s="196"/>
      <c r="AT200" s="196"/>
    </row>
    <row r="201" spans="2:46" ht="20.149999999999999" customHeight="1">
      <c r="B201" s="146"/>
      <c r="C201" s="183"/>
      <c r="D201" s="702" t="s">
        <v>552</v>
      </c>
      <c r="E201" s="702"/>
      <c r="F201" s="702"/>
      <c r="G201" s="702"/>
      <c r="H201" s="702"/>
      <c r="I201" s="703"/>
      <c r="J201" s="685" t="s">
        <v>540</v>
      </c>
      <c r="K201" s="685"/>
      <c r="L201" s="685"/>
      <c r="M201" s="685"/>
      <c r="N201" s="685"/>
      <c r="O201" s="685"/>
      <c r="P201" s="685"/>
      <c r="Q201" s="191"/>
      <c r="R201" s="159"/>
      <c r="T201" s="146"/>
      <c r="U201" s="183"/>
      <c r="V201" s="702" t="s">
        <v>552</v>
      </c>
      <c r="W201" s="702"/>
      <c r="X201" s="702"/>
      <c r="Y201" s="702"/>
      <c r="Z201" s="702"/>
      <c r="AA201" s="702"/>
      <c r="AB201" s="687" t="str">
        <f t="shared" si="13"/>
        <v>YES</v>
      </c>
      <c r="AC201" s="687"/>
      <c r="AD201" s="687"/>
      <c r="AE201" s="687"/>
      <c r="AF201" s="687"/>
      <c r="AG201" s="687"/>
      <c r="AH201" s="687"/>
      <c r="AI201" s="191"/>
      <c r="AJ201" s="159"/>
      <c r="AL201" s="196"/>
      <c r="AM201" s="196"/>
      <c r="AN201" s="196"/>
      <c r="AO201" s="196"/>
      <c r="AP201" s="197"/>
      <c r="AQ201" s="196"/>
      <c r="AR201" s="196"/>
      <c r="AS201" s="196"/>
      <c r="AT201" s="196"/>
    </row>
    <row r="202" spans="2:46" ht="20.149999999999999" customHeight="1">
      <c r="B202" s="146"/>
      <c r="C202" s="183"/>
      <c r="D202" s="702" t="s">
        <v>553</v>
      </c>
      <c r="E202" s="702"/>
      <c r="F202" s="702"/>
      <c r="G202" s="702"/>
      <c r="H202" s="702"/>
      <c r="I202" s="703"/>
      <c r="J202" s="685" t="s">
        <v>554</v>
      </c>
      <c r="K202" s="685"/>
      <c r="L202" s="685"/>
      <c r="M202" s="685"/>
      <c r="N202" s="685"/>
      <c r="O202" s="685"/>
      <c r="P202" s="685"/>
      <c r="Q202" s="191"/>
      <c r="R202" s="159"/>
      <c r="T202" s="146"/>
      <c r="U202" s="183"/>
      <c r="V202" s="702" t="s">
        <v>553</v>
      </c>
      <c r="W202" s="702"/>
      <c r="X202" s="702"/>
      <c r="Y202" s="702"/>
      <c r="Z202" s="702"/>
      <c r="AA202" s="702"/>
      <c r="AB202" s="687" t="str">
        <f t="shared" si="13"/>
        <v>Average</v>
      </c>
      <c r="AC202" s="687"/>
      <c r="AD202" s="687"/>
      <c r="AE202" s="687"/>
      <c r="AF202" s="687"/>
      <c r="AG202" s="687"/>
      <c r="AH202" s="687"/>
      <c r="AI202" s="191"/>
      <c r="AJ202" s="159"/>
      <c r="AL202" s="196"/>
      <c r="AM202" s="196"/>
      <c r="AN202" s="196"/>
      <c r="AO202" s="196"/>
      <c r="AP202" s="197"/>
      <c r="AQ202" s="196"/>
      <c r="AR202" s="196"/>
      <c r="AS202" s="196"/>
      <c r="AT202" s="196"/>
    </row>
    <row r="203" spans="2:46" ht="20.149999999999999" customHeight="1">
      <c r="B203" s="146"/>
      <c r="C203" s="183"/>
      <c r="D203" s="425" t="s">
        <v>555</v>
      </c>
      <c r="E203" s="425"/>
      <c r="F203" s="425"/>
      <c r="G203" s="425"/>
      <c r="H203" s="425"/>
      <c r="I203" s="701"/>
      <c r="J203" s="685"/>
      <c r="K203" s="685"/>
      <c r="L203" s="685"/>
      <c r="M203" s="685"/>
      <c r="N203" s="685"/>
      <c r="O203" s="685"/>
      <c r="P203" s="685"/>
      <c r="Q203" s="191"/>
      <c r="R203" s="159"/>
      <c r="T203" s="146"/>
      <c r="U203" s="183"/>
      <c r="V203" s="425" t="s">
        <v>555</v>
      </c>
      <c r="W203" s="425"/>
      <c r="X203" s="425"/>
      <c r="Y203" s="425"/>
      <c r="Z203" s="425"/>
      <c r="AA203" s="425"/>
      <c r="AB203" s="687">
        <f t="shared" si="13"/>
        <v>0</v>
      </c>
      <c r="AC203" s="687"/>
      <c r="AD203" s="687"/>
      <c r="AE203" s="687"/>
      <c r="AF203" s="687"/>
      <c r="AG203" s="687"/>
      <c r="AH203" s="687"/>
      <c r="AI203" s="191"/>
      <c r="AJ203" s="159"/>
      <c r="AL203" s="196"/>
      <c r="AM203" s="196"/>
      <c r="AN203" s="196"/>
      <c r="AO203" s="196"/>
      <c r="AP203" s="197"/>
      <c r="AQ203" s="196"/>
      <c r="AR203" s="196"/>
      <c r="AS203" s="196"/>
      <c r="AT203" s="196"/>
    </row>
    <row r="204" spans="2:46" ht="20.149999999999999" customHeight="1">
      <c r="B204" s="146"/>
      <c r="C204" s="183"/>
      <c r="D204" s="691" t="s">
        <v>556</v>
      </c>
      <c r="E204" s="691"/>
      <c r="F204" s="691"/>
      <c r="G204" s="691"/>
      <c r="H204" s="691"/>
      <c r="I204" s="683"/>
      <c r="J204" s="685" t="s">
        <v>557</v>
      </c>
      <c r="K204" s="685"/>
      <c r="L204" s="685"/>
      <c r="M204" s="685"/>
      <c r="N204" s="685"/>
      <c r="O204" s="685"/>
      <c r="P204" s="685"/>
      <c r="Q204" s="191"/>
      <c r="R204" s="159"/>
      <c r="T204" s="146"/>
      <c r="U204" s="183"/>
      <c r="V204" s="691" t="s">
        <v>556</v>
      </c>
      <c r="W204" s="691"/>
      <c r="X204" s="691"/>
      <c r="Y204" s="691"/>
      <c r="Z204" s="691"/>
      <c r="AA204" s="691"/>
      <c r="AB204" s="687" t="str">
        <f t="shared" si="13"/>
        <v>Private Road</v>
      </c>
      <c r="AC204" s="687"/>
      <c r="AD204" s="687"/>
      <c r="AE204" s="687"/>
      <c r="AF204" s="687"/>
      <c r="AG204" s="687"/>
      <c r="AH204" s="687"/>
      <c r="AI204" s="191"/>
      <c r="AJ204" s="159"/>
      <c r="AL204" s="196"/>
      <c r="AM204" s="196"/>
      <c r="AN204" s="196"/>
      <c r="AO204" s="196"/>
      <c r="AP204" s="197"/>
      <c r="AQ204" s="196"/>
      <c r="AR204" s="196"/>
      <c r="AS204" s="196"/>
      <c r="AT204" s="196"/>
    </row>
    <row r="205" spans="2:46" ht="20.149999999999999" customHeight="1">
      <c r="B205" s="146"/>
      <c r="C205" s="183"/>
      <c r="D205" s="691" t="s">
        <v>558</v>
      </c>
      <c r="E205" s="691"/>
      <c r="F205" s="691"/>
      <c r="G205" s="691"/>
      <c r="H205" s="691"/>
      <c r="I205" s="683"/>
      <c r="J205" s="685" t="s">
        <v>559</v>
      </c>
      <c r="K205" s="685"/>
      <c r="L205" s="685"/>
      <c r="M205" s="685"/>
      <c r="N205" s="685"/>
      <c r="O205" s="685"/>
      <c r="P205" s="685"/>
      <c r="Q205" s="191"/>
      <c r="R205" s="159"/>
      <c r="T205" s="146"/>
      <c r="U205" s="183"/>
      <c r="V205" s="691" t="s">
        <v>558</v>
      </c>
      <c r="W205" s="691"/>
      <c r="X205" s="691"/>
      <c r="Y205" s="691"/>
      <c r="Z205" s="691"/>
      <c r="AA205" s="691"/>
      <c r="AB205" s="687" t="str">
        <f t="shared" si="13"/>
        <v>Mud Road</v>
      </c>
      <c r="AC205" s="687"/>
      <c r="AD205" s="687"/>
      <c r="AE205" s="687"/>
      <c r="AF205" s="687"/>
      <c r="AG205" s="687"/>
      <c r="AH205" s="687"/>
      <c r="AI205" s="191"/>
      <c r="AJ205" s="159"/>
      <c r="AL205" s="196"/>
      <c r="AM205" s="196"/>
      <c r="AN205" s="196"/>
      <c r="AO205" s="196"/>
      <c r="AP205" s="197"/>
      <c r="AQ205" s="196"/>
      <c r="AR205" s="196"/>
      <c r="AS205" s="196"/>
      <c r="AT205" s="196"/>
    </row>
    <row r="206" spans="2:46" ht="20.149999999999999" customHeight="1">
      <c r="B206" s="146"/>
      <c r="C206" s="183"/>
      <c r="D206" s="691" t="s">
        <v>560</v>
      </c>
      <c r="E206" s="691"/>
      <c r="F206" s="691"/>
      <c r="G206" s="691"/>
      <c r="H206" s="691"/>
      <c r="I206" s="683"/>
      <c r="J206" s="685" t="s">
        <v>561</v>
      </c>
      <c r="K206" s="685"/>
      <c r="L206" s="685"/>
      <c r="M206" s="685"/>
      <c r="N206" s="685"/>
      <c r="O206" s="685"/>
      <c r="P206" s="685"/>
      <c r="Q206" s="191"/>
      <c r="R206" s="159"/>
      <c r="T206" s="146"/>
      <c r="U206" s="183"/>
      <c r="V206" s="691" t="s">
        <v>560</v>
      </c>
      <c r="W206" s="691"/>
      <c r="X206" s="691"/>
      <c r="Y206" s="691"/>
      <c r="Z206" s="691"/>
      <c r="AA206" s="691"/>
      <c r="AB206" s="687" t="str">
        <f t="shared" si="13"/>
        <v>4-Wheeler</v>
      </c>
      <c r="AC206" s="687"/>
      <c r="AD206" s="687"/>
      <c r="AE206" s="687"/>
      <c r="AF206" s="687"/>
      <c r="AG206" s="687"/>
      <c r="AH206" s="687"/>
      <c r="AI206" s="191"/>
      <c r="AJ206" s="159"/>
      <c r="AL206" s="204"/>
      <c r="AM206" s="204"/>
      <c r="AN206" s="204"/>
      <c r="AO206" s="204"/>
      <c r="AP206" s="206"/>
      <c r="AQ206" s="204"/>
      <c r="AR206" s="204"/>
      <c r="AS206" s="204"/>
      <c r="AT206" s="204"/>
    </row>
    <row r="207" spans="2:46" ht="20.149999999999999" customHeight="1">
      <c r="B207" s="146"/>
      <c r="C207" s="183"/>
      <c r="D207" s="691" t="s">
        <v>562</v>
      </c>
      <c r="E207" s="691"/>
      <c r="F207" s="691"/>
      <c r="G207" s="691"/>
      <c r="H207" s="691"/>
      <c r="I207" s="683"/>
      <c r="J207" s="685" t="s">
        <v>563</v>
      </c>
      <c r="K207" s="685"/>
      <c r="L207" s="685"/>
      <c r="M207" s="685"/>
      <c r="N207" s="685"/>
      <c r="O207" s="685"/>
      <c r="P207" s="685"/>
      <c r="Q207" s="191"/>
      <c r="R207" s="159"/>
      <c r="T207" s="146"/>
      <c r="U207" s="183"/>
      <c r="V207" s="691" t="s">
        <v>562</v>
      </c>
      <c r="W207" s="691"/>
      <c r="X207" s="691"/>
      <c r="Y207" s="691"/>
      <c r="Z207" s="691"/>
      <c r="AA207" s="691"/>
      <c r="AB207" s="687" t="str">
        <f t="shared" si="13"/>
        <v>3.5m</v>
      </c>
      <c r="AC207" s="687"/>
      <c r="AD207" s="687"/>
      <c r="AE207" s="687"/>
      <c r="AF207" s="687"/>
      <c r="AG207" s="687"/>
      <c r="AH207" s="687"/>
      <c r="AI207" s="191"/>
      <c r="AJ207" s="159"/>
      <c r="AL207" s="196"/>
      <c r="AM207" s="196"/>
      <c r="AN207" s="196"/>
      <c r="AO207" s="196"/>
      <c r="AP207" s="197"/>
      <c r="AQ207" s="196"/>
      <c r="AR207" s="196"/>
      <c r="AS207" s="196"/>
      <c r="AT207" s="196"/>
    </row>
    <row r="208" spans="2:46" ht="20.149999999999999" customHeight="1">
      <c r="B208" s="146"/>
      <c r="C208" s="183"/>
      <c r="D208" s="691" t="s">
        <v>564</v>
      </c>
      <c r="E208" s="691"/>
      <c r="F208" s="691"/>
      <c r="G208" s="691"/>
      <c r="H208" s="691"/>
      <c r="I208" s="683"/>
      <c r="J208" s="685" t="s">
        <v>554</v>
      </c>
      <c r="K208" s="685"/>
      <c r="L208" s="685"/>
      <c r="M208" s="685"/>
      <c r="N208" s="685"/>
      <c r="O208" s="685"/>
      <c r="P208" s="685"/>
      <c r="Q208" s="191"/>
      <c r="R208" s="159"/>
      <c r="T208" s="146"/>
      <c r="U208" s="183"/>
      <c r="V208" s="691" t="s">
        <v>564</v>
      </c>
      <c r="W208" s="691"/>
      <c r="X208" s="691"/>
      <c r="Y208" s="691"/>
      <c r="Z208" s="691"/>
      <c r="AA208" s="691"/>
      <c r="AB208" s="687" t="str">
        <f t="shared" si="13"/>
        <v>Average</v>
      </c>
      <c r="AC208" s="687"/>
      <c r="AD208" s="687"/>
      <c r="AE208" s="687"/>
      <c r="AF208" s="687"/>
      <c r="AG208" s="687"/>
      <c r="AH208" s="687"/>
      <c r="AI208" s="191"/>
      <c r="AJ208" s="159"/>
      <c r="AL208" s="205"/>
      <c r="AM208" s="205"/>
      <c r="AN208" s="205"/>
      <c r="AO208" s="689"/>
      <c r="AP208" s="689"/>
      <c r="AQ208" s="689"/>
      <c r="AR208" s="205"/>
      <c r="AS208" s="205"/>
      <c r="AT208" s="205"/>
    </row>
    <row r="209" spans="2:46" ht="20.149999999999999" customHeight="1">
      <c r="B209" s="173"/>
      <c r="C209" s="198"/>
      <c r="D209" s="424" t="s">
        <v>565</v>
      </c>
      <c r="E209" s="424"/>
      <c r="F209" s="424"/>
      <c r="G209" s="424"/>
      <c r="H209" s="424"/>
      <c r="I209" s="625"/>
      <c r="J209" s="685" t="s">
        <v>491</v>
      </c>
      <c r="K209" s="685"/>
      <c r="L209" s="685"/>
      <c r="M209" s="685"/>
      <c r="N209" s="685"/>
      <c r="O209" s="685"/>
      <c r="P209" s="685"/>
      <c r="Q209" s="202"/>
      <c r="R209" s="179"/>
      <c r="S209" s="180"/>
      <c r="T209" s="173"/>
      <c r="U209" s="198"/>
      <c r="V209" s="424" t="s">
        <v>565</v>
      </c>
      <c r="W209" s="424"/>
      <c r="X209" s="424"/>
      <c r="Y209" s="424"/>
      <c r="Z209" s="424"/>
      <c r="AA209" s="424"/>
      <c r="AB209" s="692" t="str">
        <f t="shared" si="13"/>
        <v>NO</v>
      </c>
      <c r="AC209" s="693"/>
      <c r="AD209" s="693"/>
      <c r="AE209" s="693"/>
      <c r="AF209" s="693"/>
      <c r="AG209" s="693"/>
      <c r="AH209" s="694"/>
      <c r="AI209" s="202"/>
      <c r="AJ209" s="179"/>
      <c r="AL209" s="690"/>
      <c r="AM209" s="690"/>
      <c r="AN209" s="690"/>
      <c r="AO209" s="690"/>
      <c r="AP209" s="690"/>
      <c r="AQ209" s="690"/>
      <c r="AR209" s="690"/>
      <c r="AS209" s="690"/>
      <c r="AT209" s="690"/>
    </row>
    <row r="210" spans="2:46" ht="20.149999999999999" customHeight="1">
      <c r="B210" s="146"/>
      <c r="C210" s="183"/>
      <c r="D210" s="424"/>
      <c r="E210" s="424"/>
      <c r="F210" s="424"/>
      <c r="G210" s="424"/>
      <c r="H210" s="424"/>
      <c r="I210" s="625"/>
      <c r="J210" s="685"/>
      <c r="K210" s="685"/>
      <c r="L210" s="685"/>
      <c r="M210" s="685"/>
      <c r="N210" s="685"/>
      <c r="O210" s="685"/>
      <c r="P210" s="685"/>
      <c r="Q210" s="191"/>
      <c r="R210" s="159"/>
      <c r="T210" s="146"/>
      <c r="U210" s="183"/>
      <c r="V210" s="424"/>
      <c r="W210" s="424"/>
      <c r="X210" s="424"/>
      <c r="Y210" s="424"/>
      <c r="Z210" s="424"/>
      <c r="AA210" s="424"/>
      <c r="AB210" s="695"/>
      <c r="AC210" s="696"/>
      <c r="AD210" s="696"/>
      <c r="AE210" s="696"/>
      <c r="AF210" s="696"/>
      <c r="AG210" s="696"/>
      <c r="AH210" s="697"/>
      <c r="AI210" s="191"/>
      <c r="AJ210" s="159"/>
      <c r="AL210" s="196"/>
      <c r="AM210" s="196"/>
      <c r="AN210" s="196"/>
      <c r="AO210" s="196"/>
      <c r="AP210" s="197"/>
      <c r="AQ210" s="196"/>
      <c r="AR210" s="196"/>
      <c r="AS210" s="196"/>
      <c r="AT210" s="196"/>
    </row>
    <row r="211" spans="2:46" ht="20.149999999999999" customHeight="1">
      <c r="B211" s="146"/>
      <c r="C211" s="183"/>
      <c r="D211" s="607" t="s">
        <v>566</v>
      </c>
      <c r="E211" s="608"/>
      <c r="F211" s="608"/>
      <c r="G211" s="608"/>
      <c r="H211" s="608"/>
      <c r="I211" s="608"/>
      <c r="J211" s="685" t="s">
        <v>567</v>
      </c>
      <c r="K211" s="685"/>
      <c r="L211" s="685"/>
      <c r="M211" s="685"/>
      <c r="N211" s="685"/>
      <c r="O211" s="685"/>
      <c r="P211" s="685"/>
      <c r="Q211" s="191"/>
      <c r="R211" s="159"/>
      <c r="T211" s="146"/>
      <c r="U211" s="183"/>
      <c r="V211" s="607" t="s">
        <v>566</v>
      </c>
      <c r="W211" s="608"/>
      <c r="X211" s="608"/>
      <c r="Y211" s="608"/>
      <c r="Z211" s="608"/>
      <c r="AA211" s="609"/>
      <c r="AB211" s="692" t="str">
        <f>J211</f>
        <v>Direct Transaction</v>
      </c>
      <c r="AC211" s="693"/>
      <c r="AD211" s="693"/>
      <c r="AE211" s="693"/>
      <c r="AF211" s="693"/>
      <c r="AG211" s="693"/>
      <c r="AH211" s="694"/>
      <c r="AI211" s="191"/>
      <c r="AJ211" s="159"/>
      <c r="AL211" s="196"/>
      <c r="AM211" s="196"/>
      <c r="AN211" s="196"/>
      <c r="AO211" s="196"/>
      <c r="AP211" s="197"/>
      <c r="AQ211" s="196"/>
      <c r="AR211" s="196"/>
      <c r="AS211" s="196"/>
      <c r="AT211" s="196"/>
    </row>
    <row r="212" spans="2:46" ht="20.149999999999999" customHeight="1">
      <c r="B212" s="146"/>
      <c r="C212" s="183"/>
      <c r="D212" s="610"/>
      <c r="E212" s="611"/>
      <c r="F212" s="611"/>
      <c r="G212" s="611"/>
      <c r="H212" s="611"/>
      <c r="I212" s="611"/>
      <c r="J212" s="685"/>
      <c r="K212" s="685"/>
      <c r="L212" s="685"/>
      <c r="M212" s="685"/>
      <c r="N212" s="685"/>
      <c r="O212" s="685"/>
      <c r="P212" s="685"/>
      <c r="Q212" s="191"/>
      <c r="R212" s="159"/>
      <c r="T212" s="146"/>
      <c r="U212" s="183"/>
      <c r="V212" s="610"/>
      <c r="W212" s="611"/>
      <c r="X212" s="611"/>
      <c r="Y212" s="611"/>
      <c r="Z212" s="611"/>
      <c r="AA212" s="612"/>
      <c r="AB212" s="698"/>
      <c r="AC212" s="699"/>
      <c r="AD212" s="699"/>
      <c r="AE212" s="699"/>
      <c r="AF212" s="699"/>
      <c r="AG212" s="699"/>
      <c r="AH212" s="700"/>
      <c r="AI212" s="191"/>
      <c r="AJ212" s="159"/>
      <c r="AL212" s="196"/>
      <c r="AM212" s="196"/>
      <c r="AN212" s="196"/>
      <c r="AO212" s="196"/>
      <c r="AP212" s="197"/>
      <c r="AQ212" s="196"/>
      <c r="AR212" s="196"/>
      <c r="AS212" s="196"/>
      <c r="AT212" s="196"/>
    </row>
    <row r="213" spans="2:46" ht="20.149999999999999" customHeight="1">
      <c r="B213" s="146"/>
      <c r="C213" s="183"/>
      <c r="D213" s="613"/>
      <c r="E213" s="614"/>
      <c r="F213" s="614"/>
      <c r="G213" s="614"/>
      <c r="H213" s="614"/>
      <c r="I213" s="614"/>
      <c r="J213" s="685"/>
      <c r="K213" s="685"/>
      <c r="L213" s="685"/>
      <c r="M213" s="685"/>
      <c r="N213" s="685"/>
      <c r="O213" s="685"/>
      <c r="P213" s="685"/>
      <c r="Q213" s="191"/>
      <c r="R213" s="159"/>
      <c r="T213" s="146"/>
      <c r="U213" s="183"/>
      <c r="V213" s="613"/>
      <c r="W213" s="614"/>
      <c r="X213" s="614"/>
      <c r="Y213" s="614"/>
      <c r="Z213" s="614"/>
      <c r="AA213" s="615"/>
      <c r="AB213" s="695"/>
      <c r="AC213" s="696"/>
      <c r="AD213" s="696"/>
      <c r="AE213" s="696"/>
      <c r="AF213" s="696"/>
      <c r="AG213" s="696"/>
      <c r="AH213" s="697"/>
      <c r="AI213" s="191"/>
      <c r="AJ213" s="159"/>
      <c r="AL213" s="196">
        <f>'[1]100.Motherdata'!AJ65</f>
        <v>0</v>
      </c>
      <c r="AM213" s="196"/>
      <c r="AN213" s="196"/>
      <c r="AO213" s="196"/>
      <c r="AP213" s="197"/>
      <c r="AQ213" s="196"/>
      <c r="AR213" s="196"/>
      <c r="AS213" s="196"/>
      <c r="AT213" s="196"/>
    </row>
    <row r="214" spans="2:46" ht="20.149999999999999" customHeight="1">
      <c r="B214" s="146"/>
      <c r="C214" s="183"/>
      <c r="D214" s="607" t="s">
        <v>568</v>
      </c>
      <c r="E214" s="608"/>
      <c r="F214" s="608"/>
      <c r="G214" s="608"/>
      <c r="H214" s="608"/>
      <c r="I214" s="608"/>
      <c r="J214" s="685" t="s">
        <v>212</v>
      </c>
      <c r="K214" s="685"/>
      <c r="L214" s="685"/>
      <c r="M214" s="685"/>
      <c r="N214" s="685"/>
      <c r="O214" s="685"/>
      <c r="P214" s="685"/>
      <c r="Q214" s="191"/>
      <c r="R214" s="159"/>
      <c r="T214" s="146"/>
      <c r="U214" s="183"/>
      <c r="V214" s="607" t="s">
        <v>568</v>
      </c>
      <c r="W214" s="608"/>
      <c r="X214" s="608"/>
      <c r="Y214" s="608"/>
      <c r="Z214" s="608"/>
      <c r="AA214" s="609"/>
      <c r="AB214" s="692" t="str">
        <f>J214</f>
        <v>NA</v>
      </c>
      <c r="AC214" s="693"/>
      <c r="AD214" s="693"/>
      <c r="AE214" s="693"/>
      <c r="AF214" s="693"/>
      <c r="AG214" s="693"/>
      <c r="AH214" s="694"/>
      <c r="AI214" s="191"/>
      <c r="AJ214" s="159"/>
      <c r="AL214" s="196">
        <f>'[1]100.Motherdata'!AX65</f>
        <v>0</v>
      </c>
      <c r="AM214" s="196"/>
      <c r="AN214" s="196"/>
      <c r="AO214" s="196"/>
      <c r="AP214" s="197"/>
      <c r="AQ214" s="196"/>
      <c r="AR214" s="196"/>
      <c r="AS214" s="196"/>
      <c r="AT214" s="196"/>
    </row>
    <row r="215" spans="2:46" ht="20.149999999999999" customHeight="1">
      <c r="B215" s="146"/>
      <c r="C215" s="183"/>
      <c r="D215" s="613"/>
      <c r="E215" s="614"/>
      <c r="F215" s="614"/>
      <c r="G215" s="614"/>
      <c r="H215" s="614"/>
      <c r="I215" s="614"/>
      <c r="J215" s="685"/>
      <c r="K215" s="685"/>
      <c r="L215" s="685"/>
      <c r="M215" s="685"/>
      <c r="N215" s="685"/>
      <c r="O215" s="685"/>
      <c r="P215" s="685"/>
      <c r="Q215" s="191"/>
      <c r="R215" s="159"/>
      <c r="T215" s="146"/>
      <c r="U215" s="183"/>
      <c r="V215" s="613"/>
      <c r="W215" s="614"/>
      <c r="X215" s="614"/>
      <c r="Y215" s="614"/>
      <c r="Z215" s="614"/>
      <c r="AA215" s="615"/>
      <c r="AB215" s="695"/>
      <c r="AC215" s="696"/>
      <c r="AD215" s="696"/>
      <c r="AE215" s="696"/>
      <c r="AF215" s="696"/>
      <c r="AG215" s="696"/>
      <c r="AH215" s="697"/>
      <c r="AI215" s="191"/>
      <c r="AJ215" s="159"/>
      <c r="AL215" s="196"/>
      <c r="AM215" s="196"/>
      <c r="AN215" s="196"/>
      <c r="AO215" s="196"/>
      <c r="AP215" s="197"/>
      <c r="AQ215" s="196"/>
      <c r="AR215" s="196"/>
      <c r="AS215" s="196"/>
      <c r="AT215" s="196"/>
    </row>
    <row r="216" spans="2:46" ht="20.149999999999999" customHeight="1">
      <c r="B216" s="146"/>
      <c r="C216" s="183"/>
      <c r="D216" s="691" t="s">
        <v>569</v>
      </c>
      <c r="E216" s="691"/>
      <c r="F216" s="691"/>
      <c r="G216" s="691"/>
      <c r="H216" s="691"/>
      <c r="I216" s="683"/>
      <c r="J216" s="685" t="s">
        <v>212</v>
      </c>
      <c r="K216" s="685"/>
      <c r="L216" s="685"/>
      <c r="M216" s="685"/>
      <c r="N216" s="685"/>
      <c r="O216" s="685"/>
      <c r="P216" s="685"/>
      <c r="Q216" s="191"/>
      <c r="R216" s="159"/>
      <c r="T216" s="146"/>
      <c r="U216" s="183"/>
      <c r="V216" s="691" t="s">
        <v>569</v>
      </c>
      <c r="W216" s="691"/>
      <c r="X216" s="691"/>
      <c r="Y216" s="691"/>
      <c r="Z216" s="691"/>
      <c r="AA216" s="691"/>
      <c r="AB216" s="687" t="str">
        <f>J216</f>
        <v>NA</v>
      </c>
      <c r="AC216" s="687"/>
      <c r="AD216" s="687"/>
      <c r="AE216" s="687"/>
      <c r="AF216" s="687"/>
      <c r="AG216" s="687"/>
      <c r="AH216" s="687"/>
      <c r="AI216" s="191"/>
      <c r="AJ216" s="159"/>
      <c r="AL216" s="196"/>
      <c r="AM216" s="196"/>
      <c r="AN216" s="196"/>
      <c r="AO216" s="196"/>
      <c r="AP216" s="197"/>
      <c r="AQ216" s="196"/>
      <c r="AR216" s="196"/>
      <c r="AS216" s="196"/>
      <c r="AT216" s="196"/>
    </row>
    <row r="217" spans="2:46" ht="20.149999999999999" customHeight="1">
      <c r="B217" s="146"/>
      <c r="C217" s="183"/>
      <c r="D217" s="186" t="s">
        <v>570</v>
      </c>
      <c r="E217" s="186"/>
      <c r="F217" s="186"/>
      <c r="G217" s="186"/>
      <c r="H217" s="186"/>
      <c r="I217" s="187"/>
      <c r="J217" s="685" t="s">
        <v>571</v>
      </c>
      <c r="K217" s="685"/>
      <c r="L217" s="685"/>
      <c r="M217" s="685"/>
      <c r="N217" s="685"/>
      <c r="O217" s="685"/>
      <c r="P217" s="685"/>
      <c r="Q217" s="191"/>
      <c r="R217" s="159"/>
      <c r="T217" s="146"/>
      <c r="U217" s="183"/>
      <c r="V217" s="186" t="s">
        <v>570</v>
      </c>
      <c r="W217" s="186"/>
      <c r="X217" s="186"/>
      <c r="Y217" s="186"/>
      <c r="Z217" s="186"/>
      <c r="AA217" s="186"/>
      <c r="AB217" s="687" t="str">
        <f t="shared" ref="AB217:AB219" si="14">J217</f>
        <v>Residential</v>
      </c>
      <c r="AC217" s="687"/>
      <c r="AD217" s="687"/>
      <c r="AE217" s="687"/>
      <c r="AF217" s="687"/>
      <c r="AG217" s="687"/>
      <c r="AH217" s="687"/>
      <c r="AI217" s="191"/>
      <c r="AJ217" s="159"/>
      <c r="AL217" s="196"/>
      <c r="AM217" s="196"/>
      <c r="AN217" s="196"/>
      <c r="AO217" s="196"/>
      <c r="AP217" s="197"/>
      <c r="AQ217" s="196"/>
      <c r="AR217" s="196"/>
      <c r="AS217" s="196"/>
      <c r="AT217" s="196"/>
    </row>
    <row r="218" spans="2:46" ht="20.149999999999999" customHeight="1">
      <c r="B218" s="146"/>
      <c r="C218" s="183"/>
      <c r="D218" s="186" t="s">
        <v>572</v>
      </c>
      <c r="E218" s="186"/>
      <c r="F218" s="186"/>
      <c r="G218" s="186"/>
      <c r="H218" s="186"/>
      <c r="I218" s="187"/>
      <c r="J218" s="685" t="s">
        <v>573</v>
      </c>
      <c r="K218" s="685"/>
      <c r="L218" s="685"/>
      <c r="M218" s="685"/>
      <c r="N218" s="685"/>
      <c r="O218" s="685"/>
      <c r="P218" s="685"/>
      <c r="Q218" s="191"/>
      <c r="R218" s="159"/>
      <c r="T218" s="146"/>
      <c r="U218" s="183"/>
      <c r="V218" s="186" t="s">
        <v>572</v>
      </c>
      <c r="W218" s="186"/>
      <c r="X218" s="186"/>
      <c r="Y218" s="186"/>
      <c r="Z218" s="186"/>
      <c r="AA218" s="186"/>
      <c r="AB218" s="687" t="str">
        <f t="shared" si="14"/>
        <v>Medium</v>
      </c>
      <c r="AC218" s="687"/>
      <c r="AD218" s="687"/>
      <c r="AE218" s="687"/>
      <c r="AF218" s="687"/>
      <c r="AG218" s="687"/>
      <c r="AH218" s="687"/>
      <c r="AI218" s="191"/>
      <c r="AJ218" s="159"/>
      <c r="AL218" s="196"/>
      <c r="AM218" s="196"/>
      <c r="AN218" s="196"/>
      <c r="AO218" s="196"/>
      <c r="AP218" s="197"/>
      <c r="AQ218" s="196"/>
      <c r="AR218" s="196"/>
      <c r="AS218" s="196"/>
      <c r="AT218" s="196"/>
    </row>
    <row r="219" spans="2:46" ht="20.149999999999999" customHeight="1">
      <c r="B219" s="146"/>
      <c r="C219" s="183"/>
      <c r="D219" s="683" t="s">
        <v>574</v>
      </c>
      <c r="E219" s="684"/>
      <c r="F219" s="684"/>
      <c r="G219" s="684"/>
      <c r="H219" s="684"/>
      <c r="I219" s="684"/>
      <c r="J219" s="685" t="s">
        <v>573</v>
      </c>
      <c r="K219" s="685"/>
      <c r="L219" s="685"/>
      <c r="M219" s="685"/>
      <c r="N219" s="685"/>
      <c r="O219" s="685"/>
      <c r="P219" s="685"/>
      <c r="Q219" s="191"/>
      <c r="R219" s="159"/>
      <c r="T219" s="146"/>
      <c r="U219" s="183"/>
      <c r="V219" s="683" t="s">
        <v>574</v>
      </c>
      <c r="W219" s="684"/>
      <c r="X219" s="684"/>
      <c r="Y219" s="684"/>
      <c r="Z219" s="684"/>
      <c r="AA219" s="686"/>
      <c r="AB219" s="687" t="str">
        <f t="shared" si="14"/>
        <v>Medium</v>
      </c>
      <c r="AC219" s="687"/>
      <c r="AD219" s="687"/>
      <c r="AE219" s="687"/>
      <c r="AF219" s="687"/>
      <c r="AG219" s="687"/>
      <c r="AH219" s="687"/>
      <c r="AI219" s="191"/>
      <c r="AJ219" s="159"/>
      <c r="AL219" s="196"/>
      <c r="AM219" s="196"/>
      <c r="AN219" s="196"/>
      <c r="AO219" s="196"/>
      <c r="AP219" s="197"/>
      <c r="AQ219" s="196"/>
      <c r="AR219" s="196"/>
      <c r="AS219" s="196"/>
      <c r="AT219" s="196"/>
    </row>
    <row r="220" spans="2:46" ht="20.149999999999999" customHeight="1">
      <c r="B220" s="146"/>
      <c r="C220" s="183"/>
      <c r="D220" s="199"/>
      <c r="E220" s="199"/>
      <c r="F220" s="199"/>
      <c r="G220" s="199"/>
      <c r="H220" s="199"/>
      <c r="I220" s="199"/>
      <c r="J220" s="201"/>
      <c r="K220" s="201"/>
      <c r="L220" s="201"/>
      <c r="M220" s="201"/>
      <c r="N220" s="201"/>
      <c r="O220" s="201"/>
      <c r="P220" s="201"/>
      <c r="Q220" s="191"/>
      <c r="R220" s="159"/>
      <c r="T220" s="146"/>
      <c r="U220" s="183"/>
      <c r="V220" s="199"/>
      <c r="W220" s="199"/>
      <c r="X220" s="199"/>
      <c r="Y220" s="199"/>
      <c r="Z220" s="199"/>
      <c r="AA220" s="199"/>
      <c r="AB220" s="203"/>
      <c r="AC220" s="203"/>
      <c r="AD220" s="203"/>
      <c r="AE220" s="203"/>
      <c r="AF220" s="203"/>
      <c r="AG220" s="203"/>
      <c r="AH220" s="203"/>
      <c r="AI220" s="191"/>
      <c r="AJ220" s="159"/>
      <c r="AL220" s="196"/>
      <c r="AM220" s="196"/>
      <c r="AN220" s="196"/>
      <c r="AO220" s="196"/>
      <c r="AP220" s="197"/>
      <c r="AQ220" s="196"/>
      <c r="AR220" s="196"/>
      <c r="AS220" s="196"/>
      <c r="AT220" s="196"/>
    </row>
    <row r="221" spans="2:46" ht="20.149999999999999" customHeight="1">
      <c r="B221" s="146"/>
      <c r="C221" s="183"/>
      <c r="D221" s="191"/>
      <c r="E221" s="191"/>
      <c r="F221" s="191"/>
      <c r="G221" s="191"/>
      <c r="H221" s="200"/>
      <c r="I221" s="191"/>
      <c r="J221" s="191"/>
      <c r="K221" s="191"/>
      <c r="L221" s="191"/>
      <c r="M221" s="191"/>
      <c r="N221" s="191"/>
      <c r="O221" s="191"/>
      <c r="P221" s="171"/>
      <c r="Q221" s="191"/>
      <c r="R221" s="159"/>
      <c r="T221" s="146"/>
      <c r="U221" s="183"/>
      <c r="V221" s="191"/>
      <c r="W221" s="191"/>
      <c r="X221" s="191"/>
      <c r="Y221" s="191"/>
      <c r="Z221" s="200"/>
      <c r="AA221" s="191"/>
      <c r="AB221" s="191"/>
      <c r="AC221" s="191"/>
      <c r="AD221" s="191"/>
      <c r="AE221" s="191"/>
      <c r="AF221" s="191"/>
      <c r="AG221" s="191"/>
      <c r="AH221" s="171"/>
      <c r="AI221" s="191"/>
      <c r="AJ221" s="159"/>
      <c r="AL221" s="196"/>
      <c r="AM221" s="196"/>
      <c r="AN221" s="196"/>
      <c r="AO221" s="196"/>
      <c r="AP221" s="197"/>
      <c r="AQ221" s="196"/>
      <c r="AR221" s="196"/>
      <c r="AS221" s="196"/>
      <c r="AT221" s="196"/>
    </row>
    <row r="222" spans="2:46" ht="20.149999999999999" customHeight="1">
      <c r="B222" s="146"/>
      <c r="C222" s="506" t="s">
        <v>575</v>
      </c>
      <c r="D222" s="506" t="s">
        <v>576</v>
      </c>
      <c r="E222" s="506"/>
      <c r="F222" s="506"/>
      <c r="G222" s="506" t="s">
        <v>577</v>
      </c>
      <c r="H222" s="506" t="s">
        <v>172</v>
      </c>
      <c r="I222" s="506"/>
      <c r="J222" s="506" t="s">
        <v>578</v>
      </c>
      <c r="K222" s="506"/>
      <c r="L222" s="506" t="s">
        <v>579</v>
      </c>
      <c r="M222" s="506"/>
      <c r="N222" s="506" t="s">
        <v>580</v>
      </c>
      <c r="O222" s="506"/>
      <c r="P222" s="506" t="s">
        <v>581</v>
      </c>
      <c r="Q222" s="506"/>
      <c r="R222" s="159"/>
      <c r="T222" s="146"/>
      <c r="U222" s="507" t="s">
        <v>575</v>
      </c>
      <c r="V222" s="507" t="s">
        <v>576</v>
      </c>
      <c r="W222" s="507"/>
      <c r="X222" s="507"/>
      <c r="Y222" s="507" t="s">
        <v>577</v>
      </c>
      <c r="Z222" s="507" t="s">
        <v>172</v>
      </c>
      <c r="AA222" s="507"/>
      <c r="AB222" s="507" t="s">
        <v>578</v>
      </c>
      <c r="AC222" s="507"/>
      <c r="AD222" s="507" t="s">
        <v>579</v>
      </c>
      <c r="AE222" s="507"/>
      <c r="AF222" s="507" t="s">
        <v>580</v>
      </c>
      <c r="AG222" s="507"/>
      <c r="AH222" s="507" t="s">
        <v>581</v>
      </c>
      <c r="AI222" s="507"/>
      <c r="AJ222" s="159"/>
      <c r="AL222" s="196"/>
      <c r="AM222" s="196"/>
      <c r="AN222" s="196"/>
      <c r="AO222" s="196"/>
      <c r="AP222" s="197"/>
      <c r="AQ222" s="196"/>
      <c r="AR222" s="196"/>
      <c r="AS222" s="196"/>
      <c r="AT222" s="196"/>
    </row>
    <row r="223" spans="2:46" ht="20.149999999999999" customHeight="1">
      <c r="B223" s="146"/>
      <c r="C223" s="506"/>
      <c r="D223" s="506"/>
      <c r="E223" s="506"/>
      <c r="F223" s="506"/>
      <c r="G223" s="506"/>
      <c r="H223" s="506"/>
      <c r="I223" s="506"/>
      <c r="J223" s="506"/>
      <c r="K223" s="506"/>
      <c r="L223" s="506"/>
      <c r="M223" s="506"/>
      <c r="N223" s="506"/>
      <c r="O223" s="506"/>
      <c r="P223" s="506"/>
      <c r="Q223" s="506"/>
      <c r="R223" s="159"/>
      <c r="T223" s="146"/>
      <c r="U223" s="507"/>
      <c r="V223" s="507"/>
      <c r="W223" s="507"/>
      <c r="X223" s="507"/>
      <c r="Y223" s="507"/>
      <c r="Z223" s="507"/>
      <c r="AA223" s="507"/>
      <c r="AB223" s="507"/>
      <c r="AC223" s="507"/>
      <c r="AD223" s="507"/>
      <c r="AE223" s="507"/>
      <c r="AF223" s="507"/>
      <c r="AG223" s="507"/>
      <c r="AH223" s="507"/>
      <c r="AI223" s="507"/>
      <c r="AJ223" s="159"/>
      <c r="AL223" s="196"/>
      <c r="AM223" s="196"/>
      <c r="AN223" s="196"/>
      <c r="AO223" s="196"/>
      <c r="AP223" s="197"/>
      <c r="AQ223" s="196"/>
      <c r="AR223" s="196"/>
      <c r="AS223" s="196"/>
      <c r="AT223" s="196"/>
    </row>
    <row r="224" spans="2:46" ht="20.149999999999999" customHeight="1">
      <c r="B224" s="146"/>
      <c r="C224" s="506"/>
      <c r="D224" s="506"/>
      <c r="E224" s="506"/>
      <c r="F224" s="506"/>
      <c r="G224" s="506"/>
      <c r="H224" s="506"/>
      <c r="I224" s="506"/>
      <c r="J224" s="506"/>
      <c r="K224" s="506"/>
      <c r="L224" s="506"/>
      <c r="M224" s="506"/>
      <c r="N224" s="506"/>
      <c r="O224" s="506"/>
      <c r="P224" s="506"/>
      <c r="Q224" s="506"/>
      <c r="R224" s="159"/>
      <c r="T224" s="146"/>
      <c r="U224" s="507"/>
      <c r="V224" s="507"/>
      <c r="W224" s="507"/>
      <c r="X224" s="507"/>
      <c r="Y224" s="507"/>
      <c r="Z224" s="507"/>
      <c r="AA224" s="507"/>
      <c r="AB224" s="507"/>
      <c r="AC224" s="507"/>
      <c r="AD224" s="507"/>
      <c r="AE224" s="507"/>
      <c r="AF224" s="507"/>
      <c r="AG224" s="507"/>
      <c r="AH224" s="507"/>
      <c r="AI224" s="507"/>
      <c r="AJ224" s="159"/>
      <c r="AL224" s="196"/>
      <c r="AM224" s="196"/>
      <c r="AN224" s="196"/>
      <c r="AO224" s="196"/>
      <c r="AP224" s="197"/>
      <c r="AQ224" s="196"/>
      <c r="AR224" s="196"/>
      <c r="AS224" s="196"/>
      <c r="AT224" s="196"/>
    </row>
    <row r="225" spans="2:46" ht="20.149999999999999" customHeight="1">
      <c r="B225" s="146"/>
      <c r="C225" s="506"/>
      <c r="D225" s="506"/>
      <c r="E225" s="506"/>
      <c r="F225" s="506"/>
      <c r="G225" s="506"/>
      <c r="H225" s="506"/>
      <c r="I225" s="506"/>
      <c r="J225" s="506"/>
      <c r="K225" s="506"/>
      <c r="L225" s="506"/>
      <c r="M225" s="506"/>
      <c r="N225" s="506"/>
      <c r="O225" s="506"/>
      <c r="P225" s="506"/>
      <c r="Q225" s="506"/>
      <c r="R225" s="159"/>
      <c r="T225" s="146"/>
      <c r="U225" s="507"/>
      <c r="V225" s="507"/>
      <c r="W225" s="507"/>
      <c r="X225" s="507"/>
      <c r="Y225" s="507"/>
      <c r="Z225" s="507"/>
      <c r="AA225" s="507"/>
      <c r="AB225" s="507"/>
      <c r="AC225" s="507"/>
      <c r="AD225" s="507"/>
      <c r="AE225" s="507"/>
      <c r="AF225" s="507"/>
      <c r="AG225" s="507"/>
      <c r="AH225" s="507"/>
      <c r="AI225" s="507"/>
      <c r="AJ225" s="159"/>
      <c r="AL225" s="196"/>
      <c r="AM225" s="196"/>
      <c r="AN225" s="196"/>
      <c r="AO225" s="196"/>
      <c r="AP225" s="197"/>
      <c r="AQ225" s="196"/>
      <c r="AR225" s="196"/>
      <c r="AS225" s="196"/>
      <c r="AT225" s="196"/>
    </row>
    <row r="226" spans="2:46" ht="20.149999999999999" customHeight="1">
      <c r="B226" s="146"/>
      <c r="C226" s="506"/>
      <c r="D226" s="506"/>
      <c r="E226" s="506"/>
      <c r="F226" s="506"/>
      <c r="G226" s="506"/>
      <c r="H226" s="506"/>
      <c r="I226" s="506"/>
      <c r="J226" s="506"/>
      <c r="K226" s="506"/>
      <c r="L226" s="506"/>
      <c r="M226" s="506"/>
      <c r="N226" s="506"/>
      <c r="O226" s="506"/>
      <c r="P226" s="506"/>
      <c r="Q226" s="506"/>
      <c r="R226" s="159"/>
      <c r="T226" s="146"/>
      <c r="U226" s="507"/>
      <c r="V226" s="507"/>
      <c r="W226" s="507"/>
      <c r="X226" s="507"/>
      <c r="Y226" s="507"/>
      <c r="Z226" s="507"/>
      <c r="AA226" s="507"/>
      <c r="AB226" s="507"/>
      <c r="AC226" s="507"/>
      <c r="AD226" s="507"/>
      <c r="AE226" s="507"/>
      <c r="AF226" s="507"/>
      <c r="AG226" s="507"/>
      <c r="AH226" s="507"/>
      <c r="AI226" s="507"/>
      <c r="AJ226" s="159"/>
      <c r="AL226" s="196"/>
      <c r="AM226" s="196"/>
      <c r="AN226" s="196"/>
      <c r="AO226" s="196"/>
      <c r="AP226" s="197"/>
      <c r="AQ226" s="196"/>
      <c r="AR226" s="196"/>
      <c r="AS226" s="196"/>
      <c r="AT226" s="196"/>
    </row>
    <row r="227" spans="2:46" ht="20.149999999999999" customHeight="1">
      <c r="B227" s="146"/>
      <c r="C227" s="506"/>
      <c r="D227" s="506"/>
      <c r="E227" s="506"/>
      <c r="F227" s="506"/>
      <c r="G227" s="506"/>
      <c r="H227" s="506"/>
      <c r="I227" s="506"/>
      <c r="J227" s="506"/>
      <c r="K227" s="506"/>
      <c r="L227" s="506"/>
      <c r="M227" s="506"/>
      <c r="N227" s="506"/>
      <c r="O227" s="506"/>
      <c r="P227" s="506"/>
      <c r="Q227" s="506"/>
      <c r="R227" s="159"/>
      <c r="T227" s="146"/>
      <c r="U227" s="507"/>
      <c r="V227" s="507"/>
      <c r="W227" s="507"/>
      <c r="X227" s="507"/>
      <c r="Y227" s="507"/>
      <c r="Z227" s="507"/>
      <c r="AA227" s="507"/>
      <c r="AB227" s="507"/>
      <c r="AC227" s="507"/>
      <c r="AD227" s="507"/>
      <c r="AE227" s="507"/>
      <c r="AF227" s="507"/>
      <c r="AG227" s="507"/>
      <c r="AH227" s="507"/>
      <c r="AI227" s="507"/>
      <c r="AJ227" s="159"/>
      <c r="AL227" s="196"/>
      <c r="AM227" s="196"/>
      <c r="AN227" s="196"/>
      <c r="AO227" s="196"/>
      <c r="AP227" s="197"/>
      <c r="AQ227" s="196"/>
      <c r="AR227" s="196"/>
      <c r="AS227" s="196"/>
      <c r="AT227" s="196"/>
    </row>
    <row r="228" spans="2:46" ht="20.149999999999999" customHeight="1">
      <c r="B228" s="146"/>
      <c r="C228" s="681">
        <v>1</v>
      </c>
      <c r="D228" s="540" t="s">
        <v>582</v>
      </c>
      <c r="E228" s="540"/>
      <c r="F228" s="540"/>
      <c r="G228" s="540" t="s">
        <v>583</v>
      </c>
      <c r="H228" s="540" t="s">
        <v>584</v>
      </c>
      <c r="I228" s="540"/>
      <c r="J228" s="540" t="s">
        <v>585</v>
      </c>
      <c r="K228" s="540"/>
      <c r="L228" s="540" t="s">
        <v>586</v>
      </c>
      <c r="M228" s="540"/>
      <c r="N228" s="540" t="s">
        <v>587</v>
      </c>
      <c r="O228" s="540"/>
      <c r="P228" s="540"/>
      <c r="Q228" s="540"/>
      <c r="R228" s="159"/>
      <c r="T228" s="146"/>
      <c r="U228" s="605">
        <v>1</v>
      </c>
      <c r="V228" s="521" t="s">
        <v>582</v>
      </c>
      <c r="W228" s="521"/>
      <c r="X228" s="521"/>
      <c r="Y228" s="521" t="s">
        <v>583</v>
      </c>
      <c r="Z228" s="521" t="s">
        <v>584</v>
      </c>
      <c r="AA228" s="521"/>
      <c r="AB228" s="521" t="s">
        <v>585</v>
      </c>
      <c r="AC228" s="521"/>
      <c r="AD228" s="521" t="s">
        <v>586</v>
      </c>
      <c r="AE228" s="521"/>
      <c r="AF228" s="521" t="s">
        <v>587</v>
      </c>
      <c r="AG228" s="521"/>
      <c r="AH228" s="521" t="s">
        <v>588</v>
      </c>
      <c r="AI228" s="521"/>
      <c r="AJ228" s="159"/>
      <c r="AL228" s="196">
        <f>'[1]100.Motherdata'!AL65</f>
        <v>0</v>
      </c>
      <c r="AM228" s="196"/>
      <c r="AN228" s="196"/>
      <c r="AO228" s="196"/>
      <c r="AP228" s="197"/>
      <c r="AQ228" s="196"/>
      <c r="AR228" s="196"/>
      <c r="AS228" s="196"/>
      <c r="AT228" s="196"/>
    </row>
    <row r="229" spans="2:46" ht="20.149999999999999" customHeight="1">
      <c r="B229" s="146"/>
      <c r="C229" s="681"/>
      <c r="D229" s="540"/>
      <c r="E229" s="540"/>
      <c r="F229" s="540"/>
      <c r="G229" s="540"/>
      <c r="H229" s="540"/>
      <c r="I229" s="540"/>
      <c r="J229" s="540"/>
      <c r="K229" s="540"/>
      <c r="L229" s="540"/>
      <c r="M229" s="540"/>
      <c r="N229" s="540"/>
      <c r="O229" s="540"/>
      <c r="P229" s="540"/>
      <c r="Q229" s="540"/>
      <c r="R229" s="159"/>
      <c r="T229" s="146"/>
      <c r="U229" s="605"/>
      <c r="V229" s="521"/>
      <c r="W229" s="521"/>
      <c r="X229" s="521"/>
      <c r="Y229" s="521"/>
      <c r="Z229" s="521"/>
      <c r="AA229" s="521"/>
      <c r="AB229" s="521"/>
      <c r="AC229" s="521"/>
      <c r="AD229" s="521"/>
      <c r="AE229" s="521"/>
      <c r="AF229" s="521"/>
      <c r="AG229" s="521"/>
      <c r="AH229" s="521"/>
      <c r="AI229" s="521"/>
      <c r="AJ229" s="159"/>
      <c r="AL229" s="196"/>
      <c r="AM229" s="196"/>
      <c r="AN229" s="196"/>
      <c r="AO229" s="196"/>
      <c r="AP229" s="197"/>
      <c r="AQ229" s="196"/>
      <c r="AR229" s="196"/>
      <c r="AS229" s="196"/>
      <c r="AT229" s="196"/>
    </row>
    <row r="230" spans="2:46" ht="20.149999999999999" customHeight="1">
      <c r="B230" s="146"/>
      <c r="C230" s="681"/>
      <c r="D230" s="540"/>
      <c r="E230" s="540"/>
      <c r="F230" s="540"/>
      <c r="G230" s="540"/>
      <c r="H230" s="540"/>
      <c r="I230" s="540"/>
      <c r="J230" s="540"/>
      <c r="K230" s="540"/>
      <c r="L230" s="540"/>
      <c r="M230" s="540"/>
      <c r="N230" s="540"/>
      <c r="O230" s="540"/>
      <c r="P230" s="540"/>
      <c r="Q230" s="540"/>
      <c r="R230" s="159"/>
      <c r="T230" s="146"/>
      <c r="U230" s="605"/>
      <c r="V230" s="521"/>
      <c r="W230" s="521"/>
      <c r="X230" s="521"/>
      <c r="Y230" s="521"/>
      <c r="Z230" s="521"/>
      <c r="AA230" s="521"/>
      <c r="AB230" s="521"/>
      <c r="AC230" s="521"/>
      <c r="AD230" s="521"/>
      <c r="AE230" s="521"/>
      <c r="AF230" s="521"/>
      <c r="AG230" s="521"/>
      <c r="AH230" s="521"/>
      <c r="AI230" s="521"/>
      <c r="AJ230" s="159"/>
      <c r="AL230" s="196"/>
      <c r="AM230" s="196"/>
      <c r="AN230" s="196"/>
      <c r="AO230" s="196"/>
      <c r="AP230" s="197"/>
      <c r="AQ230" s="196"/>
      <c r="AR230" s="196"/>
      <c r="AS230" s="196"/>
      <c r="AT230" s="196"/>
    </row>
    <row r="231" spans="2:46" ht="20.149999999999999" customHeight="1">
      <c r="B231" s="146"/>
      <c r="C231" s="681">
        <v>2</v>
      </c>
      <c r="D231" s="540" t="s">
        <v>589</v>
      </c>
      <c r="E231" s="540"/>
      <c r="F231" s="540"/>
      <c r="G231" s="540" t="s">
        <v>583</v>
      </c>
      <c r="H231" s="540" t="s">
        <v>584</v>
      </c>
      <c r="I231" s="540"/>
      <c r="J231" s="540" t="s">
        <v>585</v>
      </c>
      <c r="K231" s="540"/>
      <c r="L231" s="540" t="s">
        <v>586</v>
      </c>
      <c r="M231" s="540"/>
      <c r="N231" s="540" t="s">
        <v>587</v>
      </c>
      <c r="O231" s="540"/>
      <c r="P231" s="599"/>
      <c r="Q231" s="600"/>
      <c r="R231" s="159"/>
      <c r="T231" s="146"/>
      <c r="U231" s="605">
        <v>2</v>
      </c>
      <c r="V231" s="521" t="s">
        <v>589</v>
      </c>
      <c r="W231" s="521"/>
      <c r="X231" s="521"/>
      <c r="Y231" s="521" t="s">
        <v>583</v>
      </c>
      <c r="Z231" s="521" t="s">
        <v>584</v>
      </c>
      <c r="AA231" s="521"/>
      <c r="AB231" s="521" t="s">
        <v>585</v>
      </c>
      <c r="AC231" s="521"/>
      <c r="AD231" s="521" t="s">
        <v>590</v>
      </c>
      <c r="AE231" s="521"/>
      <c r="AF231" s="521" t="s">
        <v>587</v>
      </c>
      <c r="AG231" s="521"/>
      <c r="AH231" s="521"/>
      <c r="AI231" s="521"/>
      <c r="AJ231" s="159"/>
      <c r="AL231" s="196"/>
      <c r="AM231" s="196"/>
      <c r="AN231" s="196"/>
      <c r="AO231" s="196"/>
      <c r="AP231" s="197"/>
      <c r="AQ231" s="196"/>
      <c r="AR231" s="196"/>
      <c r="AS231" s="196"/>
      <c r="AT231" s="196"/>
    </row>
    <row r="232" spans="2:46" ht="20.149999999999999" customHeight="1">
      <c r="B232" s="146"/>
      <c r="C232" s="681"/>
      <c r="D232" s="540"/>
      <c r="E232" s="540"/>
      <c r="F232" s="540"/>
      <c r="G232" s="540"/>
      <c r="H232" s="540"/>
      <c r="I232" s="540"/>
      <c r="J232" s="540"/>
      <c r="K232" s="540"/>
      <c r="L232" s="540"/>
      <c r="M232" s="540"/>
      <c r="N232" s="540"/>
      <c r="O232" s="540"/>
      <c r="P232" s="601"/>
      <c r="Q232" s="602"/>
      <c r="R232" s="159"/>
      <c r="T232" s="146"/>
      <c r="U232" s="605"/>
      <c r="V232" s="521"/>
      <c r="W232" s="521"/>
      <c r="X232" s="521"/>
      <c r="Y232" s="521"/>
      <c r="Z232" s="521"/>
      <c r="AA232" s="521"/>
      <c r="AB232" s="521"/>
      <c r="AC232" s="521"/>
      <c r="AD232" s="521"/>
      <c r="AE232" s="521"/>
      <c r="AF232" s="521"/>
      <c r="AG232" s="521"/>
      <c r="AH232" s="521"/>
      <c r="AI232" s="521"/>
      <c r="AJ232" s="159"/>
      <c r="AL232" s="196"/>
      <c r="AM232" s="196"/>
      <c r="AN232" s="196"/>
      <c r="AO232" s="196"/>
      <c r="AP232" s="197"/>
      <c r="AQ232" s="196"/>
      <c r="AR232" s="196"/>
      <c r="AS232" s="196"/>
      <c r="AT232" s="196"/>
    </row>
    <row r="233" spans="2:46" ht="20.149999999999999" customHeight="1">
      <c r="B233" s="146"/>
      <c r="C233" s="681"/>
      <c r="D233" s="540"/>
      <c r="E233" s="540"/>
      <c r="F233" s="540"/>
      <c r="G233" s="540"/>
      <c r="H233" s="540"/>
      <c r="I233" s="540"/>
      <c r="J233" s="540"/>
      <c r="K233" s="540"/>
      <c r="L233" s="540"/>
      <c r="M233" s="540"/>
      <c r="N233" s="540"/>
      <c r="O233" s="540"/>
      <c r="P233" s="603"/>
      <c r="Q233" s="604"/>
      <c r="R233" s="159"/>
      <c r="T233" s="146"/>
      <c r="U233" s="605"/>
      <c r="V233" s="521"/>
      <c r="W233" s="521"/>
      <c r="X233" s="521"/>
      <c r="Y233" s="521"/>
      <c r="Z233" s="521"/>
      <c r="AA233" s="521"/>
      <c r="AB233" s="521"/>
      <c r="AC233" s="521"/>
      <c r="AD233" s="521"/>
      <c r="AE233" s="521"/>
      <c r="AF233" s="521"/>
      <c r="AG233" s="521"/>
      <c r="AH233" s="521"/>
      <c r="AI233" s="521"/>
      <c r="AJ233" s="159"/>
      <c r="AL233" s="196">
        <f>'[1]100.Motherdata'!AM65</f>
        <v>0</v>
      </c>
      <c r="AM233" s="196"/>
      <c r="AN233" s="196"/>
      <c r="AO233" s="196"/>
      <c r="AP233" s="197"/>
      <c r="AQ233" s="196"/>
      <c r="AR233" s="196"/>
      <c r="AS233" s="196"/>
      <c r="AT233" s="196"/>
    </row>
    <row r="234" spans="2:46" ht="20.149999999999999" customHeight="1">
      <c r="B234" s="146"/>
      <c r="C234" s="540" t="s">
        <v>584</v>
      </c>
      <c r="D234" s="540"/>
      <c r="E234" s="540"/>
      <c r="F234" s="540"/>
      <c r="G234" s="540"/>
      <c r="H234" s="540"/>
      <c r="I234" s="540"/>
      <c r="J234" s="540"/>
      <c r="K234" s="540"/>
      <c r="L234" s="540"/>
      <c r="M234" s="540"/>
      <c r="N234" s="540"/>
      <c r="O234" s="540"/>
      <c r="P234" s="540"/>
      <c r="Q234" s="540"/>
      <c r="R234" s="159"/>
      <c r="T234" s="146"/>
      <c r="U234" s="521" t="s">
        <v>584</v>
      </c>
      <c r="V234" s="521"/>
      <c r="W234" s="521"/>
      <c r="X234" s="521"/>
      <c r="Y234" s="521"/>
      <c r="Z234" s="521"/>
      <c r="AA234" s="521"/>
      <c r="AB234" s="521"/>
      <c r="AC234" s="521"/>
      <c r="AD234" s="521"/>
      <c r="AE234" s="521"/>
      <c r="AF234" s="521"/>
      <c r="AG234" s="521"/>
      <c r="AH234" s="521"/>
      <c r="AI234" s="521"/>
      <c r="AJ234" s="159"/>
      <c r="AL234" s="196"/>
      <c r="AM234" s="196"/>
      <c r="AN234" s="196"/>
      <c r="AO234" s="196"/>
      <c r="AP234" s="197"/>
      <c r="AQ234" s="196"/>
      <c r="AR234" s="196"/>
      <c r="AS234" s="196"/>
      <c r="AT234" s="196"/>
    </row>
    <row r="235" spans="2:46" ht="20.149999999999999" customHeight="1">
      <c r="B235" s="146"/>
      <c r="C235" s="506" t="s">
        <v>591</v>
      </c>
      <c r="D235" s="506" t="s">
        <v>592</v>
      </c>
      <c r="E235" s="506"/>
      <c r="F235" s="506" t="s">
        <v>577</v>
      </c>
      <c r="G235" s="506" t="s">
        <v>593</v>
      </c>
      <c r="H235" s="506"/>
      <c r="I235" s="506" t="s">
        <v>578</v>
      </c>
      <c r="J235" s="506"/>
      <c r="K235" s="568" t="s">
        <v>579</v>
      </c>
      <c r="L235" s="569"/>
      <c r="M235" s="574" t="s">
        <v>580</v>
      </c>
      <c r="N235" s="575"/>
      <c r="O235" s="580" t="s">
        <v>581</v>
      </c>
      <c r="P235" s="580"/>
      <c r="Q235" s="580"/>
      <c r="R235" s="159"/>
      <c r="T235" s="146"/>
      <c r="U235" s="507" t="s">
        <v>591</v>
      </c>
      <c r="V235" s="507" t="s">
        <v>592</v>
      </c>
      <c r="W235" s="507"/>
      <c r="X235" s="507" t="s">
        <v>577</v>
      </c>
      <c r="Y235" s="507" t="s">
        <v>593</v>
      </c>
      <c r="Z235" s="507"/>
      <c r="AA235" s="507" t="s">
        <v>578</v>
      </c>
      <c r="AB235" s="507"/>
      <c r="AC235" s="507" t="s">
        <v>579</v>
      </c>
      <c r="AD235" s="507"/>
      <c r="AE235" s="496" t="s">
        <v>580</v>
      </c>
      <c r="AF235" s="496"/>
      <c r="AG235" s="581" t="s">
        <v>581</v>
      </c>
      <c r="AH235" s="581"/>
      <c r="AI235" s="581"/>
      <c r="AJ235" s="159"/>
      <c r="AL235" s="196"/>
      <c r="AM235" s="196"/>
      <c r="AN235" s="196"/>
      <c r="AO235" s="196"/>
      <c r="AP235" s="197"/>
      <c r="AQ235" s="196"/>
      <c r="AR235" s="196"/>
      <c r="AS235" s="196"/>
      <c r="AT235" s="196"/>
    </row>
    <row r="236" spans="2:46" ht="20.149999999999999" customHeight="1">
      <c r="B236" s="146"/>
      <c r="C236" s="506"/>
      <c r="D236" s="506"/>
      <c r="E236" s="506"/>
      <c r="F236" s="506"/>
      <c r="G236" s="506"/>
      <c r="H236" s="506"/>
      <c r="I236" s="506"/>
      <c r="J236" s="506"/>
      <c r="K236" s="570"/>
      <c r="L236" s="571"/>
      <c r="M236" s="576"/>
      <c r="N236" s="577"/>
      <c r="O236" s="580"/>
      <c r="P236" s="580"/>
      <c r="Q236" s="580"/>
      <c r="R236" s="159"/>
      <c r="T236" s="146"/>
      <c r="U236" s="507"/>
      <c r="V236" s="507"/>
      <c r="W236" s="507"/>
      <c r="X236" s="507"/>
      <c r="Y236" s="507"/>
      <c r="Z236" s="507"/>
      <c r="AA236" s="507"/>
      <c r="AB236" s="507"/>
      <c r="AC236" s="507"/>
      <c r="AD236" s="507"/>
      <c r="AE236" s="496"/>
      <c r="AF236" s="496"/>
      <c r="AG236" s="581"/>
      <c r="AH236" s="581"/>
      <c r="AI236" s="581"/>
      <c r="AJ236" s="159"/>
      <c r="AL236" s="196"/>
      <c r="AM236" s="196"/>
      <c r="AN236" s="196"/>
      <c r="AO236" s="196"/>
      <c r="AP236" s="197"/>
      <c r="AQ236" s="196"/>
      <c r="AR236" s="196"/>
      <c r="AS236" s="196"/>
      <c r="AT236" s="196"/>
    </row>
    <row r="237" spans="2:46" ht="20.149999999999999" customHeight="1">
      <c r="B237" s="146"/>
      <c r="C237" s="506"/>
      <c r="D237" s="506"/>
      <c r="E237" s="506"/>
      <c r="F237" s="506"/>
      <c r="G237" s="506"/>
      <c r="H237" s="506"/>
      <c r="I237" s="506"/>
      <c r="J237" s="506"/>
      <c r="K237" s="570"/>
      <c r="L237" s="571"/>
      <c r="M237" s="576"/>
      <c r="N237" s="577"/>
      <c r="O237" s="580"/>
      <c r="P237" s="580"/>
      <c r="Q237" s="580"/>
      <c r="R237" s="159"/>
      <c r="T237" s="146"/>
      <c r="U237" s="507"/>
      <c r="V237" s="507"/>
      <c r="W237" s="507"/>
      <c r="X237" s="507"/>
      <c r="Y237" s="507"/>
      <c r="Z237" s="507"/>
      <c r="AA237" s="507"/>
      <c r="AB237" s="507"/>
      <c r="AC237" s="507"/>
      <c r="AD237" s="507"/>
      <c r="AE237" s="496"/>
      <c r="AF237" s="496"/>
      <c r="AG237" s="581"/>
      <c r="AH237" s="581"/>
      <c r="AI237" s="581"/>
      <c r="AJ237" s="159"/>
      <c r="AL237" s="196"/>
      <c r="AM237" s="196"/>
      <c r="AN237" s="196"/>
      <c r="AO237" s="196"/>
      <c r="AP237" s="197"/>
      <c r="AQ237" s="196"/>
      <c r="AR237" s="196"/>
      <c r="AS237" s="196"/>
      <c r="AT237" s="196"/>
    </row>
    <row r="238" spans="2:46" ht="20.149999999999999" customHeight="1">
      <c r="B238" s="146"/>
      <c r="C238" s="506"/>
      <c r="D238" s="506"/>
      <c r="E238" s="506"/>
      <c r="F238" s="506"/>
      <c r="G238" s="506"/>
      <c r="H238" s="506"/>
      <c r="I238" s="506"/>
      <c r="J238" s="506"/>
      <c r="K238" s="570"/>
      <c r="L238" s="571"/>
      <c r="M238" s="576"/>
      <c r="N238" s="577"/>
      <c r="O238" s="580"/>
      <c r="P238" s="580"/>
      <c r="Q238" s="580"/>
      <c r="R238" s="159"/>
      <c r="T238" s="146"/>
      <c r="U238" s="507"/>
      <c r="V238" s="507"/>
      <c r="W238" s="507"/>
      <c r="X238" s="507"/>
      <c r="Y238" s="507"/>
      <c r="Z238" s="507"/>
      <c r="AA238" s="507"/>
      <c r="AB238" s="507"/>
      <c r="AC238" s="507"/>
      <c r="AD238" s="507"/>
      <c r="AE238" s="496"/>
      <c r="AF238" s="496"/>
      <c r="AG238" s="581"/>
      <c r="AH238" s="581"/>
      <c r="AI238" s="581"/>
      <c r="AJ238" s="159"/>
      <c r="AL238" s="196"/>
      <c r="AM238" s="196"/>
      <c r="AN238" s="196"/>
      <c r="AO238" s="196"/>
      <c r="AP238" s="197"/>
      <c r="AQ238" s="196"/>
      <c r="AR238" s="196"/>
      <c r="AS238" s="196"/>
      <c r="AT238" s="196"/>
    </row>
    <row r="239" spans="2:46" ht="20.149999999999999" customHeight="1">
      <c r="B239" s="146"/>
      <c r="C239" s="506"/>
      <c r="D239" s="506"/>
      <c r="E239" s="506"/>
      <c r="F239" s="506"/>
      <c r="G239" s="506"/>
      <c r="H239" s="506"/>
      <c r="I239" s="506"/>
      <c r="J239" s="506"/>
      <c r="K239" s="570"/>
      <c r="L239" s="571"/>
      <c r="M239" s="576"/>
      <c r="N239" s="577"/>
      <c r="O239" s="580"/>
      <c r="P239" s="580"/>
      <c r="Q239" s="580"/>
      <c r="R239" s="159"/>
      <c r="T239" s="146"/>
      <c r="U239" s="507"/>
      <c r="V239" s="507"/>
      <c r="W239" s="507"/>
      <c r="X239" s="507"/>
      <c r="Y239" s="507"/>
      <c r="Z239" s="507"/>
      <c r="AA239" s="507"/>
      <c r="AB239" s="507"/>
      <c r="AC239" s="507"/>
      <c r="AD239" s="507"/>
      <c r="AE239" s="496"/>
      <c r="AF239" s="496"/>
      <c r="AG239" s="581"/>
      <c r="AH239" s="581"/>
      <c r="AI239" s="581"/>
      <c r="AJ239" s="159"/>
      <c r="AL239" s="196"/>
      <c r="AM239" s="196"/>
      <c r="AN239" s="196"/>
      <c r="AO239" s="196"/>
      <c r="AP239" s="197"/>
      <c r="AQ239" s="196"/>
      <c r="AR239" s="196"/>
      <c r="AS239" s="196"/>
      <c r="AT239" s="196"/>
    </row>
    <row r="240" spans="2:46" ht="20.149999999999999" customHeight="1">
      <c r="B240" s="146"/>
      <c r="C240" s="506"/>
      <c r="D240" s="506"/>
      <c r="E240" s="506"/>
      <c r="F240" s="506"/>
      <c r="G240" s="506"/>
      <c r="H240" s="506"/>
      <c r="I240" s="506"/>
      <c r="J240" s="506"/>
      <c r="K240" s="572"/>
      <c r="L240" s="573"/>
      <c r="M240" s="578"/>
      <c r="N240" s="579"/>
      <c r="O240" s="580"/>
      <c r="P240" s="580"/>
      <c r="Q240" s="580"/>
      <c r="R240" s="159"/>
      <c r="T240" s="146"/>
      <c r="U240" s="507"/>
      <c r="V240" s="507"/>
      <c r="W240" s="507"/>
      <c r="X240" s="507"/>
      <c r="Y240" s="507"/>
      <c r="Z240" s="507"/>
      <c r="AA240" s="507"/>
      <c r="AB240" s="507"/>
      <c r="AC240" s="507"/>
      <c r="AD240" s="507"/>
      <c r="AE240" s="496"/>
      <c r="AF240" s="496"/>
      <c r="AG240" s="581"/>
      <c r="AH240" s="581"/>
      <c r="AI240" s="581"/>
      <c r="AJ240" s="159"/>
      <c r="AL240" s="196"/>
      <c r="AM240" s="196"/>
      <c r="AN240" s="196"/>
      <c r="AO240" s="196"/>
      <c r="AP240" s="197"/>
      <c r="AQ240" s="196"/>
      <c r="AR240" s="196"/>
      <c r="AS240" s="196"/>
      <c r="AT240" s="196"/>
    </row>
    <row r="241" spans="2:46" ht="20.149999999999999" customHeight="1">
      <c r="B241" s="146"/>
      <c r="C241" s="591" t="s">
        <v>594</v>
      </c>
      <c r="D241" s="540" t="s">
        <v>595</v>
      </c>
      <c r="E241" s="540"/>
      <c r="F241" s="540" t="s">
        <v>583</v>
      </c>
      <c r="G241" s="540" t="s">
        <v>596</v>
      </c>
      <c r="H241" s="540"/>
      <c r="I241" s="540" t="s">
        <v>597</v>
      </c>
      <c r="J241" s="540"/>
      <c r="K241" s="541" t="s">
        <v>598</v>
      </c>
      <c r="L241" s="542"/>
      <c r="M241" s="562"/>
      <c r="N241" s="563"/>
      <c r="O241" s="582"/>
      <c r="P241" s="583"/>
      <c r="Q241" s="584"/>
      <c r="R241" s="159"/>
      <c r="T241" s="146"/>
      <c r="U241" s="539" t="s">
        <v>594</v>
      </c>
      <c r="V241" s="521" t="s">
        <v>595</v>
      </c>
      <c r="W241" s="521"/>
      <c r="X241" s="521" t="s">
        <v>583</v>
      </c>
      <c r="Y241" s="521" t="s">
        <v>596</v>
      </c>
      <c r="Z241" s="521"/>
      <c r="AA241" s="521" t="s">
        <v>597</v>
      </c>
      <c r="AB241" s="521"/>
      <c r="AC241" s="522" t="s">
        <v>598</v>
      </c>
      <c r="AD241" s="522"/>
      <c r="AE241" s="523" t="str">
        <f>AVMDropdown!M28</f>
        <v>Not Applicable</v>
      </c>
      <c r="AF241" s="523"/>
      <c r="AG241" s="496" t="str">
        <f>AVMDropdown!N28</f>
        <v/>
      </c>
      <c r="AH241" s="496"/>
      <c r="AI241" s="496"/>
      <c r="AJ241" s="159"/>
      <c r="AL241" s="196"/>
      <c r="AM241" s="196"/>
      <c r="AN241" s="196"/>
      <c r="AO241" s="196"/>
      <c r="AP241" s="197"/>
      <c r="AQ241" s="196"/>
      <c r="AR241" s="196"/>
      <c r="AS241" s="196"/>
      <c r="AT241" s="196"/>
    </row>
    <row r="242" spans="2:46" ht="20.149999999999999" customHeight="1">
      <c r="B242" s="146"/>
      <c r="C242" s="591"/>
      <c r="D242" s="540"/>
      <c r="E242" s="540"/>
      <c r="F242" s="540"/>
      <c r="G242" s="540"/>
      <c r="H242" s="540"/>
      <c r="I242" s="540"/>
      <c r="J242" s="540"/>
      <c r="K242" s="543"/>
      <c r="L242" s="544"/>
      <c r="M242" s="564"/>
      <c r="N242" s="565"/>
      <c r="O242" s="585"/>
      <c r="P242" s="586"/>
      <c r="Q242" s="587"/>
      <c r="R242" s="159"/>
      <c r="T242" s="146"/>
      <c r="U242" s="539"/>
      <c r="V242" s="521"/>
      <c r="W242" s="521"/>
      <c r="X242" s="521"/>
      <c r="Y242" s="521"/>
      <c r="Z242" s="521"/>
      <c r="AA242" s="521"/>
      <c r="AB242" s="521"/>
      <c r="AC242" s="522"/>
      <c r="AD242" s="522"/>
      <c r="AE242" s="523"/>
      <c r="AF242" s="523"/>
      <c r="AG242" s="496"/>
      <c r="AH242" s="496"/>
      <c r="AI242" s="496"/>
      <c r="AJ242" s="159"/>
      <c r="AL242" s="196"/>
      <c r="AM242" s="196"/>
      <c r="AN242" s="196"/>
      <c r="AO242" s="196"/>
      <c r="AP242" s="197"/>
      <c r="AQ242" s="196"/>
      <c r="AR242" s="196"/>
      <c r="AS242" s="196"/>
      <c r="AT242" s="196"/>
    </row>
    <row r="243" spans="2:46" ht="20.149999999999999" customHeight="1">
      <c r="B243" s="146"/>
      <c r="C243" s="591"/>
      <c r="D243" s="540"/>
      <c r="E243" s="540"/>
      <c r="F243" s="540"/>
      <c r="G243" s="540"/>
      <c r="H243" s="540"/>
      <c r="I243" s="540"/>
      <c r="J243" s="540"/>
      <c r="K243" s="545"/>
      <c r="L243" s="546"/>
      <c r="M243" s="566"/>
      <c r="N243" s="567"/>
      <c r="O243" s="588"/>
      <c r="P243" s="589"/>
      <c r="Q243" s="590"/>
      <c r="R243" s="159"/>
      <c r="T243" s="146"/>
      <c r="U243" s="539"/>
      <c r="V243" s="521"/>
      <c r="W243" s="521"/>
      <c r="X243" s="521"/>
      <c r="Y243" s="521"/>
      <c r="Z243" s="521"/>
      <c r="AA243" s="521"/>
      <c r="AB243" s="521"/>
      <c r="AC243" s="522"/>
      <c r="AD243" s="522"/>
      <c r="AE243" s="523"/>
      <c r="AF243" s="523"/>
      <c r="AG243" s="496"/>
      <c r="AH243" s="496"/>
      <c r="AI243" s="496"/>
      <c r="AJ243" s="159"/>
      <c r="AL243" s="196"/>
      <c r="AM243" s="196"/>
      <c r="AN243" s="196"/>
      <c r="AO243" s="196"/>
      <c r="AP243" s="197"/>
      <c r="AQ243" s="196"/>
      <c r="AR243" s="196"/>
      <c r="AS243" s="196"/>
      <c r="AT243" s="196"/>
    </row>
    <row r="244" spans="2:46" ht="20.149999999999999" customHeight="1">
      <c r="B244" s="146"/>
      <c r="C244" s="682">
        <v>2</v>
      </c>
      <c r="D244" s="508" t="s">
        <v>599</v>
      </c>
      <c r="E244" s="508"/>
      <c r="F244" s="508" t="s">
        <v>583</v>
      </c>
      <c r="G244" s="508" t="s">
        <v>600</v>
      </c>
      <c r="H244" s="508"/>
      <c r="I244" s="508" t="s">
        <v>601</v>
      </c>
      <c r="J244" s="508"/>
      <c r="K244" s="509" t="s">
        <v>602</v>
      </c>
      <c r="L244" s="510"/>
      <c r="M244" s="515" t="s">
        <v>587</v>
      </c>
      <c r="N244" s="516"/>
      <c r="O244" s="497"/>
      <c r="P244" s="498"/>
      <c r="Q244" s="499"/>
      <c r="R244" s="159"/>
      <c r="T244" s="146"/>
      <c r="U244" s="539">
        <v>2</v>
      </c>
      <c r="V244" s="521" t="s">
        <v>599</v>
      </c>
      <c r="W244" s="521"/>
      <c r="X244" s="521" t="s">
        <v>583</v>
      </c>
      <c r="Y244" s="521" t="s">
        <v>600</v>
      </c>
      <c r="Z244" s="521"/>
      <c r="AA244" s="521" t="s">
        <v>601</v>
      </c>
      <c r="AB244" s="521"/>
      <c r="AC244" s="522" t="s">
        <v>602</v>
      </c>
      <c r="AD244" s="522"/>
      <c r="AE244" s="523" t="s">
        <v>587</v>
      </c>
      <c r="AF244" s="523"/>
      <c r="AG244" s="496"/>
      <c r="AH244" s="496"/>
      <c r="AI244" s="496"/>
      <c r="AJ244" s="159"/>
      <c r="AL244" s="196"/>
      <c r="AM244" s="196"/>
      <c r="AN244" s="196"/>
      <c r="AO244" s="196"/>
      <c r="AP244" s="197"/>
      <c r="AQ244" s="196"/>
      <c r="AR244" s="196"/>
      <c r="AS244" s="196"/>
      <c r="AT244" s="196"/>
    </row>
    <row r="245" spans="2:46" ht="20.149999999999999" customHeight="1">
      <c r="B245" s="146"/>
      <c r="C245" s="682"/>
      <c r="D245" s="508"/>
      <c r="E245" s="508"/>
      <c r="F245" s="508"/>
      <c r="G245" s="508"/>
      <c r="H245" s="508"/>
      <c r="I245" s="508"/>
      <c r="J245" s="508"/>
      <c r="K245" s="511"/>
      <c r="L245" s="512"/>
      <c r="M245" s="517"/>
      <c r="N245" s="518"/>
      <c r="O245" s="500"/>
      <c r="P245" s="501"/>
      <c r="Q245" s="502"/>
      <c r="R245" s="159"/>
      <c r="T245" s="146"/>
      <c r="U245" s="539"/>
      <c r="V245" s="521"/>
      <c r="W245" s="521"/>
      <c r="X245" s="521"/>
      <c r="Y245" s="521"/>
      <c r="Z245" s="521"/>
      <c r="AA245" s="521"/>
      <c r="AB245" s="521"/>
      <c r="AC245" s="522"/>
      <c r="AD245" s="522"/>
      <c r="AE245" s="523"/>
      <c r="AF245" s="523"/>
      <c r="AG245" s="496"/>
      <c r="AH245" s="496"/>
      <c r="AI245" s="496"/>
      <c r="AJ245" s="159"/>
      <c r="AL245" s="196"/>
      <c r="AM245" s="196"/>
      <c r="AN245" s="196"/>
      <c r="AO245" s="196"/>
      <c r="AP245" s="197"/>
      <c r="AQ245" s="196"/>
      <c r="AR245" s="196"/>
      <c r="AS245" s="196"/>
      <c r="AT245" s="196"/>
    </row>
    <row r="246" spans="2:46" ht="20.149999999999999" customHeight="1">
      <c r="B246" s="146"/>
      <c r="C246" s="682"/>
      <c r="D246" s="508"/>
      <c r="E246" s="508"/>
      <c r="F246" s="508"/>
      <c r="G246" s="508"/>
      <c r="H246" s="508"/>
      <c r="I246" s="508"/>
      <c r="J246" s="508"/>
      <c r="K246" s="513"/>
      <c r="L246" s="514"/>
      <c r="M246" s="519"/>
      <c r="N246" s="520"/>
      <c r="O246" s="503"/>
      <c r="P246" s="504"/>
      <c r="Q246" s="505"/>
      <c r="R246" s="159"/>
      <c r="T246" s="146"/>
      <c r="U246" s="539"/>
      <c r="V246" s="521"/>
      <c r="W246" s="521"/>
      <c r="X246" s="521"/>
      <c r="Y246" s="521"/>
      <c r="Z246" s="521"/>
      <c r="AA246" s="521"/>
      <c r="AB246" s="521"/>
      <c r="AC246" s="522"/>
      <c r="AD246" s="522"/>
      <c r="AE246" s="523"/>
      <c r="AF246" s="523"/>
      <c r="AG246" s="496"/>
      <c r="AH246" s="496"/>
      <c r="AI246" s="496"/>
      <c r="AJ246" s="159"/>
      <c r="AL246" s="196"/>
      <c r="AM246" s="196"/>
      <c r="AN246" s="196"/>
      <c r="AO246" s="196"/>
      <c r="AP246" s="197"/>
      <c r="AQ246" s="196"/>
      <c r="AR246" s="196"/>
      <c r="AS246" s="196"/>
      <c r="AT246" s="196"/>
    </row>
    <row r="247" spans="2:46" ht="20.149999999999999" customHeight="1">
      <c r="B247" s="146"/>
      <c r="C247" s="591" t="s">
        <v>603</v>
      </c>
      <c r="D247" s="591" t="s">
        <v>604</v>
      </c>
      <c r="E247" s="591"/>
      <c r="F247" s="591" t="s">
        <v>583</v>
      </c>
      <c r="G247" s="591" t="s">
        <v>605</v>
      </c>
      <c r="H247" s="591"/>
      <c r="I247" s="591" t="s">
        <v>606</v>
      </c>
      <c r="J247" s="591"/>
      <c r="K247" s="592" t="s">
        <v>607</v>
      </c>
      <c r="L247" s="593"/>
      <c r="M247" s="562"/>
      <c r="N247" s="563"/>
      <c r="O247" s="553"/>
      <c r="P247" s="554"/>
      <c r="Q247" s="555"/>
      <c r="R247" s="159"/>
      <c r="T247" s="146"/>
      <c r="U247" s="539" t="s">
        <v>603</v>
      </c>
      <c r="V247" s="539" t="s">
        <v>604</v>
      </c>
      <c r="W247" s="539"/>
      <c r="X247" s="539" t="s">
        <v>583</v>
      </c>
      <c r="Y247" s="539" t="s">
        <v>605</v>
      </c>
      <c r="Z247" s="539"/>
      <c r="AA247" s="539" t="s">
        <v>606</v>
      </c>
      <c r="AB247" s="539"/>
      <c r="AC247" s="598" t="s">
        <v>607</v>
      </c>
      <c r="AD247" s="598"/>
      <c r="AE247" s="523" t="str">
        <f>AVMDropdown!M23</f>
        <v>Not Applicable</v>
      </c>
      <c r="AF247" s="523"/>
      <c r="AG247" s="496" t="str">
        <f>IF(O247="",AVMDropdown!N23,O247)</f>
        <v/>
      </c>
      <c r="AH247" s="496"/>
      <c r="AI247" s="496"/>
      <c r="AJ247" s="159"/>
      <c r="AL247" s="196"/>
      <c r="AM247" s="196"/>
      <c r="AN247" s="196"/>
      <c r="AO247" s="196"/>
      <c r="AP247" s="197"/>
      <c r="AQ247" s="196"/>
      <c r="AR247" s="196"/>
      <c r="AS247" s="196"/>
      <c r="AT247" s="196"/>
    </row>
    <row r="248" spans="2:46" ht="20.149999999999999" customHeight="1">
      <c r="B248" s="146"/>
      <c r="C248" s="591"/>
      <c r="D248" s="591"/>
      <c r="E248" s="591"/>
      <c r="F248" s="591"/>
      <c r="G248" s="591"/>
      <c r="H248" s="591"/>
      <c r="I248" s="591"/>
      <c r="J248" s="591"/>
      <c r="K248" s="594"/>
      <c r="L248" s="595"/>
      <c r="M248" s="564"/>
      <c r="N248" s="565"/>
      <c r="O248" s="556"/>
      <c r="P248" s="557"/>
      <c r="Q248" s="558"/>
      <c r="R248" s="159"/>
      <c r="T248" s="146"/>
      <c r="U248" s="539"/>
      <c r="V248" s="539"/>
      <c r="W248" s="539"/>
      <c r="X248" s="539"/>
      <c r="Y248" s="539"/>
      <c r="Z248" s="539"/>
      <c r="AA248" s="539"/>
      <c r="AB248" s="539"/>
      <c r="AC248" s="598"/>
      <c r="AD248" s="598"/>
      <c r="AE248" s="523"/>
      <c r="AF248" s="523"/>
      <c r="AG248" s="496"/>
      <c r="AH248" s="496"/>
      <c r="AI248" s="496"/>
      <c r="AJ248" s="159"/>
      <c r="AL248" s="196"/>
      <c r="AM248" s="196"/>
      <c r="AN248" s="196"/>
      <c r="AO248" s="196"/>
      <c r="AP248" s="197"/>
      <c r="AQ248" s="196"/>
      <c r="AR248" s="196"/>
      <c r="AS248" s="196"/>
      <c r="AT248" s="196"/>
    </row>
    <row r="249" spans="2:46" ht="20.149999999999999" customHeight="1">
      <c r="B249" s="146"/>
      <c r="C249" s="591"/>
      <c r="D249" s="591"/>
      <c r="E249" s="591"/>
      <c r="F249" s="591"/>
      <c r="G249" s="591"/>
      <c r="H249" s="591"/>
      <c r="I249" s="591"/>
      <c r="J249" s="591"/>
      <c r="K249" s="596"/>
      <c r="L249" s="597"/>
      <c r="M249" s="566"/>
      <c r="N249" s="567"/>
      <c r="O249" s="559"/>
      <c r="P249" s="560"/>
      <c r="Q249" s="561"/>
      <c r="R249" s="159"/>
      <c r="T249" s="146"/>
      <c r="U249" s="539"/>
      <c r="V249" s="539"/>
      <c r="W249" s="539"/>
      <c r="X249" s="539"/>
      <c r="Y249" s="539"/>
      <c r="Z249" s="539"/>
      <c r="AA249" s="539"/>
      <c r="AB249" s="539"/>
      <c r="AC249" s="598"/>
      <c r="AD249" s="598"/>
      <c r="AE249" s="523"/>
      <c r="AF249" s="523"/>
      <c r="AG249" s="496"/>
      <c r="AH249" s="496"/>
      <c r="AI249" s="496"/>
      <c r="AJ249" s="159"/>
      <c r="AL249" s="196"/>
      <c r="AM249" s="196"/>
      <c r="AN249" s="196"/>
      <c r="AO249" s="196"/>
      <c r="AP249" s="197"/>
      <c r="AQ249" s="196"/>
      <c r="AR249" s="196"/>
      <c r="AS249" s="196"/>
      <c r="AT249" s="196"/>
    </row>
    <row r="250" spans="2:46" ht="20.149999999999999" customHeight="1">
      <c r="B250" s="146"/>
      <c r="C250" s="682">
        <v>4</v>
      </c>
      <c r="D250" s="508" t="s">
        <v>608</v>
      </c>
      <c r="E250" s="508"/>
      <c r="F250" s="508" t="s">
        <v>583</v>
      </c>
      <c r="G250" s="508" t="s">
        <v>609</v>
      </c>
      <c r="H250" s="508"/>
      <c r="I250" s="508" t="s">
        <v>606</v>
      </c>
      <c r="J250" s="508"/>
      <c r="K250" s="509" t="s">
        <v>610</v>
      </c>
      <c r="L250" s="510"/>
      <c r="M250" s="515" t="s">
        <v>587</v>
      </c>
      <c r="N250" s="516"/>
      <c r="O250" s="497"/>
      <c r="P250" s="498"/>
      <c r="Q250" s="499"/>
      <c r="R250" s="159"/>
      <c r="T250" s="146"/>
      <c r="U250" s="539">
        <v>4</v>
      </c>
      <c r="V250" s="521" t="s">
        <v>608</v>
      </c>
      <c r="W250" s="521"/>
      <c r="X250" s="521" t="s">
        <v>583</v>
      </c>
      <c r="Y250" s="521" t="s">
        <v>609</v>
      </c>
      <c r="Z250" s="521"/>
      <c r="AA250" s="521" t="s">
        <v>606</v>
      </c>
      <c r="AB250" s="521"/>
      <c r="AC250" s="522" t="s">
        <v>610</v>
      </c>
      <c r="AD250" s="522"/>
      <c r="AE250" s="523" t="s">
        <v>587</v>
      </c>
      <c r="AF250" s="523"/>
      <c r="AG250" s="496"/>
      <c r="AH250" s="496"/>
      <c r="AI250" s="496"/>
      <c r="AJ250" s="159"/>
      <c r="AL250" s="196"/>
      <c r="AM250" s="196"/>
      <c r="AN250" s="196"/>
      <c r="AO250" s="196"/>
      <c r="AP250" s="197"/>
      <c r="AQ250" s="196"/>
      <c r="AR250" s="196"/>
      <c r="AS250" s="196"/>
      <c r="AT250" s="196"/>
    </row>
    <row r="251" spans="2:46" ht="20.149999999999999" customHeight="1">
      <c r="B251" s="146"/>
      <c r="C251" s="682"/>
      <c r="D251" s="508"/>
      <c r="E251" s="508"/>
      <c r="F251" s="508"/>
      <c r="G251" s="508"/>
      <c r="H251" s="508"/>
      <c r="I251" s="508"/>
      <c r="J251" s="508"/>
      <c r="K251" s="511"/>
      <c r="L251" s="512"/>
      <c r="M251" s="517"/>
      <c r="N251" s="518"/>
      <c r="O251" s="500"/>
      <c r="P251" s="501"/>
      <c r="Q251" s="502"/>
      <c r="R251" s="159"/>
      <c r="T251" s="146"/>
      <c r="U251" s="539"/>
      <c r="V251" s="521"/>
      <c r="W251" s="521"/>
      <c r="X251" s="521"/>
      <c r="Y251" s="521"/>
      <c r="Z251" s="521"/>
      <c r="AA251" s="521"/>
      <c r="AB251" s="521"/>
      <c r="AC251" s="522"/>
      <c r="AD251" s="522"/>
      <c r="AE251" s="523"/>
      <c r="AF251" s="523"/>
      <c r="AG251" s="496"/>
      <c r="AH251" s="496"/>
      <c r="AI251" s="496"/>
      <c r="AJ251" s="159"/>
      <c r="AL251" s="196"/>
      <c r="AM251" s="196"/>
      <c r="AN251" s="196"/>
      <c r="AO251" s="196"/>
      <c r="AP251" s="197"/>
      <c r="AQ251" s="196"/>
      <c r="AR251" s="196"/>
      <c r="AS251" s="196"/>
      <c r="AT251" s="196"/>
    </row>
    <row r="252" spans="2:46" ht="20.149999999999999" customHeight="1">
      <c r="B252" s="146"/>
      <c r="C252" s="682"/>
      <c r="D252" s="508"/>
      <c r="E252" s="508"/>
      <c r="F252" s="508"/>
      <c r="G252" s="508"/>
      <c r="H252" s="508"/>
      <c r="I252" s="508"/>
      <c r="J252" s="508"/>
      <c r="K252" s="513"/>
      <c r="L252" s="514"/>
      <c r="M252" s="519"/>
      <c r="N252" s="520"/>
      <c r="O252" s="503"/>
      <c r="P252" s="504"/>
      <c r="Q252" s="505"/>
      <c r="R252" s="159"/>
      <c r="T252" s="146"/>
      <c r="U252" s="539"/>
      <c r="V252" s="521"/>
      <c r="W252" s="521"/>
      <c r="X252" s="521"/>
      <c r="Y252" s="521"/>
      <c r="Z252" s="521"/>
      <c r="AA252" s="521"/>
      <c r="AB252" s="521"/>
      <c r="AC252" s="522"/>
      <c r="AD252" s="522"/>
      <c r="AE252" s="523"/>
      <c r="AF252" s="523"/>
      <c r="AG252" s="496"/>
      <c r="AH252" s="496"/>
      <c r="AI252" s="496"/>
      <c r="AJ252" s="159"/>
      <c r="AL252" s="196"/>
      <c r="AM252" s="196"/>
      <c r="AN252" s="196"/>
      <c r="AO252" s="196"/>
      <c r="AP252" s="197"/>
      <c r="AQ252" s="196"/>
      <c r="AR252" s="196"/>
      <c r="AS252" s="196"/>
      <c r="AT252" s="196"/>
    </row>
    <row r="253" spans="2:46" ht="20.149999999999999" customHeight="1">
      <c r="B253" s="146"/>
      <c r="C253" s="682">
        <v>5</v>
      </c>
      <c r="D253" s="508" t="s">
        <v>611</v>
      </c>
      <c r="E253" s="508"/>
      <c r="F253" s="508" t="s">
        <v>583</v>
      </c>
      <c r="G253" s="508" t="s">
        <v>612</v>
      </c>
      <c r="H253" s="508"/>
      <c r="I253" s="508" t="s">
        <v>613</v>
      </c>
      <c r="J253" s="508"/>
      <c r="K253" s="509" t="s">
        <v>614</v>
      </c>
      <c r="L253" s="510"/>
      <c r="M253" s="515" t="s">
        <v>587</v>
      </c>
      <c r="N253" s="516"/>
      <c r="O253" s="497"/>
      <c r="P253" s="498"/>
      <c r="Q253" s="499"/>
      <c r="R253" s="159"/>
      <c r="T253" s="146"/>
      <c r="U253" s="539">
        <v>5</v>
      </c>
      <c r="V253" s="521" t="s">
        <v>611</v>
      </c>
      <c r="W253" s="521"/>
      <c r="X253" s="521" t="s">
        <v>583</v>
      </c>
      <c r="Y253" s="521" t="s">
        <v>612</v>
      </c>
      <c r="Z253" s="521"/>
      <c r="AA253" s="521" t="s">
        <v>613</v>
      </c>
      <c r="AB253" s="521"/>
      <c r="AC253" s="522" t="s">
        <v>614</v>
      </c>
      <c r="AD253" s="522"/>
      <c r="AE253" s="523" t="s">
        <v>587</v>
      </c>
      <c r="AF253" s="523"/>
      <c r="AG253" s="496"/>
      <c r="AH253" s="496"/>
      <c r="AI253" s="496"/>
      <c r="AJ253" s="159"/>
      <c r="AL253" s="196">
        <f>'[1]100.Motherdata'!AN65</f>
        <v>0</v>
      </c>
      <c r="AM253" s="196"/>
      <c r="AN253" s="196"/>
      <c r="AO253" s="196"/>
      <c r="AP253" s="197"/>
      <c r="AQ253" s="196"/>
      <c r="AR253" s="196"/>
      <c r="AS253" s="196"/>
      <c r="AT253" s="196"/>
    </row>
    <row r="254" spans="2:46" ht="20.149999999999999" customHeight="1">
      <c r="B254" s="146"/>
      <c r="C254" s="682"/>
      <c r="D254" s="508"/>
      <c r="E254" s="508"/>
      <c r="F254" s="508"/>
      <c r="G254" s="508"/>
      <c r="H254" s="508"/>
      <c r="I254" s="508"/>
      <c r="J254" s="508"/>
      <c r="K254" s="511"/>
      <c r="L254" s="512"/>
      <c r="M254" s="517"/>
      <c r="N254" s="518"/>
      <c r="O254" s="500"/>
      <c r="P254" s="501"/>
      <c r="Q254" s="502"/>
      <c r="R254" s="159"/>
      <c r="T254" s="146"/>
      <c r="U254" s="539"/>
      <c r="V254" s="521"/>
      <c r="W254" s="521"/>
      <c r="X254" s="521"/>
      <c r="Y254" s="521"/>
      <c r="Z254" s="521"/>
      <c r="AA254" s="521"/>
      <c r="AB254" s="521"/>
      <c r="AC254" s="522"/>
      <c r="AD254" s="522"/>
      <c r="AE254" s="523"/>
      <c r="AF254" s="523"/>
      <c r="AG254" s="496"/>
      <c r="AH254" s="496"/>
      <c r="AI254" s="496"/>
      <c r="AJ254" s="159"/>
      <c r="AL254" s="196"/>
      <c r="AM254" s="196"/>
      <c r="AN254" s="196"/>
      <c r="AO254" s="196"/>
      <c r="AP254" s="197"/>
      <c r="AQ254" s="196"/>
      <c r="AR254" s="196"/>
      <c r="AS254" s="196"/>
      <c r="AT254" s="196"/>
    </row>
    <row r="255" spans="2:46" ht="39.75" customHeight="1">
      <c r="B255" s="146"/>
      <c r="C255" s="682"/>
      <c r="D255" s="508"/>
      <c r="E255" s="508"/>
      <c r="F255" s="508"/>
      <c r="G255" s="508"/>
      <c r="H255" s="508"/>
      <c r="I255" s="508"/>
      <c r="J255" s="508"/>
      <c r="K255" s="513"/>
      <c r="L255" s="514"/>
      <c r="M255" s="519"/>
      <c r="N255" s="520"/>
      <c r="O255" s="503"/>
      <c r="P255" s="504"/>
      <c r="Q255" s="505"/>
      <c r="R255" s="159"/>
      <c r="T255" s="146"/>
      <c r="U255" s="539"/>
      <c r="V255" s="521"/>
      <c r="W255" s="521"/>
      <c r="X255" s="521"/>
      <c r="Y255" s="521"/>
      <c r="Z255" s="521"/>
      <c r="AA255" s="521"/>
      <c r="AB255" s="521"/>
      <c r="AC255" s="522"/>
      <c r="AD255" s="522"/>
      <c r="AE255" s="523"/>
      <c r="AF255" s="523"/>
      <c r="AG255" s="496"/>
      <c r="AH255" s="496"/>
      <c r="AI255" s="496"/>
      <c r="AJ255" s="159"/>
      <c r="AL255" s="196"/>
      <c r="AM255" s="196"/>
      <c r="AN255" s="196"/>
      <c r="AO255" s="196"/>
      <c r="AP255" s="197"/>
      <c r="AQ255" s="196"/>
      <c r="AR255" s="196"/>
      <c r="AS255" s="196"/>
      <c r="AT255" s="196"/>
    </row>
    <row r="256" spans="2:46" ht="20.149999999999999" customHeight="1">
      <c r="B256" s="146"/>
      <c r="C256" s="591" t="s">
        <v>615</v>
      </c>
      <c r="D256" s="540" t="s">
        <v>616</v>
      </c>
      <c r="E256" s="540"/>
      <c r="F256" s="540" t="s">
        <v>583</v>
      </c>
      <c r="G256" s="540" t="s">
        <v>617</v>
      </c>
      <c r="H256" s="540"/>
      <c r="I256" s="540" t="s">
        <v>618</v>
      </c>
      <c r="J256" s="540"/>
      <c r="K256" s="541" t="s">
        <v>619</v>
      </c>
      <c r="L256" s="542"/>
      <c r="M256" s="547"/>
      <c r="N256" s="548"/>
      <c r="O256" s="553"/>
      <c r="P256" s="554"/>
      <c r="Q256" s="555"/>
      <c r="R256" s="159"/>
      <c r="T256" s="146"/>
      <c r="U256" s="539" t="s">
        <v>615</v>
      </c>
      <c r="V256" s="521" t="s">
        <v>616</v>
      </c>
      <c r="W256" s="521"/>
      <c r="X256" s="521" t="s">
        <v>583</v>
      </c>
      <c r="Y256" s="521" t="s">
        <v>617</v>
      </c>
      <c r="Z256" s="521"/>
      <c r="AA256" s="521" t="s">
        <v>618</v>
      </c>
      <c r="AB256" s="521"/>
      <c r="AC256" s="522" t="s">
        <v>619</v>
      </c>
      <c r="AD256" s="522"/>
      <c r="AE256" s="523"/>
      <c r="AF256" s="523"/>
      <c r="AG256" s="496"/>
      <c r="AH256" s="496"/>
      <c r="AI256" s="496"/>
      <c r="AJ256" s="159"/>
      <c r="AL256" s="196">
        <f>'[1]100.Motherdata'!AO65</f>
        <v>0</v>
      </c>
      <c r="AM256" s="196"/>
      <c r="AN256" s="196"/>
      <c r="AO256" s="196"/>
      <c r="AP256" s="197"/>
      <c r="AQ256" s="196"/>
      <c r="AR256" s="196"/>
      <c r="AS256" s="196"/>
      <c r="AT256" s="196"/>
    </row>
    <row r="257" spans="2:46" ht="20.149999999999999" customHeight="1">
      <c r="B257" s="146"/>
      <c r="C257" s="591"/>
      <c r="D257" s="540"/>
      <c r="E257" s="540"/>
      <c r="F257" s="540"/>
      <c r="G257" s="540"/>
      <c r="H257" s="540"/>
      <c r="I257" s="540"/>
      <c r="J257" s="540"/>
      <c r="K257" s="543"/>
      <c r="L257" s="544"/>
      <c r="M257" s="549"/>
      <c r="N257" s="550"/>
      <c r="O257" s="556"/>
      <c r="P257" s="557"/>
      <c r="Q257" s="558"/>
      <c r="R257" s="159"/>
      <c r="T257" s="146"/>
      <c r="U257" s="539"/>
      <c r="V257" s="521"/>
      <c r="W257" s="521"/>
      <c r="X257" s="521"/>
      <c r="Y257" s="521"/>
      <c r="Z257" s="521"/>
      <c r="AA257" s="521"/>
      <c r="AB257" s="521"/>
      <c r="AC257" s="522"/>
      <c r="AD257" s="522"/>
      <c r="AE257" s="523"/>
      <c r="AF257" s="523"/>
      <c r="AG257" s="496"/>
      <c r="AH257" s="496"/>
      <c r="AI257" s="496"/>
      <c r="AJ257" s="159"/>
      <c r="AL257" s="196"/>
      <c r="AM257" s="196"/>
      <c r="AN257" s="196"/>
      <c r="AO257" s="196"/>
      <c r="AP257" s="197"/>
      <c r="AQ257" s="196"/>
      <c r="AR257" s="196"/>
      <c r="AS257" s="196"/>
      <c r="AT257" s="196"/>
    </row>
    <row r="258" spans="2:46" ht="20.149999999999999" customHeight="1">
      <c r="B258" s="146"/>
      <c r="C258" s="591"/>
      <c r="D258" s="540"/>
      <c r="E258" s="540"/>
      <c r="F258" s="540"/>
      <c r="G258" s="540"/>
      <c r="H258" s="540"/>
      <c r="I258" s="540"/>
      <c r="J258" s="540"/>
      <c r="K258" s="545"/>
      <c r="L258" s="546"/>
      <c r="M258" s="551"/>
      <c r="N258" s="552"/>
      <c r="O258" s="559"/>
      <c r="P258" s="560"/>
      <c r="Q258" s="561"/>
      <c r="R258" s="159"/>
      <c r="T258" s="146"/>
      <c r="U258" s="539"/>
      <c r="V258" s="521"/>
      <c r="W258" s="521"/>
      <c r="X258" s="521"/>
      <c r="Y258" s="521"/>
      <c r="Z258" s="521"/>
      <c r="AA258" s="521"/>
      <c r="AB258" s="521"/>
      <c r="AC258" s="522"/>
      <c r="AD258" s="522"/>
      <c r="AE258" s="523"/>
      <c r="AF258" s="523"/>
      <c r="AG258" s="496"/>
      <c r="AH258" s="496"/>
      <c r="AI258" s="496"/>
      <c r="AJ258" s="159"/>
      <c r="AL258" s="196"/>
      <c r="AM258" s="196"/>
      <c r="AN258" s="196"/>
      <c r="AO258" s="196"/>
      <c r="AP258" s="197"/>
      <c r="AQ258" s="196"/>
      <c r="AR258" s="196"/>
      <c r="AS258" s="196"/>
      <c r="AT258" s="196"/>
    </row>
    <row r="259" spans="2:46" ht="20.149999999999999" customHeight="1">
      <c r="B259" s="146"/>
      <c r="C259" s="591" t="s">
        <v>620</v>
      </c>
      <c r="D259" s="540" t="s">
        <v>621</v>
      </c>
      <c r="E259" s="540"/>
      <c r="F259" s="540" t="s">
        <v>583</v>
      </c>
      <c r="G259" s="540" t="s">
        <v>622</v>
      </c>
      <c r="H259" s="540"/>
      <c r="I259" s="540" t="s">
        <v>623</v>
      </c>
      <c r="J259" s="540"/>
      <c r="K259" s="541" t="s">
        <v>624</v>
      </c>
      <c r="L259" s="542"/>
      <c r="M259" s="562"/>
      <c r="N259" s="563"/>
      <c r="O259" s="582"/>
      <c r="P259" s="583"/>
      <c r="Q259" s="584"/>
      <c r="R259" s="159"/>
      <c r="T259" s="146"/>
      <c r="U259" s="539" t="s">
        <v>620</v>
      </c>
      <c r="V259" s="521" t="s">
        <v>621</v>
      </c>
      <c r="W259" s="521"/>
      <c r="X259" s="521" t="s">
        <v>583</v>
      </c>
      <c r="Y259" s="521" t="s">
        <v>622</v>
      </c>
      <c r="Z259" s="521"/>
      <c r="AA259" s="521" t="s">
        <v>623</v>
      </c>
      <c r="AB259" s="521"/>
      <c r="AC259" s="522" t="s">
        <v>624</v>
      </c>
      <c r="AD259" s="522"/>
      <c r="AE259" s="523" t="str">
        <f>AVMDropdown!M35</f>
        <v>Not Applicable</v>
      </c>
      <c r="AF259" s="523"/>
      <c r="AG259" s="496" t="str">
        <f>AVMDropdown!N35</f>
        <v/>
      </c>
      <c r="AH259" s="496"/>
      <c r="AI259" s="496"/>
      <c r="AJ259" s="159"/>
      <c r="AL259" s="196"/>
      <c r="AM259" s="196"/>
      <c r="AN259" s="196"/>
      <c r="AO259" s="196"/>
      <c r="AP259" s="197"/>
      <c r="AQ259" s="196"/>
      <c r="AR259" s="196"/>
      <c r="AS259" s="196"/>
      <c r="AT259" s="196"/>
    </row>
    <row r="260" spans="2:46" ht="20.149999999999999" customHeight="1">
      <c r="B260" s="146"/>
      <c r="C260" s="591"/>
      <c r="D260" s="540"/>
      <c r="E260" s="540"/>
      <c r="F260" s="540"/>
      <c r="G260" s="540"/>
      <c r="H260" s="540"/>
      <c r="I260" s="540"/>
      <c r="J260" s="540"/>
      <c r="K260" s="543"/>
      <c r="L260" s="544"/>
      <c r="M260" s="564"/>
      <c r="N260" s="565"/>
      <c r="O260" s="585"/>
      <c r="P260" s="586"/>
      <c r="Q260" s="587"/>
      <c r="R260" s="159"/>
      <c r="T260" s="146"/>
      <c r="U260" s="539"/>
      <c r="V260" s="521"/>
      <c r="W260" s="521"/>
      <c r="X260" s="521"/>
      <c r="Y260" s="521"/>
      <c r="Z260" s="521"/>
      <c r="AA260" s="521"/>
      <c r="AB260" s="521"/>
      <c r="AC260" s="522"/>
      <c r="AD260" s="522"/>
      <c r="AE260" s="523"/>
      <c r="AF260" s="523"/>
      <c r="AG260" s="496"/>
      <c r="AH260" s="496"/>
      <c r="AI260" s="496"/>
      <c r="AJ260" s="159"/>
      <c r="AL260" s="196"/>
      <c r="AM260" s="196"/>
      <c r="AN260" s="196"/>
      <c r="AO260" s="196"/>
      <c r="AP260" s="197"/>
      <c r="AQ260" s="196"/>
      <c r="AR260" s="196"/>
      <c r="AS260" s="196"/>
      <c r="AT260" s="196"/>
    </row>
    <row r="261" spans="2:46" ht="20.149999999999999" customHeight="1">
      <c r="B261" s="146"/>
      <c r="C261" s="591"/>
      <c r="D261" s="540"/>
      <c r="E261" s="540"/>
      <c r="F261" s="540"/>
      <c r="G261" s="540"/>
      <c r="H261" s="540"/>
      <c r="I261" s="540"/>
      <c r="J261" s="540"/>
      <c r="K261" s="545"/>
      <c r="L261" s="546"/>
      <c r="M261" s="566"/>
      <c r="N261" s="567"/>
      <c r="O261" s="588"/>
      <c r="P261" s="589"/>
      <c r="Q261" s="590"/>
      <c r="R261" s="159"/>
      <c r="T261" s="146"/>
      <c r="U261" s="539"/>
      <c r="V261" s="521"/>
      <c r="W261" s="521"/>
      <c r="X261" s="521"/>
      <c r="Y261" s="521"/>
      <c r="Z261" s="521"/>
      <c r="AA261" s="521"/>
      <c r="AB261" s="521"/>
      <c r="AC261" s="522"/>
      <c r="AD261" s="522"/>
      <c r="AE261" s="523"/>
      <c r="AF261" s="523"/>
      <c r="AG261" s="496"/>
      <c r="AH261" s="496"/>
      <c r="AI261" s="496"/>
      <c r="AJ261" s="159"/>
      <c r="AL261" s="196"/>
      <c r="AM261" s="196"/>
      <c r="AN261" s="196"/>
      <c r="AO261" s="196"/>
      <c r="AP261" s="197"/>
      <c r="AQ261" s="196"/>
      <c r="AR261" s="196"/>
      <c r="AS261" s="196"/>
      <c r="AT261" s="196"/>
    </row>
    <row r="262" spans="2:46" ht="20.149999999999999" customHeight="1">
      <c r="B262" s="146"/>
      <c r="C262" s="591" t="s">
        <v>625</v>
      </c>
      <c r="D262" s="540" t="s">
        <v>626</v>
      </c>
      <c r="E262" s="540"/>
      <c r="F262" s="540" t="s">
        <v>583</v>
      </c>
      <c r="G262" s="540" t="s">
        <v>627</v>
      </c>
      <c r="H262" s="540"/>
      <c r="I262" s="540" t="s">
        <v>628</v>
      </c>
      <c r="J262" s="540"/>
      <c r="K262" s="541" t="s">
        <v>629</v>
      </c>
      <c r="L262" s="542"/>
      <c r="M262" s="547"/>
      <c r="N262" s="548"/>
      <c r="O262" s="553"/>
      <c r="P262" s="554"/>
      <c r="Q262" s="555"/>
      <c r="R262" s="159"/>
      <c r="T262" s="146"/>
      <c r="U262" s="539" t="s">
        <v>625</v>
      </c>
      <c r="V262" s="521" t="s">
        <v>626</v>
      </c>
      <c r="W262" s="521"/>
      <c r="X262" s="521" t="s">
        <v>583</v>
      </c>
      <c r="Y262" s="521" t="s">
        <v>627</v>
      </c>
      <c r="Z262" s="521"/>
      <c r="AA262" s="521" t="s">
        <v>628</v>
      </c>
      <c r="AB262" s="521"/>
      <c r="AC262" s="522" t="s">
        <v>629</v>
      </c>
      <c r="AD262" s="522"/>
      <c r="AE262" s="523" t="str">
        <f>IF(M262="","Not Applicable",M262)</f>
        <v>Not Applicable</v>
      </c>
      <c r="AF262" s="523"/>
      <c r="AG262" s="496" t="str">
        <f>IF(O262="","",O262)</f>
        <v/>
      </c>
      <c r="AH262" s="496"/>
      <c r="AI262" s="496"/>
      <c r="AJ262" s="159"/>
      <c r="AL262" s="196"/>
      <c r="AM262" s="196"/>
      <c r="AN262" s="196"/>
      <c r="AO262" s="196"/>
      <c r="AP262" s="197"/>
      <c r="AQ262" s="196"/>
      <c r="AR262" s="196"/>
      <c r="AS262" s="196"/>
      <c r="AT262" s="196"/>
    </row>
    <row r="263" spans="2:46" ht="20.149999999999999" customHeight="1">
      <c r="B263" s="146"/>
      <c r="C263" s="591"/>
      <c r="D263" s="540"/>
      <c r="E263" s="540"/>
      <c r="F263" s="540"/>
      <c r="G263" s="540"/>
      <c r="H263" s="540"/>
      <c r="I263" s="540"/>
      <c r="J263" s="540"/>
      <c r="K263" s="543"/>
      <c r="L263" s="544"/>
      <c r="M263" s="549"/>
      <c r="N263" s="550"/>
      <c r="O263" s="556"/>
      <c r="P263" s="557"/>
      <c r="Q263" s="558"/>
      <c r="R263" s="159"/>
      <c r="T263" s="146"/>
      <c r="U263" s="539"/>
      <c r="V263" s="521"/>
      <c r="W263" s="521"/>
      <c r="X263" s="521"/>
      <c r="Y263" s="521"/>
      <c r="Z263" s="521"/>
      <c r="AA263" s="521"/>
      <c r="AB263" s="521"/>
      <c r="AC263" s="522"/>
      <c r="AD263" s="522"/>
      <c r="AE263" s="523"/>
      <c r="AF263" s="523"/>
      <c r="AG263" s="496"/>
      <c r="AH263" s="496"/>
      <c r="AI263" s="496"/>
      <c r="AJ263" s="159"/>
      <c r="AL263" s="196"/>
      <c r="AM263" s="196"/>
      <c r="AN263" s="196"/>
      <c r="AO263" s="196"/>
      <c r="AP263" s="197"/>
      <c r="AQ263" s="196"/>
      <c r="AR263" s="196"/>
      <c r="AS263" s="196"/>
      <c r="AT263" s="196"/>
    </row>
    <row r="264" spans="2:46" ht="20.149999999999999" customHeight="1">
      <c r="B264" s="146"/>
      <c r="C264" s="591"/>
      <c r="D264" s="540"/>
      <c r="E264" s="540"/>
      <c r="F264" s="540"/>
      <c r="G264" s="540"/>
      <c r="H264" s="540"/>
      <c r="I264" s="540"/>
      <c r="J264" s="540"/>
      <c r="K264" s="545"/>
      <c r="L264" s="546"/>
      <c r="M264" s="551"/>
      <c r="N264" s="552"/>
      <c r="O264" s="559"/>
      <c r="P264" s="560"/>
      <c r="Q264" s="561"/>
      <c r="R264" s="159"/>
      <c r="T264" s="146"/>
      <c r="U264" s="539"/>
      <c r="V264" s="521"/>
      <c r="W264" s="521"/>
      <c r="X264" s="521"/>
      <c r="Y264" s="521"/>
      <c r="Z264" s="521"/>
      <c r="AA264" s="521"/>
      <c r="AB264" s="521"/>
      <c r="AC264" s="522"/>
      <c r="AD264" s="522"/>
      <c r="AE264" s="523"/>
      <c r="AF264" s="523"/>
      <c r="AG264" s="496"/>
      <c r="AH264" s="496"/>
      <c r="AI264" s="496"/>
      <c r="AJ264" s="159"/>
      <c r="AL264" s="196"/>
      <c r="AM264" s="196"/>
      <c r="AN264" s="196"/>
      <c r="AO264" s="196"/>
      <c r="AP264" s="197"/>
      <c r="AQ264" s="196"/>
      <c r="AR264" s="196"/>
      <c r="AS264" s="196"/>
      <c r="AT264" s="196"/>
    </row>
    <row r="265" spans="2:46" ht="20.149999999999999" customHeight="1">
      <c r="B265" s="146"/>
      <c r="C265" s="682" t="s">
        <v>630</v>
      </c>
      <c r="D265" s="508" t="s">
        <v>631</v>
      </c>
      <c r="E265" s="508"/>
      <c r="F265" s="508" t="s">
        <v>583</v>
      </c>
      <c r="G265" s="508" t="s">
        <v>627</v>
      </c>
      <c r="H265" s="508"/>
      <c r="I265" s="508" t="s">
        <v>632</v>
      </c>
      <c r="J265" s="508"/>
      <c r="K265" s="509" t="s">
        <v>633</v>
      </c>
      <c r="L265" s="510"/>
      <c r="M265" s="515" t="s">
        <v>587</v>
      </c>
      <c r="N265" s="516"/>
      <c r="O265" s="497"/>
      <c r="P265" s="498"/>
      <c r="Q265" s="499"/>
      <c r="R265" s="159"/>
      <c r="T265" s="146"/>
      <c r="U265" s="539" t="s">
        <v>630</v>
      </c>
      <c r="V265" s="521" t="s">
        <v>631</v>
      </c>
      <c r="W265" s="521"/>
      <c r="X265" s="521" t="s">
        <v>583</v>
      </c>
      <c r="Y265" s="521" t="s">
        <v>627</v>
      </c>
      <c r="Z265" s="521"/>
      <c r="AA265" s="521" t="s">
        <v>632</v>
      </c>
      <c r="AB265" s="521"/>
      <c r="AC265" s="522" t="s">
        <v>633</v>
      </c>
      <c r="AD265" s="522"/>
      <c r="AE265" s="523" t="s">
        <v>587</v>
      </c>
      <c r="AF265" s="523"/>
      <c r="AG265" s="496"/>
      <c r="AH265" s="496"/>
      <c r="AI265" s="496"/>
      <c r="AJ265" s="159"/>
      <c r="AL265" s="196"/>
      <c r="AM265" s="196"/>
      <c r="AN265" s="196"/>
      <c r="AO265" s="196"/>
      <c r="AP265" s="197"/>
      <c r="AQ265" s="196"/>
      <c r="AR265" s="196"/>
      <c r="AS265" s="196"/>
      <c r="AT265" s="196"/>
    </row>
    <row r="266" spans="2:46" ht="20.149999999999999" customHeight="1">
      <c r="B266" s="146"/>
      <c r="C266" s="682"/>
      <c r="D266" s="508"/>
      <c r="E266" s="508"/>
      <c r="F266" s="508"/>
      <c r="G266" s="508"/>
      <c r="H266" s="508"/>
      <c r="I266" s="508"/>
      <c r="J266" s="508"/>
      <c r="K266" s="511"/>
      <c r="L266" s="512"/>
      <c r="M266" s="517"/>
      <c r="N266" s="518"/>
      <c r="O266" s="500"/>
      <c r="P266" s="501"/>
      <c r="Q266" s="502"/>
      <c r="R266" s="159"/>
      <c r="T266" s="146"/>
      <c r="U266" s="539"/>
      <c r="V266" s="521"/>
      <c r="W266" s="521"/>
      <c r="X266" s="521"/>
      <c r="Y266" s="521"/>
      <c r="Z266" s="521"/>
      <c r="AA266" s="521"/>
      <c r="AB266" s="521"/>
      <c r="AC266" s="522"/>
      <c r="AD266" s="522"/>
      <c r="AE266" s="523"/>
      <c r="AF266" s="523"/>
      <c r="AG266" s="496"/>
      <c r="AH266" s="496"/>
      <c r="AI266" s="496"/>
      <c r="AJ266" s="159"/>
      <c r="AL266" s="196"/>
      <c r="AM266" s="196"/>
      <c r="AN266" s="196"/>
      <c r="AO266" s="196"/>
      <c r="AP266" s="197"/>
      <c r="AQ266" s="196"/>
      <c r="AR266" s="196"/>
      <c r="AS266" s="196"/>
      <c r="AT266" s="196"/>
    </row>
    <row r="267" spans="2:46" ht="20.149999999999999" customHeight="1">
      <c r="B267" s="146"/>
      <c r="C267" s="682"/>
      <c r="D267" s="508"/>
      <c r="E267" s="508"/>
      <c r="F267" s="508"/>
      <c r="G267" s="508"/>
      <c r="H267" s="508"/>
      <c r="I267" s="508"/>
      <c r="J267" s="508"/>
      <c r="K267" s="513"/>
      <c r="L267" s="514"/>
      <c r="M267" s="519"/>
      <c r="N267" s="520"/>
      <c r="O267" s="503"/>
      <c r="P267" s="504"/>
      <c r="Q267" s="505"/>
      <c r="R267" s="159"/>
      <c r="T267" s="146"/>
      <c r="U267" s="539"/>
      <c r="V267" s="521"/>
      <c r="W267" s="521"/>
      <c r="X267" s="521"/>
      <c r="Y267" s="521"/>
      <c r="Z267" s="521"/>
      <c r="AA267" s="521"/>
      <c r="AB267" s="521"/>
      <c r="AC267" s="522"/>
      <c r="AD267" s="522"/>
      <c r="AE267" s="523"/>
      <c r="AF267" s="523"/>
      <c r="AG267" s="496"/>
      <c r="AH267" s="496"/>
      <c r="AI267" s="496"/>
      <c r="AJ267" s="159"/>
      <c r="AL267" s="196"/>
      <c r="AM267" s="196"/>
      <c r="AN267" s="196"/>
      <c r="AO267" s="196"/>
      <c r="AP267" s="197"/>
      <c r="AQ267" s="196"/>
      <c r="AR267" s="196"/>
      <c r="AS267" s="196"/>
      <c r="AT267" s="196"/>
    </row>
    <row r="268" spans="2:46" ht="20.149999999999999" customHeight="1">
      <c r="B268" s="146"/>
      <c r="C268" s="682">
        <v>10</v>
      </c>
      <c r="D268" s="508" t="s">
        <v>634</v>
      </c>
      <c r="E268" s="508"/>
      <c r="F268" s="508" t="s">
        <v>583</v>
      </c>
      <c r="G268" s="508" t="s">
        <v>635</v>
      </c>
      <c r="H268" s="508"/>
      <c r="I268" s="508" t="s">
        <v>636</v>
      </c>
      <c r="J268" s="508"/>
      <c r="K268" s="533" t="s">
        <v>637</v>
      </c>
      <c r="L268" s="534"/>
      <c r="M268" s="515" t="s">
        <v>587</v>
      </c>
      <c r="N268" s="516"/>
      <c r="O268" s="497"/>
      <c r="P268" s="498"/>
      <c r="Q268" s="499"/>
      <c r="R268" s="159"/>
      <c r="T268" s="146"/>
      <c r="U268" s="539">
        <v>10</v>
      </c>
      <c r="V268" s="521" t="s">
        <v>634</v>
      </c>
      <c r="W268" s="521"/>
      <c r="X268" s="521" t="s">
        <v>583</v>
      </c>
      <c r="Y268" s="521" t="s">
        <v>635</v>
      </c>
      <c r="Z268" s="521"/>
      <c r="AA268" s="521" t="s">
        <v>636</v>
      </c>
      <c r="AB268" s="521"/>
      <c r="AC268" s="521" t="s">
        <v>637</v>
      </c>
      <c r="AD268" s="521"/>
      <c r="AE268" s="523" t="s">
        <v>587</v>
      </c>
      <c r="AF268" s="523"/>
      <c r="AG268" s="496"/>
      <c r="AH268" s="496"/>
      <c r="AI268" s="496"/>
      <c r="AJ268" s="159"/>
      <c r="AL268" s="204"/>
      <c r="AM268" s="204"/>
      <c r="AN268" s="204"/>
      <c r="AO268" s="204"/>
      <c r="AP268" s="206"/>
      <c r="AQ268" s="204"/>
      <c r="AR268" s="204"/>
      <c r="AS268" s="204"/>
      <c r="AT268" s="204"/>
    </row>
    <row r="269" spans="2:46" ht="20.149999999999999" customHeight="1">
      <c r="B269" s="146"/>
      <c r="C269" s="682"/>
      <c r="D269" s="508"/>
      <c r="E269" s="508"/>
      <c r="F269" s="508"/>
      <c r="G269" s="508"/>
      <c r="H269" s="508"/>
      <c r="I269" s="508"/>
      <c r="J269" s="508"/>
      <c r="K269" s="535"/>
      <c r="L269" s="536"/>
      <c r="M269" s="517"/>
      <c r="N269" s="518"/>
      <c r="O269" s="500"/>
      <c r="P269" s="501"/>
      <c r="Q269" s="502"/>
      <c r="R269" s="159"/>
      <c r="T269" s="146"/>
      <c r="U269" s="539"/>
      <c r="V269" s="521"/>
      <c r="W269" s="521"/>
      <c r="X269" s="521"/>
      <c r="Y269" s="521"/>
      <c r="Z269" s="521"/>
      <c r="AA269" s="521"/>
      <c r="AB269" s="521"/>
      <c r="AC269" s="521"/>
      <c r="AD269" s="521"/>
      <c r="AE269" s="523"/>
      <c r="AF269" s="523"/>
      <c r="AG269" s="496"/>
      <c r="AH269" s="496"/>
      <c r="AI269" s="496"/>
      <c r="AJ269" s="159"/>
      <c r="AL269" s="196"/>
      <c r="AM269" s="196"/>
      <c r="AN269" s="196"/>
      <c r="AO269" s="196"/>
      <c r="AP269" s="197"/>
      <c r="AQ269" s="196"/>
      <c r="AR269" s="196"/>
      <c r="AS269" s="196"/>
      <c r="AT269" s="196"/>
    </row>
    <row r="270" spans="2:46" ht="20.149999999999999" customHeight="1">
      <c r="B270" s="146"/>
      <c r="C270" s="682"/>
      <c r="D270" s="508"/>
      <c r="E270" s="508"/>
      <c r="F270" s="508"/>
      <c r="G270" s="508"/>
      <c r="H270" s="508"/>
      <c r="I270" s="508"/>
      <c r="J270" s="508"/>
      <c r="K270" s="537"/>
      <c r="L270" s="538"/>
      <c r="M270" s="519"/>
      <c r="N270" s="520"/>
      <c r="O270" s="503"/>
      <c r="P270" s="504"/>
      <c r="Q270" s="505"/>
      <c r="R270" s="159"/>
      <c r="T270" s="146"/>
      <c r="U270" s="539"/>
      <c r="V270" s="521"/>
      <c r="W270" s="521"/>
      <c r="X270" s="521"/>
      <c r="Y270" s="521"/>
      <c r="Z270" s="521"/>
      <c r="AA270" s="521"/>
      <c r="AB270" s="521"/>
      <c r="AC270" s="521"/>
      <c r="AD270" s="521"/>
      <c r="AE270" s="523"/>
      <c r="AF270" s="523"/>
      <c r="AG270" s="496"/>
      <c r="AH270" s="496"/>
      <c r="AI270" s="496"/>
      <c r="AJ270" s="159"/>
      <c r="AL270" s="196"/>
      <c r="AM270" s="196"/>
      <c r="AN270" s="196"/>
      <c r="AO270" s="196"/>
      <c r="AP270" s="197"/>
      <c r="AQ270" s="196"/>
      <c r="AR270" s="196"/>
      <c r="AS270" s="196"/>
      <c r="AT270" s="196"/>
    </row>
    <row r="271" spans="2:46" ht="20.149999999999999" customHeight="1">
      <c r="B271" s="146"/>
      <c r="C271" s="682">
        <v>11</v>
      </c>
      <c r="D271" s="508" t="s">
        <v>638</v>
      </c>
      <c r="E271" s="508"/>
      <c r="F271" s="508" t="s">
        <v>583</v>
      </c>
      <c r="G271" s="508" t="s">
        <v>639</v>
      </c>
      <c r="H271" s="508"/>
      <c r="I271" s="508" t="s">
        <v>636</v>
      </c>
      <c r="J271" s="508"/>
      <c r="K271" s="509" t="s">
        <v>640</v>
      </c>
      <c r="L271" s="510"/>
      <c r="M271" s="515" t="s">
        <v>587</v>
      </c>
      <c r="N271" s="516"/>
      <c r="O271" s="497"/>
      <c r="P271" s="498"/>
      <c r="Q271" s="499"/>
      <c r="R271" s="159"/>
      <c r="T271" s="146"/>
      <c r="U271" s="539">
        <v>11</v>
      </c>
      <c r="V271" s="521" t="s">
        <v>638</v>
      </c>
      <c r="W271" s="521"/>
      <c r="X271" s="521" t="s">
        <v>583</v>
      </c>
      <c r="Y271" s="521" t="s">
        <v>639</v>
      </c>
      <c r="Z271" s="521"/>
      <c r="AA271" s="521" t="s">
        <v>636</v>
      </c>
      <c r="AB271" s="521"/>
      <c r="AC271" s="522" t="s">
        <v>640</v>
      </c>
      <c r="AD271" s="522"/>
      <c r="AE271" s="523" t="s">
        <v>587</v>
      </c>
      <c r="AF271" s="523"/>
      <c r="AG271" s="496"/>
      <c r="AH271" s="496"/>
      <c r="AI271" s="496"/>
      <c r="AJ271" s="159"/>
      <c r="AL271" s="196"/>
      <c r="AM271" s="196"/>
      <c r="AN271" s="196"/>
      <c r="AO271" s="196"/>
      <c r="AP271" s="197"/>
      <c r="AQ271" s="196"/>
      <c r="AR271" s="196"/>
      <c r="AS271" s="196"/>
      <c r="AT271" s="196"/>
    </row>
    <row r="272" spans="2:46" ht="20.149999999999999" customHeight="1">
      <c r="B272" s="146"/>
      <c r="C272" s="682"/>
      <c r="D272" s="508"/>
      <c r="E272" s="508"/>
      <c r="F272" s="508"/>
      <c r="G272" s="508"/>
      <c r="H272" s="508"/>
      <c r="I272" s="508"/>
      <c r="J272" s="508"/>
      <c r="K272" s="511"/>
      <c r="L272" s="512"/>
      <c r="M272" s="517"/>
      <c r="N272" s="518"/>
      <c r="O272" s="500"/>
      <c r="P272" s="501"/>
      <c r="Q272" s="502"/>
      <c r="R272" s="159"/>
      <c r="T272" s="146"/>
      <c r="U272" s="539"/>
      <c r="V272" s="521"/>
      <c r="W272" s="521"/>
      <c r="X272" s="521"/>
      <c r="Y272" s="521"/>
      <c r="Z272" s="521"/>
      <c r="AA272" s="521"/>
      <c r="AB272" s="521"/>
      <c r="AC272" s="522"/>
      <c r="AD272" s="522"/>
      <c r="AE272" s="523"/>
      <c r="AF272" s="523"/>
      <c r="AG272" s="496"/>
      <c r="AH272" s="496"/>
      <c r="AI272" s="496"/>
      <c r="AJ272" s="159"/>
      <c r="AL272" s="196"/>
      <c r="AM272" s="196"/>
      <c r="AN272" s="196"/>
      <c r="AO272" s="196"/>
      <c r="AP272" s="197"/>
      <c r="AQ272" s="196"/>
      <c r="AR272" s="196"/>
      <c r="AS272" s="196"/>
      <c r="AT272" s="196"/>
    </row>
    <row r="273" spans="2:46" ht="20.149999999999999" customHeight="1">
      <c r="B273" s="146"/>
      <c r="C273" s="682"/>
      <c r="D273" s="508"/>
      <c r="E273" s="508"/>
      <c r="F273" s="508"/>
      <c r="G273" s="508"/>
      <c r="H273" s="508"/>
      <c r="I273" s="508"/>
      <c r="J273" s="508"/>
      <c r="K273" s="513"/>
      <c r="L273" s="514"/>
      <c r="M273" s="519"/>
      <c r="N273" s="520"/>
      <c r="O273" s="503"/>
      <c r="P273" s="504"/>
      <c r="Q273" s="505"/>
      <c r="R273" s="159"/>
      <c r="T273" s="146"/>
      <c r="U273" s="539"/>
      <c r="V273" s="521"/>
      <c r="W273" s="521"/>
      <c r="X273" s="521"/>
      <c r="Y273" s="521"/>
      <c r="Z273" s="521"/>
      <c r="AA273" s="521"/>
      <c r="AB273" s="521"/>
      <c r="AC273" s="522"/>
      <c r="AD273" s="522"/>
      <c r="AE273" s="523"/>
      <c r="AF273" s="523"/>
      <c r="AG273" s="496"/>
      <c r="AH273" s="496"/>
      <c r="AI273" s="496"/>
      <c r="AJ273" s="159"/>
      <c r="AL273" s="196"/>
      <c r="AM273" s="196"/>
      <c r="AN273" s="196"/>
      <c r="AO273" s="196"/>
      <c r="AP273" s="197"/>
      <c r="AQ273" s="196"/>
      <c r="AR273" s="196"/>
      <c r="AS273" s="196"/>
      <c r="AT273" s="196"/>
    </row>
    <row r="274" spans="2:46" ht="20.149999999999999" customHeight="1">
      <c r="B274" s="146"/>
      <c r="C274" s="682">
        <v>12</v>
      </c>
      <c r="D274" s="508" t="s">
        <v>641</v>
      </c>
      <c r="E274" s="508"/>
      <c r="F274" s="508" t="s">
        <v>583</v>
      </c>
      <c r="G274" s="508" t="s">
        <v>642</v>
      </c>
      <c r="H274" s="508"/>
      <c r="I274" s="508" t="s">
        <v>628</v>
      </c>
      <c r="J274" s="508"/>
      <c r="K274" s="509" t="s">
        <v>643</v>
      </c>
      <c r="L274" s="510"/>
      <c r="M274" s="515" t="s">
        <v>644</v>
      </c>
      <c r="N274" s="516"/>
      <c r="O274" s="524" t="s">
        <v>645</v>
      </c>
      <c r="P274" s="525"/>
      <c r="Q274" s="526"/>
      <c r="R274" s="159"/>
      <c r="T274" s="146"/>
      <c r="U274" s="539">
        <v>12</v>
      </c>
      <c r="V274" s="521" t="s">
        <v>641</v>
      </c>
      <c r="W274" s="521"/>
      <c r="X274" s="521" t="s">
        <v>583</v>
      </c>
      <c r="Y274" s="521" t="s">
        <v>642</v>
      </c>
      <c r="Z274" s="521"/>
      <c r="AA274" s="521" t="s">
        <v>628</v>
      </c>
      <c r="AB274" s="521"/>
      <c r="AC274" s="522" t="s">
        <v>643</v>
      </c>
      <c r="AD274" s="522"/>
      <c r="AE274" s="523" t="s">
        <v>644</v>
      </c>
      <c r="AF274" s="523"/>
      <c r="AG274" s="496" t="s">
        <v>645</v>
      </c>
      <c r="AH274" s="496"/>
      <c r="AI274" s="496"/>
      <c r="AJ274" s="159"/>
      <c r="AL274" s="196"/>
      <c r="AM274" s="196"/>
      <c r="AN274" s="196"/>
      <c r="AO274" s="196"/>
      <c r="AP274" s="197"/>
      <c r="AQ274" s="196"/>
      <c r="AR274" s="196"/>
      <c r="AS274" s="196"/>
      <c r="AT274" s="196"/>
    </row>
    <row r="275" spans="2:46" ht="20.149999999999999" customHeight="1">
      <c r="B275" s="146"/>
      <c r="C275" s="682"/>
      <c r="D275" s="508"/>
      <c r="E275" s="508"/>
      <c r="F275" s="508"/>
      <c r="G275" s="508"/>
      <c r="H275" s="508"/>
      <c r="I275" s="508"/>
      <c r="J275" s="508"/>
      <c r="K275" s="511"/>
      <c r="L275" s="512"/>
      <c r="M275" s="517"/>
      <c r="N275" s="518"/>
      <c r="O275" s="527"/>
      <c r="P275" s="528"/>
      <c r="Q275" s="529"/>
      <c r="R275" s="159"/>
      <c r="T275" s="146"/>
      <c r="U275" s="539"/>
      <c r="V275" s="521"/>
      <c r="W275" s="521"/>
      <c r="X275" s="521"/>
      <c r="Y275" s="521"/>
      <c r="Z275" s="521"/>
      <c r="AA275" s="521"/>
      <c r="AB275" s="521"/>
      <c r="AC275" s="522"/>
      <c r="AD275" s="522"/>
      <c r="AE275" s="523"/>
      <c r="AF275" s="523"/>
      <c r="AG275" s="496"/>
      <c r="AH275" s="496"/>
      <c r="AI275" s="496"/>
      <c r="AJ275" s="159"/>
      <c r="AL275" s="196"/>
      <c r="AM275" s="196"/>
      <c r="AN275" s="196"/>
      <c r="AO275" s="196"/>
      <c r="AP275" s="197"/>
      <c r="AQ275" s="196"/>
      <c r="AR275" s="196"/>
      <c r="AS275" s="196"/>
      <c r="AT275" s="196"/>
    </row>
    <row r="276" spans="2:46" ht="20.149999999999999" customHeight="1">
      <c r="B276" s="146"/>
      <c r="C276" s="682"/>
      <c r="D276" s="508"/>
      <c r="E276" s="508"/>
      <c r="F276" s="508"/>
      <c r="G276" s="508"/>
      <c r="H276" s="508"/>
      <c r="I276" s="508"/>
      <c r="J276" s="508"/>
      <c r="K276" s="513"/>
      <c r="L276" s="514"/>
      <c r="M276" s="519"/>
      <c r="N276" s="520"/>
      <c r="O276" s="530"/>
      <c r="P276" s="531"/>
      <c r="Q276" s="532"/>
      <c r="R276" s="159"/>
      <c r="T276" s="146"/>
      <c r="U276" s="539"/>
      <c r="V276" s="521"/>
      <c r="W276" s="521"/>
      <c r="X276" s="521"/>
      <c r="Y276" s="521"/>
      <c r="Z276" s="521"/>
      <c r="AA276" s="521"/>
      <c r="AB276" s="521"/>
      <c r="AC276" s="522"/>
      <c r="AD276" s="522"/>
      <c r="AE276" s="523"/>
      <c r="AF276" s="523"/>
      <c r="AG276" s="496"/>
      <c r="AH276" s="496"/>
      <c r="AI276" s="496"/>
      <c r="AJ276" s="159"/>
      <c r="AL276" s="196"/>
      <c r="AM276" s="196"/>
      <c r="AN276" s="196"/>
      <c r="AO276" s="196"/>
      <c r="AP276" s="197"/>
      <c r="AQ276" s="196"/>
      <c r="AR276" s="196"/>
      <c r="AS276" s="196"/>
      <c r="AT276" s="196"/>
    </row>
    <row r="277" spans="2:46" ht="20.149999999999999" customHeight="1">
      <c r="B277" s="146"/>
      <c r="C277" s="682">
        <v>13</v>
      </c>
      <c r="D277" s="508" t="s">
        <v>646</v>
      </c>
      <c r="E277" s="508"/>
      <c r="F277" s="508" t="s">
        <v>583</v>
      </c>
      <c r="G277" s="508" t="s">
        <v>647</v>
      </c>
      <c r="H277" s="508"/>
      <c r="I277" s="508" t="s">
        <v>585</v>
      </c>
      <c r="J277" s="508"/>
      <c r="K277" s="533" t="s">
        <v>648</v>
      </c>
      <c r="L277" s="534"/>
      <c r="M277" s="515" t="s">
        <v>587</v>
      </c>
      <c r="N277" s="516"/>
      <c r="O277" s="497"/>
      <c r="P277" s="498"/>
      <c r="Q277" s="499"/>
      <c r="R277" s="159"/>
      <c r="T277" s="146"/>
      <c r="U277" s="539">
        <v>13</v>
      </c>
      <c r="V277" s="521" t="s">
        <v>646</v>
      </c>
      <c r="W277" s="521"/>
      <c r="X277" s="521" t="s">
        <v>583</v>
      </c>
      <c r="Y277" s="521" t="s">
        <v>647</v>
      </c>
      <c r="Z277" s="521"/>
      <c r="AA277" s="521" t="s">
        <v>585</v>
      </c>
      <c r="AB277" s="521"/>
      <c r="AC277" s="521" t="s">
        <v>648</v>
      </c>
      <c r="AD277" s="521"/>
      <c r="AE277" s="523" t="s">
        <v>587</v>
      </c>
      <c r="AF277" s="523"/>
      <c r="AG277" s="496"/>
      <c r="AH277" s="496"/>
      <c r="AI277" s="496"/>
      <c r="AJ277" s="159"/>
      <c r="AL277" s="196"/>
      <c r="AM277" s="196"/>
      <c r="AN277" s="196"/>
      <c r="AO277" s="196"/>
      <c r="AP277" s="197"/>
      <c r="AQ277" s="196"/>
      <c r="AR277" s="196"/>
      <c r="AS277" s="196"/>
      <c r="AT277" s="196"/>
    </row>
    <row r="278" spans="2:46" ht="20.149999999999999" customHeight="1">
      <c r="B278" s="146"/>
      <c r="C278" s="682"/>
      <c r="D278" s="508"/>
      <c r="E278" s="508"/>
      <c r="F278" s="508"/>
      <c r="G278" s="508"/>
      <c r="H278" s="508"/>
      <c r="I278" s="508"/>
      <c r="J278" s="508"/>
      <c r="K278" s="535"/>
      <c r="L278" s="536"/>
      <c r="M278" s="517"/>
      <c r="N278" s="518"/>
      <c r="O278" s="500"/>
      <c r="P278" s="501"/>
      <c r="Q278" s="502"/>
      <c r="R278" s="159"/>
      <c r="T278" s="146"/>
      <c r="U278" s="539"/>
      <c r="V278" s="521"/>
      <c r="W278" s="521"/>
      <c r="X278" s="521"/>
      <c r="Y278" s="521"/>
      <c r="Z278" s="521"/>
      <c r="AA278" s="521"/>
      <c r="AB278" s="521"/>
      <c r="AC278" s="521"/>
      <c r="AD278" s="521"/>
      <c r="AE278" s="523"/>
      <c r="AF278" s="523"/>
      <c r="AG278" s="496"/>
      <c r="AH278" s="496"/>
      <c r="AI278" s="496"/>
      <c r="AJ278" s="159"/>
      <c r="AL278" s="196"/>
      <c r="AM278" s="196"/>
      <c r="AN278" s="196"/>
      <c r="AO278" s="196"/>
      <c r="AP278" s="197"/>
      <c r="AQ278" s="196"/>
      <c r="AR278" s="196"/>
      <c r="AS278" s="196"/>
      <c r="AT278" s="196"/>
    </row>
    <row r="279" spans="2:46" ht="20.149999999999999" customHeight="1">
      <c r="B279" s="146"/>
      <c r="C279" s="682"/>
      <c r="D279" s="508"/>
      <c r="E279" s="508"/>
      <c r="F279" s="508"/>
      <c r="G279" s="508"/>
      <c r="H279" s="508"/>
      <c r="I279" s="508"/>
      <c r="J279" s="508"/>
      <c r="K279" s="537"/>
      <c r="L279" s="538"/>
      <c r="M279" s="519"/>
      <c r="N279" s="520"/>
      <c r="O279" s="503"/>
      <c r="P279" s="504"/>
      <c r="Q279" s="505"/>
      <c r="R279" s="159"/>
      <c r="T279" s="146"/>
      <c r="U279" s="539"/>
      <c r="V279" s="521"/>
      <c r="W279" s="521"/>
      <c r="X279" s="521"/>
      <c r="Y279" s="521"/>
      <c r="Z279" s="521"/>
      <c r="AA279" s="521"/>
      <c r="AB279" s="521"/>
      <c r="AC279" s="521"/>
      <c r="AD279" s="521"/>
      <c r="AE279" s="523"/>
      <c r="AF279" s="523"/>
      <c r="AG279" s="496"/>
      <c r="AH279" s="496"/>
      <c r="AI279" s="496"/>
      <c r="AJ279" s="159"/>
      <c r="AL279" s="196"/>
      <c r="AM279" s="196"/>
      <c r="AN279" s="196"/>
      <c r="AO279" s="196"/>
      <c r="AP279" s="197"/>
      <c r="AQ279" s="196"/>
      <c r="AR279" s="196"/>
      <c r="AS279" s="196"/>
      <c r="AT279" s="196"/>
    </row>
    <row r="280" spans="2:46" ht="20.149999999999999" customHeight="1">
      <c r="B280" s="146"/>
      <c r="C280" s="682">
        <v>14</v>
      </c>
      <c r="D280" s="508" t="s">
        <v>649</v>
      </c>
      <c r="E280" s="508"/>
      <c r="F280" s="508" t="s">
        <v>583</v>
      </c>
      <c r="G280" s="508" t="s">
        <v>647</v>
      </c>
      <c r="H280" s="508"/>
      <c r="I280" s="508" t="s">
        <v>585</v>
      </c>
      <c r="J280" s="508"/>
      <c r="K280" s="533" t="s">
        <v>648</v>
      </c>
      <c r="L280" s="534"/>
      <c r="M280" s="515" t="s">
        <v>587</v>
      </c>
      <c r="N280" s="516"/>
      <c r="O280" s="497"/>
      <c r="P280" s="498"/>
      <c r="Q280" s="499"/>
      <c r="R280" s="159"/>
      <c r="T280" s="146"/>
      <c r="U280" s="539">
        <v>14</v>
      </c>
      <c r="V280" s="521" t="s">
        <v>649</v>
      </c>
      <c r="W280" s="521"/>
      <c r="X280" s="521" t="s">
        <v>583</v>
      </c>
      <c r="Y280" s="521" t="s">
        <v>647</v>
      </c>
      <c r="Z280" s="521"/>
      <c r="AA280" s="521" t="s">
        <v>585</v>
      </c>
      <c r="AB280" s="521"/>
      <c r="AC280" s="521" t="s">
        <v>648</v>
      </c>
      <c r="AD280" s="521"/>
      <c r="AE280" s="523" t="s">
        <v>587</v>
      </c>
      <c r="AF280" s="523"/>
      <c r="AG280" s="496"/>
      <c r="AH280" s="496"/>
      <c r="AI280" s="496"/>
      <c r="AJ280" s="159"/>
      <c r="AL280" s="205"/>
      <c r="AM280" s="205"/>
      <c r="AN280" s="205"/>
      <c r="AO280" s="688"/>
      <c r="AP280" s="688"/>
      <c r="AQ280" s="688"/>
      <c r="AR280" s="205"/>
      <c r="AS280" s="205"/>
      <c r="AT280" s="205"/>
    </row>
    <row r="281" spans="2:46" ht="20.149999999999999" customHeight="1">
      <c r="B281" s="146"/>
      <c r="C281" s="682"/>
      <c r="D281" s="508"/>
      <c r="E281" s="508"/>
      <c r="F281" s="508"/>
      <c r="G281" s="508"/>
      <c r="H281" s="508"/>
      <c r="I281" s="508"/>
      <c r="J281" s="508"/>
      <c r="K281" s="535"/>
      <c r="L281" s="536"/>
      <c r="M281" s="517"/>
      <c r="N281" s="518"/>
      <c r="O281" s="500"/>
      <c r="P281" s="501"/>
      <c r="Q281" s="502"/>
      <c r="R281" s="159"/>
      <c r="T281" s="146"/>
      <c r="U281" s="539"/>
      <c r="V281" s="521"/>
      <c r="W281" s="521"/>
      <c r="X281" s="521"/>
      <c r="Y281" s="521"/>
      <c r="Z281" s="521"/>
      <c r="AA281" s="521"/>
      <c r="AB281" s="521"/>
      <c r="AC281" s="521"/>
      <c r="AD281" s="521"/>
      <c r="AE281" s="523"/>
      <c r="AF281" s="523"/>
      <c r="AG281" s="496"/>
      <c r="AH281" s="496"/>
      <c r="AI281" s="496"/>
      <c r="AJ281" s="159"/>
      <c r="AL281" s="196"/>
      <c r="AM281" s="196"/>
      <c r="AN281" s="196"/>
      <c r="AO281" s="209"/>
      <c r="AP281" s="209"/>
      <c r="AQ281" s="209"/>
      <c r="AR281" s="196"/>
      <c r="AS281" s="196"/>
      <c r="AT281" s="196"/>
    </row>
    <row r="282" spans="2:46" ht="20.149999999999999" customHeight="1">
      <c r="B282" s="146"/>
      <c r="C282" s="682"/>
      <c r="D282" s="508"/>
      <c r="E282" s="508"/>
      <c r="F282" s="508"/>
      <c r="G282" s="508"/>
      <c r="H282" s="508"/>
      <c r="I282" s="508"/>
      <c r="J282" s="508"/>
      <c r="K282" s="537"/>
      <c r="L282" s="538"/>
      <c r="M282" s="519"/>
      <c r="N282" s="520"/>
      <c r="O282" s="503"/>
      <c r="P282" s="504"/>
      <c r="Q282" s="505"/>
      <c r="R282" s="159"/>
      <c r="T282" s="146"/>
      <c r="U282" s="539"/>
      <c r="V282" s="521"/>
      <c r="W282" s="521"/>
      <c r="X282" s="521"/>
      <c r="Y282" s="521"/>
      <c r="Z282" s="521"/>
      <c r="AA282" s="521"/>
      <c r="AB282" s="521"/>
      <c r="AC282" s="521"/>
      <c r="AD282" s="521"/>
      <c r="AE282" s="523"/>
      <c r="AF282" s="523"/>
      <c r="AG282" s="496"/>
      <c r="AH282" s="496"/>
      <c r="AI282" s="496"/>
      <c r="AJ282" s="159"/>
      <c r="AL282" s="196"/>
      <c r="AM282" s="196"/>
      <c r="AN282" s="196"/>
      <c r="AO282" s="209"/>
      <c r="AP282" s="209"/>
      <c r="AQ282" s="209"/>
      <c r="AR282" s="196"/>
      <c r="AS282" s="196"/>
      <c r="AT282" s="196"/>
    </row>
    <row r="283" spans="2:46" ht="20.149999999999999" customHeight="1">
      <c r="B283" s="173"/>
      <c r="C283" s="682">
        <v>15</v>
      </c>
      <c r="D283" s="508" t="s">
        <v>650</v>
      </c>
      <c r="E283" s="508"/>
      <c r="F283" s="508" t="s">
        <v>651</v>
      </c>
      <c r="G283" s="508" t="s">
        <v>647</v>
      </c>
      <c r="H283" s="508"/>
      <c r="I283" s="508" t="s">
        <v>585</v>
      </c>
      <c r="J283" s="508"/>
      <c r="K283" s="509" t="s">
        <v>652</v>
      </c>
      <c r="L283" s="510"/>
      <c r="M283" s="515" t="s">
        <v>587</v>
      </c>
      <c r="N283" s="516"/>
      <c r="O283" s="497"/>
      <c r="P283" s="498"/>
      <c r="Q283" s="499"/>
      <c r="R283" s="179"/>
      <c r="S283" s="180"/>
      <c r="T283" s="173"/>
      <c r="U283" s="539">
        <v>15</v>
      </c>
      <c r="V283" s="521" t="s">
        <v>650</v>
      </c>
      <c r="W283" s="521"/>
      <c r="X283" s="521" t="s">
        <v>651</v>
      </c>
      <c r="Y283" s="521" t="s">
        <v>647</v>
      </c>
      <c r="Z283" s="521"/>
      <c r="AA283" s="521" t="s">
        <v>585</v>
      </c>
      <c r="AB283" s="521"/>
      <c r="AC283" s="522" t="s">
        <v>652</v>
      </c>
      <c r="AD283" s="522"/>
      <c r="AE283" s="523" t="s">
        <v>587</v>
      </c>
      <c r="AF283" s="523"/>
      <c r="AG283" s="496"/>
      <c r="AH283" s="496"/>
      <c r="AI283" s="496"/>
      <c r="AJ283" s="179"/>
      <c r="AL283" s="680"/>
      <c r="AM283" s="680"/>
      <c r="AN283" s="680"/>
      <c r="AO283" s="680"/>
      <c r="AP283" s="680"/>
      <c r="AQ283" s="680"/>
      <c r="AR283" s="680"/>
      <c r="AS283" s="680"/>
      <c r="AT283" s="680"/>
    </row>
    <row r="284" spans="2:46" ht="20.149999999999999" customHeight="1">
      <c r="B284" s="173"/>
      <c r="C284" s="682"/>
      <c r="D284" s="508"/>
      <c r="E284" s="508"/>
      <c r="F284" s="508"/>
      <c r="G284" s="508"/>
      <c r="H284" s="508"/>
      <c r="I284" s="508"/>
      <c r="J284" s="508"/>
      <c r="K284" s="511"/>
      <c r="L284" s="512"/>
      <c r="M284" s="517"/>
      <c r="N284" s="518"/>
      <c r="O284" s="500"/>
      <c r="P284" s="501"/>
      <c r="Q284" s="502"/>
      <c r="R284" s="179"/>
      <c r="S284" s="180"/>
      <c r="T284" s="173"/>
      <c r="U284" s="539"/>
      <c r="V284" s="521"/>
      <c r="W284" s="521"/>
      <c r="X284" s="521"/>
      <c r="Y284" s="521"/>
      <c r="Z284" s="521"/>
      <c r="AA284" s="521"/>
      <c r="AB284" s="521"/>
      <c r="AC284" s="522"/>
      <c r="AD284" s="522"/>
      <c r="AE284" s="523"/>
      <c r="AF284" s="523"/>
      <c r="AG284" s="496"/>
      <c r="AH284" s="496"/>
      <c r="AI284" s="496"/>
      <c r="AJ284" s="179"/>
      <c r="AL284" s="207"/>
      <c r="AM284" s="207"/>
      <c r="AN284" s="207"/>
      <c r="AO284" s="207"/>
      <c r="AP284" s="207"/>
      <c r="AQ284" s="207"/>
      <c r="AR284" s="207"/>
      <c r="AS284" s="207"/>
      <c r="AT284" s="207"/>
    </row>
    <row r="285" spans="2:46" ht="20.149999999999999" customHeight="1">
      <c r="B285" s="173"/>
      <c r="C285" s="682"/>
      <c r="D285" s="508"/>
      <c r="E285" s="508"/>
      <c r="F285" s="508"/>
      <c r="G285" s="508"/>
      <c r="H285" s="508"/>
      <c r="I285" s="508"/>
      <c r="J285" s="508"/>
      <c r="K285" s="513"/>
      <c r="L285" s="514"/>
      <c r="M285" s="519"/>
      <c r="N285" s="520"/>
      <c r="O285" s="503"/>
      <c r="P285" s="504"/>
      <c r="Q285" s="505"/>
      <c r="R285" s="179"/>
      <c r="S285" s="180"/>
      <c r="T285" s="173"/>
      <c r="U285" s="539"/>
      <c r="V285" s="521"/>
      <c r="W285" s="521"/>
      <c r="X285" s="521"/>
      <c r="Y285" s="521"/>
      <c r="Z285" s="521"/>
      <c r="AA285" s="521"/>
      <c r="AB285" s="521"/>
      <c r="AC285" s="522"/>
      <c r="AD285" s="522"/>
      <c r="AE285" s="523"/>
      <c r="AF285" s="523"/>
      <c r="AG285" s="496"/>
      <c r="AH285" s="496"/>
      <c r="AI285" s="496"/>
      <c r="AJ285" s="179"/>
      <c r="AL285" s="207"/>
      <c r="AM285" s="207"/>
      <c r="AN285" s="207"/>
      <c r="AO285" s="207"/>
      <c r="AP285" s="207"/>
      <c r="AQ285" s="207"/>
      <c r="AR285" s="207"/>
      <c r="AS285" s="207"/>
      <c r="AT285" s="207"/>
    </row>
    <row r="286" spans="2:46" ht="20.149999999999999" customHeight="1">
      <c r="B286" s="146"/>
      <c r="C286" s="682" t="s">
        <v>653</v>
      </c>
      <c r="D286" s="508" t="s">
        <v>654</v>
      </c>
      <c r="E286" s="508"/>
      <c r="F286" s="508" t="s">
        <v>655</v>
      </c>
      <c r="G286" s="508" t="s">
        <v>656</v>
      </c>
      <c r="H286" s="508"/>
      <c r="I286" s="508" t="s">
        <v>657</v>
      </c>
      <c r="J286" s="508"/>
      <c r="K286" s="669" t="s">
        <v>658</v>
      </c>
      <c r="L286" s="670"/>
      <c r="M286" s="515" t="s">
        <v>587</v>
      </c>
      <c r="N286" s="516"/>
      <c r="O286" s="497"/>
      <c r="P286" s="498"/>
      <c r="Q286" s="499"/>
      <c r="R286" s="159"/>
      <c r="T286" s="146"/>
      <c r="U286" s="539" t="s">
        <v>653</v>
      </c>
      <c r="V286" s="521" t="s">
        <v>654</v>
      </c>
      <c r="W286" s="521"/>
      <c r="X286" s="521" t="s">
        <v>655</v>
      </c>
      <c r="Y286" s="521" t="s">
        <v>656</v>
      </c>
      <c r="Z286" s="521"/>
      <c r="AA286" s="521" t="s">
        <v>657</v>
      </c>
      <c r="AB286" s="521"/>
      <c r="AC286" s="675" t="s">
        <v>658</v>
      </c>
      <c r="AD286" s="675"/>
      <c r="AE286" s="523" t="s">
        <v>587</v>
      </c>
      <c r="AF286" s="523"/>
      <c r="AG286" s="496"/>
      <c r="AH286" s="496"/>
      <c r="AI286" s="496"/>
      <c r="AJ286" s="159"/>
      <c r="AL286" s="196"/>
      <c r="AM286" s="196"/>
      <c r="AN286" s="196"/>
      <c r="AO286" s="196"/>
      <c r="AP286" s="197"/>
      <c r="AQ286" s="196"/>
      <c r="AR286" s="196"/>
      <c r="AS286" s="196"/>
      <c r="AT286" s="196"/>
    </row>
    <row r="287" spans="2:46" ht="20.149999999999999" customHeight="1">
      <c r="B287" s="146"/>
      <c r="C287" s="682"/>
      <c r="D287" s="508"/>
      <c r="E287" s="508"/>
      <c r="F287" s="508"/>
      <c r="G287" s="508"/>
      <c r="H287" s="508"/>
      <c r="I287" s="508"/>
      <c r="J287" s="508"/>
      <c r="K287" s="671"/>
      <c r="L287" s="672"/>
      <c r="M287" s="517"/>
      <c r="N287" s="518"/>
      <c r="O287" s="500"/>
      <c r="P287" s="501"/>
      <c r="Q287" s="502"/>
      <c r="R287" s="159"/>
      <c r="T287" s="146"/>
      <c r="U287" s="539"/>
      <c r="V287" s="521"/>
      <c r="W287" s="521"/>
      <c r="X287" s="521"/>
      <c r="Y287" s="521"/>
      <c r="Z287" s="521"/>
      <c r="AA287" s="521"/>
      <c r="AB287" s="521"/>
      <c r="AC287" s="675"/>
      <c r="AD287" s="675"/>
      <c r="AE287" s="523"/>
      <c r="AF287" s="523"/>
      <c r="AG287" s="496"/>
      <c r="AH287" s="496"/>
      <c r="AI287" s="496"/>
      <c r="AJ287" s="159"/>
      <c r="AL287" s="196"/>
      <c r="AM287" s="196"/>
      <c r="AN287" s="196"/>
      <c r="AO287" s="196"/>
      <c r="AP287" s="197"/>
      <c r="AQ287" s="196"/>
      <c r="AR287" s="196"/>
      <c r="AS287" s="196"/>
      <c r="AT287" s="196"/>
    </row>
    <row r="288" spans="2:46" ht="20.149999999999999" customHeight="1">
      <c r="B288" s="146"/>
      <c r="C288" s="682"/>
      <c r="D288" s="508"/>
      <c r="E288" s="508"/>
      <c r="F288" s="508"/>
      <c r="G288" s="508"/>
      <c r="H288" s="508"/>
      <c r="I288" s="508"/>
      <c r="J288" s="508"/>
      <c r="K288" s="673"/>
      <c r="L288" s="674"/>
      <c r="M288" s="519"/>
      <c r="N288" s="520"/>
      <c r="O288" s="503"/>
      <c r="P288" s="504"/>
      <c r="Q288" s="505"/>
      <c r="R288" s="159"/>
      <c r="T288" s="146"/>
      <c r="U288" s="539"/>
      <c r="V288" s="521"/>
      <c r="W288" s="521"/>
      <c r="X288" s="521"/>
      <c r="Y288" s="521"/>
      <c r="Z288" s="521"/>
      <c r="AA288" s="521"/>
      <c r="AB288" s="521"/>
      <c r="AC288" s="675"/>
      <c r="AD288" s="675"/>
      <c r="AE288" s="523"/>
      <c r="AF288" s="523"/>
      <c r="AG288" s="496"/>
      <c r="AH288" s="496"/>
      <c r="AI288" s="496"/>
      <c r="AJ288" s="159"/>
      <c r="AL288" s="196"/>
      <c r="AM288" s="196"/>
      <c r="AN288" s="196"/>
      <c r="AO288" s="196"/>
      <c r="AP288" s="197"/>
      <c r="AQ288" s="196"/>
      <c r="AR288" s="196"/>
      <c r="AS288" s="196"/>
      <c r="AT288" s="196"/>
    </row>
    <row r="289" spans="2:46" ht="20.149999999999999" customHeight="1">
      <c r="B289" s="146"/>
      <c r="C289" s="682">
        <v>17</v>
      </c>
      <c r="D289" s="508" t="s">
        <v>659</v>
      </c>
      <c r="E289" s="508"/>
      <c r="F289" s="508" t="s">
        <v>660</v>
      </c>
      <c r="G289" s="508" t="s">
        <v>622</v>
      </c>
      <c r="H289" s="508"/>
      <c r="I289" s="508" t="s">
        <v>585</v>
      </c>
      <c r="J289" s="508"/>
      <c r="K289" s="533" t="s">
        <v>661</v>
      </c>
      <c r="L289" s="534"/>
      <c r="M289" s="515" t="s">
        <v>587</v>
      </c>
      <c r="N289" s="516"/>
      <c r="O289" s="497"/>
      <c r="P289" s="498"/>
      <c r="Q289" s="499"/>
      <c r="R289" s="159"/>
      <c r="T289" s="146"/>
      <c r="U289" s="539">
        <v>17</v>
      </c>
      <c r="V289" s="521" t="s">
        <v>659</v>
      </c>
      <c r="W289" s="521"/>
      <c r="X289" s="521" t="s">
        <v>660</v>
      </c>
      <c r="Y289" s="521" t="s">
        <v>622</v>
      </c>
      <c r="Z289" s="521"/>
      <c r="AA289" s="521" t="s">
        <v>585</v>
      </c>
      <c r="AB289" s="521"/>
      <c r="AC289" s="521" t="s">
        <v>661</v>
      </c>
      <c r="AD289" s="521"/>
      <c r="AE289" s="523" t="s">
        <v>587</v>
      </c>
      <c r="AF289" s="523"/>
      <c r="AG289" s="496"/>
      <c r="AH289" s="496"/>
      <c r="AI289" s="496"/>
      <c r="AJ289" s="159"/>
      <c r="AL289" s="196"/>
      <c r="AM289" s="196"/>
      <c r="AN289" s="196"/>
      <c r="AO289" s="196"/>
      <c r="AP289" s="197"/>
      <c r="AQ289" s="196"/>
      <c r="AR289" s="196"/>
      <c r="AS289" s="196"/>
      <c r="AT289" s="196"/>
    </row>
    <row r="290" spans="2:46" ht="20.149999999999999" customHeight="1">
      <c r="B290" s="146"/>
      <c r="C290" s="682"/>
      <c r="D290" s="508"/>
      <c r="E290" s="508"/>
      <c r="F290" s="508"/>
      <c r="G290" s="508"/>
      <c r="H290" s="508"/>
      <c r="I290" s="508"/>
      <c r="J290" s="508"/>
      <c r="K290" s="535"/>
      <c r="L290" s="536"/>
      <c r="M290" s="517"/>
      <c r="N290" s="518"/>
      <c r="O290" s="500"/>
      <c r="P290" s="501"/>
      <c r="Q290" s="502"/>
      <c r="R290" s="159"/>
      <c r="T290" s="146"/>
      <c r="U290" s="539"/>
      <c r="V290" s="521"/>
      <c r="W290" s="521"/>
      <c r="X290" s="521"/>
      <c r="Y290" s="521"/>
      <c r="Z290" s="521"/>
      <c r="AA290" s="521"/>
      <c r="AB290" s="521"/>
      <c r="AC290" s="521"/>
      <c r="AD290" s="521"/>
      <c r="AE290" s="523"/>
      <c r="AF290" s="523"/>
      <c r="AG290" s="496"/>
      <c r="AH290" s="496"/>
      <c r="AI290" s="496"/>
      <c r="AJ290" s="159"/>
      <c r="AL290" s="196"/>
      <c r="AM290" s="196"/>
      <c r="AN290" s="196"/>
      <c r="AO290" s="196"/>
      <c r="AP290" s="197"/>
      <c r="AQ290" s="196"/>
      <c r="AR290" s="196"/>
      <c r="AS290" s="196"/>
      <c r="AT290" s="196"/>
    </row>
    <row r="291" spans="2:46" ht="20.149999999999999" customHeight="1">
      <c r="B291" s="146"/>
      <c r="C291" s="682"/>
      <c r="D291" s="508"/>
      <c r="E291" s="508"/>
      <c r="F291" s="508"/>
      <c r="G291" s="508"/>
      <c r="H291" s="508"/>
      <c r="I291" s="508"/>
      <c r="J291" s="508"/>
      <c r="K291" s="537"/>
      <c r="L291" s="538"/>
      <c r="M291" s="519"/>
      <c r="N291" s="520"/>
      <c r="O291" s="503"/>
      <c r="P291" s="504"/>
      <c r="Q291" s="505"/>
      <c r="R291" s="159"/>
      <c r="T291" s="146"/>
      <c r="U291" s="539"/>
      <c r="V291" s="521"/>
      <c r="W291" s="521"/>
      <c r="X291" s="521"/>
      <c r="Y291" s="521"/>
      <c r="Z291" s="521"/>
      <c r="AA291" s="521"/>
      <c r="AB291" s="521"/>
      <c r="AC291" s="521"/>
      <c r="AD291" s="521"/>
      <c r="AE291" s="523"/>
      <c r="AF291" s="523"/>
      <c r="AG291" s="496"/>
      <c r="AH291" s="496"/>
      <c r="AI291" s="496"/>
      <c r="AJ291" s="159"/>
      <c r="AL291" s="196">
        <f>'[1]100.Motherdata'!AP65</f>
        <v>0</v>
      </c>
      <c r="AM291" s="196"/>
      <c r="AN291" s="196"/>
      <c r="AO291" s="196"/>
      <c r="AP291" s="197"/>
      <c r="AQ291" s="196"/>
      <c r="AR291" s="196"/>
      <c r="AS291" s="196"/>
      <c r="AT291" s="196"/>
    </row>
    <row r="292" spans="2:46" ht="20.149999999999999" customHeight="1">
      <c r="B292" s="146"/>
      <c r="C292" s="183"/>
      <c r="D292" s="191"/>
      <c r="E292" s="191"/>
      <c r="F292" s="191"/>
      <c r="G292" s="191"/>
      <c r="H292" s="200"/>
      <c r="I292" s="191"/>
      <c r="J292" s="191"/>
      <c r="K292" s="191"/>
      <c r="L292" s="191"/>
      <c r="M292" s="191"/>
      <c r="N292" s="191"/>
      <c r="O292" s="191"/>
      <c r="P292" s="191"/>
      <c r="Q292" s="191"/>
      <c r="R292" s="159"/>
      <c r="T292" s="146"/>
      <c r="U292" s="183"/>
      <c r="V292" s="191"/>
      <c r="W292" s="191"/>
      <c r="X292" s="191"/>
      <c r="Y292" s="191"/>
      <c r="Z292" s="200"/>
      <c r="AA292" s="191"/>
      <c r="AB292" s="191"/>
      <c r="AC292" s="191"/>
      <c r="AD292" s="191"/>
      <c r="AE292" s="191"/>
      <c r="AF292" s="191"/>
      <c r="AG292" s="191"/>
      <c r="AH292" s="191"/>
      <c r="AI292" s="191"/>
      <c r="AJ292" s="159"/>
      <c r="AL292" s="196">
        <f>'[1]100.Motherdata'!AQ65</f>
        <v>0</v>
      </c>
      <c r="AM292" s="196"/>
      <c r="AN292" s="196"/>
      <c r="AO292" s="196"/>
      <c r="AP292" s="197"/>
      <c r="AQ292" s="196"/>
      <c r="AR292" s="196"/>
      <c r="AS292" s="196"/>
      <c r="AT292" s="196"/>
    </row>
    <row r="293" spans="2:46" ht="20.149999999999999" customHeight="1">
      <c r="B293" s="146"/>
      <c r="C293" s="183"/>
      <c r="D293" s="677" t="s">
        <v>662</v>
      </c>
      <c r="E293" s="626" t="s">
        <v>663</v>
      </c>
      <c r="F293" s="626"/>
      <c r="G293" s="626"/>
      <c r="H293" s="626"/>
      <c r="I293" s="626"/>
      <c r="J293" s="606" t="s">
        <v>664</v>
      </c>
      <c r="K293" s="606"/>
      <c r="L293" s="606"/>
      <c r="M293" s="606"/>
      <c r="N293" s="626" t="s">
        <v>665</v>
      </c>
      <c r="O293" s="626"/>
      <c r="P293" s="626"/>
      <c r="Q293" s="191"/>
      <c r="R293" s="159"/>
      <c r="T293" s="146"/>
      <c r="U293" s="183"/>
      <c r="V293" s="677" t="s">
        <v>662</v>
      </c>
      <c r="W293" s="626" t="s">
        <v>663</v>
      </c>
      <c r="X293" s="626"/>
      <c r="Y293" s="626"/>
      <c r="Z293" s="626"/>
      <c r="AA293" s="626"/>
      <c r="AB293" s="606" t="s">
        <v>664</v>
      </c>
      <c r="AC293" s="606"/>
      <c r="AD293" s="606"/>
      <c r="AE293" s="606"/>
      <c r="AF293" s="626" t="s">
        <v>665</v>
      </c>
      <c r="AG293" s="626"/>
      <c r="AH293" s="626"/>
      <c r="AI293" s="191"/>
      <c r="AJ293" s="208"/>
      <c r="AL293" s="196"/>
      <c r="AM293" s="196"/>
      <c r="AN293" s="196"/>
      <c r="AO293" s="196"/>
      <c r="AP293" s="197"/>
      <c r="AQ293" s="196"/>
      <c r="AR293" s="196"/>
      <c r="AS293" s="196"/>
      <c r="AT293" s="196"/>
    </row>
    <row r="294" spans="2:46" ht="20.149999999999999" customHeight="1">
      <c r="B294" s="146"/>
      <c r="C294" s="183"/>
      <c r="D294" s="678"/>
      <c r="E294" s="626"/>
      <c r="F294" s="626"/>
      <c r="G294" s="626"/>
      <c r="H294" s="626"/>
      <c r="I294" s="626"/>
      <c r="J294" s="606"/>
      <c r="K294" s="606"/>
      <c r="L294" s="606"/>
      <c r="M294" s="606"/>
      <c r="N294" s="626"/>
      <c r="O294" s="626"/>
      <c r="P294" s="626"/>
      <c r="Q294" s="191"/>
      <c r="R294" s="159"/>
      <c r="T294" s="146"/>
      <c r="U294" s="183"/>
      <c r="V294" s="678"/>
      <c r="W294" s="626"/>
      <c r="X294" s="626"/>
      <c r="Y294" s="626"/>
      <c r="Z294" s="626"/>
      <c r="AA294" s="626"/>
      <c r="AB294" s="606"/>
      <c r="AC294" s="606"/>
      <c r="AD294" s="606"/>
      <c r="AE294" s="606"/>
      <c r="AF294" s="626"/>
      <c r="AG294" s="626"/>
      <c r="AH294" s="626"/>
      <c r="AI294" s="191"/>
      <c r="AJ294" s="159"/>
      <c r="AL294" s="196"/>
      <c r="AM294" s="196"/>
      <c r="AN294" s="196"/>
      <c r="AO294" s="196"/>
      <c r="AP294" s="197"/>
      <c r="AQ294" s="196"/>
      <c r="AR294" s="196"/>
      <c r="AS294" s="196"/>
      <c r="AT294" s="196"/>
    </row>
    <row r="295" spans="2:46" ht="20.149999999999999" customHeight="1">
      <c r="B295" s="146"/>
      <c r="C295" s="183"/>
      <c r="D295" s="679"/>
      <c r="E295" s="626"/>
      <c r="F295" s="626"/>
      <c r="G295" s="626"/>
      <c r="H295" s="626"/>
      <c r="I295" s="626"/>
      <c r="J295" s="606"/>
      <c r="K295" s="606"/>
      <c r="L295" s="606"/>
      <c r="M295" s="606"/>
      <c r="N295" s="626"/>
      <c r="O295" s="626"/>
      <c r="P295" s="626"/>
      <c r="Q295" s="191"/>
      <c r="R295" s="159"/>
      <c r="T295" s="146"/>
      <c r="U295" s="183"/>
      <c r="V295" s="679"/>
      <c r="W295" s="626"/>
      <c r="X295" s="626"/>
      <c r="Y295" s="626"/>
      <c r="Z295" s="626"/>
      <c r="AA295" s="626"/>
      <c r="AB295" s="606"/>
      <c r="AC295" s="606"/>
      <c r="AD295" s="606"/>
      <c r="AE295" s="606"/>
      <c r="AF295" s="626"/>
      <c r="AG295" s="626"/>
      <c r="AH295" s="626"/>
      <c r="AI295" s="191"/>
      <c r="AJ295" s="159"/>
      <c r="AL295" s="196"/>
      <c r="AM295" s="196"/>
      <c r="AN295" s="196"/>
      <c r="AO295" s="196"/>
      <c r="AP295" s="197"/>
      <c r="AQ295" s="196"/>
      <c r="AR295" s="196"/>
      <c r="AS295" s="196"/>
      <c r="AT295" s="196"/>
    </row>
    <row r="296" spans="2:46" ht="20.149999999999999" customHeight="1">
      <c r="B296" s="146"/>
      <c r="C296" s="183"/>
      <c r="D296" s="606">
        <v>1</v>
      </c>
      <c r="E296" s="606" t="s">
        <v>666</v>
      </c>
      <c r="F296" s="606"/>
      <c r="G296" s="606"/>
      <c r="H296" s="606"/>
      <c r="I296" s="606"/>
      <c r="J296" s="606" t="s">
        <v>667</v>
      </c>
      <c r="K296" s="606"/>
      <c r="L296" s="606"/>
      <c r="M296" s="606"/>
      <c r="N296" s="606" t="s">
        <v>668</v>
      </c>
      <c r="O296" s="606"/>
      <c r="P296" s="606"/>
      <c r="Q296" s="191"/>
      <c r="R296" s="159"/>
      <c r="T296" s="146"/>
      <c r="U296" s="183"/>
      <c r="V296" s="606">
        <v>1</v>
      </c>
      <c r="W296" s="606" t="s">
        <v>666</v>
      </c>
      <c r="X296" s="606"/>
      <c r="Y296" s="606"/>
      <c r="Z296" s="606"/>
      <c r="AA296" s="606"/>
      <c r="AB296" s="606" t="s">
        <v>667</v>
      </c>
      <c r="AC296" s="606"/>
      <c r="AD296" s="606"/>
      <c r="AE296" s="606"/>
      <c r="AF296" s="606" t="s">
        <v>668</v>
      </c>
      <c r="AG296" s="606"/>
      <c r="AH296" s="606"/>
      <c r="AI296" s="191"/>
      <c r="AJ296" s="159"/>
      <c r="AL296" s="196" t="e">
        <f>'[1]100.Motherdata'!#REF!</f>
        <v>#REF!</v>
      </c>
      <c r="AM296" s="196"/>
      <c r="AN296" s="196"/>
      <c r="AO296" s="196"/>
      <c r="AP296" s="197"/>
      <c r="AQ296" s="196"/>
      <c r="AR296" s="196"/>
      <c r="AS296" s="196"/>
      <c r="AT296" s="196"/>
    </row>
    <row r="297" spans="2:46" ht="20.149999999999999" customHeight="1">
      <c r="B297" s="146"/>
      <c r="C297" s="183"/>
      <c r="D297" s="606"/>
      <c r="E297" s="606"/>
      <c r="F297" s="606"/>
      <c r="G297" s="606"/>
      <c r="H297" s="606"/>
      <c r="I297" s="606"/>
      <c r="J297" s="606"/>
      <c r="K297" s="606"/>
      <c r="L297" s="606"/>
      <c r="M297" s="606"/>
      <c r="N297" s="606"/>
      <c r="O297" s="606"/>
      <c r="P297" s="606"/>
      <c r="Q297" s="191"/>
      <c r="R297" s="159"/>
      <c r="T297" s="146"/>
      <c r="U297" s="183"/>
      <c r="V297" s="606"/>
      <c r="W297" s="606"/>
      <c r="X297" s="606"/>
      <c r="Y297" s="606"/>
      <c r="Z297" s="606"/>
      <c r="AA297" s="606"/>
      <c r="AB297" s="606"/>
      <c r="AC297" s="606"/>
      <c r="AD297" s="606"/>
      <c r="AE297" s="606"/>
      <c r="AF297" s="606"/>
      <c r="AG297" s="606"/>
      <c r="AH297" s="606"/>
      <c r="AI297" s="191"/>
      <c r="AJ297" s="159"/>
      <c r="AL297" s="196"/>
      <c r="AM297" s="196"/>
      <c r="AN297" s="196"/>
      <c r="AO297" s="196"/>
      <c r="AP297" s="197"/>
      <c r="AQ297" s="196"/>
      <c r="AR297" s="196"/>
      <c r="AS297" s="196"/>
      <c r="AT297" s="196"/>
    </row>
    <row r="298" spans="2:46" ht="20.149999999999999" customHeight="1">
      <c r="B298" s="146"/>
      <c r="C298" s="183"/>
      <c r="D298" s="606"/>
      <c r="E298" s="606"/>
      <c r="F298" s="606"/>
      <c r="G298" s="606"/>
      <c r="H298" s="606"/>
      <c r="I298" s="606"/>
      <c r="J298" s="606"/>
      <c r="K298" s="606"/>
      <c r="L298" s="606"/>
      <c r="M298" s="606"/>
      <c r="N298" s="606"/>
      <c r="O298" s="606"/>
      <c r="P298" s="606"/>
      <c r="Q298" s="191"/>
      <c r="R298" s="159"/>
      <c r="T298" s="146"/>
      <c r="U298" s="183"/>
      <c r="V298" s="606"/>
      <c r="W298" s="606"/>
      <c r="X298" s="606"/>
      <c r="Y298" s="606"/>
      <c r="Z298" s="606"/>
      <c r="AA298" s="606"/>
      <c r="AB298" s="606"/>
      <c r="AC298" s="606"/>
      <c r="AD298" s="606"/>
      <c r="AE298" s="606"/>
      <c r="AF298" s="606"/>
      <c r="AG298" s="606"/>
      <c r="AH298" s="606"/>
      <c r="AI298" s="191"/>
      <c r="AJ298" s="159"/>
      <c r="AL298" s="196"/>
      <c r="AM298" s="196"/>
      <c r="AN298" s="196"/>
      <c r="AO298" s="196"/>
      <c r="AP298" s="197"/>
      <c r="AQ298" s="196"/>
      <c r="AR298" s="196"/>
      <c r="AS298" s="196"/>
      <c r="AT298" s="196"/>
    </row>
    <row r="299" spans="2:46" ht="20.149999999999999" customHeight="1">
      <c r="B299" s="146"/>
      <c r="C299" s="183"/>
      <c r="D299" s="606">
        <v>2</v>
      </c>
      <c r="E299" s="606" t="s">
        <v>669</v>
      </c>
      <c r="F299" s="606"/>
      <c r="G299" s="606"/>
      <c r="H299" s="606"/>
      <c r="I299" s="606"/>
      <c r="J299" s="606" t="s">
        <v>588</v>
      </c>
      <c r="K299" s="606"/>
      <c r="L299" s="606"/>
      <c r="M299" s="606"/>
      <c r="N299" s="606" t="s">
        <v>670</v>
      </c>
      <c r="O299" s="606"/>
      <c r="P299" s="606"/>
      <c r="Q299" s="191"/>
      <c r="R299" s="159"/>
      <c r="T299" s="146"/>
      <c r="U299" s="183"/>
      <c r="V299" s="606">
        <v>2</v>
      </c>
      <c r="W299" s="606" t="s">
        <v>669</v>
      </c>
      <c r="X299" s="606"/>
      <c r="Y299" s="606"/>
      <c r="Z299" s="606"/>
      <c r="AA299" s="606"/>
      <c r="AB299" s="606" t="s">
        <v>588</v>
      </c>
      <c r="AC299" s="606"/>
      <c r="AD299" s="606"/>
      <c r="AE299" s="606"/>
      <c r="AF299" s="606" t="s">
        <v>670</v>
      </c>
      <c r="AG299" s="606"/>
      <c r="AH299" s="606"/>
      <c r="AI299" s="191"/>
      <c r="AJ299" s="159"/>
      <c r="AL299" s="196" t="e">
        <f>'[1]100.Motherdata'!#REF!</f>
        <v>#REF!</v>
      </c>
      <c r="AM299" s="196"/>
      <c r="AN299" s="196"/>
      <c r="AO299" s="196"/>
      <c r="AP299" s="197"/>
      <c r="AQ299" s="196"/>
      <c r="AR299" s="196"/>
      <c r="AS299" s="196"/>
      <c r="AT299" s="196"/>
    </row>
    <row r="300" spans="2:46" ht="20.149999999999999" customHeight="1">
      <c r="B300" s="146"/>
      <c r="C300" s="183"/>
      <c r="D300" s="606"/>
      <c r="E300" s="606"/>
      <c r="F300" s="606"/>
      <c r="G300" s="606"/>
      <c r="H300" s="606"/>
      <c r="I300" s="606"/>
      <c r="J300" s="606"/>
      <c r="K300" s="606"/>
      <c r="L300" s="606"/>
      <c r="M300" s="606"/>
      <c r="N300" s="606"/>
      <c r="O300" s="606"/>
      <c r="P300" s="606"/>
      <c r="Q300" s="191"/>
      <c r="R300" s="159"/>
      <c r="T300" s="146"/>
      <c r="U300" s="183"/>
      <c r="V300" s="606"/>
      <c r="W300" s="606"/>
      <c r="X300" s="606"/>
      <c r="Y300" s="606"/>
      <c r="Z300" s="606"/>
      <c r="AA300" s="606"/>
      <c r="AB300" s="606"/>
      <c r="AC300" s="606"/>
      <c r="AD300" s="606"/>
      <c r="AE300" s="606"/>
      <c r="AF300" s="606"/>
      <c r="AG300" s="606"/>
      <c r="AH300" s="606"/>
      <c r="AI300" s="191"/>
      <c r="AJ300" s="159"/>
      <c r="AL300" s="196"/>
      <c r="AM300" s="196"/>
      <c r="AN300" s="196"/>
      <c r="AO300" s="196"/>
      <c r="AP300" s="197"/>
      <c r="AQ300" s="196"/>
      <c r="AR300" s="196"/>
      <c r="AS300" s="196"/>
      <c r="AT300" s="196"/>
    </row>
    <row r="301" spans="2:46" ht="20.149999999999999" customHeight="1">
      <c r="B301" s="146"/>
      <c r="C301" s="183"/>
      <c r="D301" s="606"/>
      <c r="E301" s="606"/>
      <c r="F301" s="606"/>
      <c r="G301" s="606"/>
      <c r="H301" s="606"/>
      <c r="I301" s="606"/>
      <c r="J301" s="606"/>
      <c r="K301" s="606"/>
      <c r="L301" s="606"/>
      <c r="M301" s="606"/>
      <c r="N301" s="606"/>
      <c r="O301" s="606"/>
      <c r="P301" s="606"/>
      <c r="Q301" s="191"/>
      <c r="R301" s="159"/>
      <c r="T301" s="146"/>
      <c r="U301" s="183"/>
      <c r="V301" s="606"/>
      <c r="W301" s="606"/>
      <c r="X301" s="606"/>
      <c r="Y301" s="606"/>
      <c r="Z301" s="606"/>
      <c r="AA301" s="606"/>
      <c r="AB301" s="606"/>
      <c r="AC301" s="606"/>
      <c r="AD301" s="606"/>
      <c r="AE301" s="606"/>
      <c r="AF301" s="606"/>
      <c r="AG301" s="606"/>
      <c r="AH301" s="606"/>
      <c r="AI301" s="191"/>
      <c r="AJ301" s="159"/>
      <c r="AL301" s="196"/>
      <c r="AM301" s="196"/>
      <c r="AN301" s="196"/>
      <c r="AO301" s="196"/>
      <c r="AP301" s="197"/>
      <c r="AQ301" s="196"/>
      <c r="AR301" s="196"/>
      <c r="AS301" s="196"/>
      <c r="AT301" s="196"/>
    </row>
    <row r="302" spans="2:46" ht="20.149999999999999" customHeight="1">
      <c r="B302" s="146"/>
      <c r="C302" s="183"/>
      <c r="D302" s="606">
        <v>3</v>
      </c>
      <c r="E302" s="606" t="s">
        <v>671</v>
      </c>
      <c r="F302" s="606"/>
      <c r="G302" s="606"/>
      <c r="H302" s="606"/>
      <c r="I302" s="606"/>
      <c r="J302" s="606" t="s">
        <v>588</v>
      </c>
      <c r="K302" s="606"/>
      <c r="L302" s="606"/>
      <c r="M302" s="606"/>
      <c r="N302" s="606" t="s">
        <v>212</v>
      </c>
      <c r="O302" s="606"/>
      <c r="P302" s="606"/>
      <c r="Q302" s="191"/>
      <c r="R302" s="159"/>
      <c r="T302" s="146"/>
      <c r="U302" s="183"/>
      <c r="V302" s="606">
        <v>3</v>
      </c>
      <c r="W302" s="606" t="s">
        <v>671</v>
      </c>
      <c r="X302" s="606"/>
      <c r="Y302" s="606"/>
      <c r="Z302" s="606"/>
      <c r="AA302" s="606"/>
      <c r="AB302" s="606" t="s">
        <v>588</v>
      </c>
      <c r="AC302" s="606"/>
      <c r="AD302" s="606"/>
      <c r="AE302" s="606"/>
      <c r="AF302" s="606" t="s">
        <v>212</v>
      </c>
      <c r="AG302" s="606"/>
      <c r="AH302" s="606"/>
      <c r="AI302" s="191"/>
      <c r="AJ302" s="159"/>
      <c r="AL302" s="196"/>
      <c r="AM302" s="196"/>
      <c r="AN302" s="196"/>
      <c r="AO302" s="196"/>
      <c r="AP302" s="197"/>
      <c r="AQ302" s="196"/>
      <c r="AR302" s="196"/>
      <c r="AS302" s="196"/>
      <c r="AT302" s="196"/>
    </row>
    <row r="303" spans="2:46" ht="20.149999999999999" customHeight="1">
      <c r="B303" s="146"/>
      <c r="C303" s="183"/>
      <c r="D303" s="606"/>
      <c r="E303" s="606"/>
      <c r="F303" s="606"/>
      <c r="G303" s="606"/>
      <c r="H303" s="606"/>
      <c r="I303" s="606"/>
      <c r="J303" s="606"/>
      <c r="K303" s="606"/>
      <c r="L303" s="606"/>
      <c r="M303" s="606"/>
      <c r="N303" s="606"/>
      <c r="O303" s="606"/>
      <c r="P303" s="606"/>
      <c r="Q303" s="191"/>
      <c r="R303" s="159"/>
      <c r="T303" s="146"/>
      <c r="U303" s="183"/>
      <c r="V303" s="606"/>
      <c r="W303" s="606"/>
      <c r="X303" s="606"/>
      <c r="Y303" s="606"/>
      <c r="Z303" s="606"/>
      <c r="AA303" s="606"/>
      <c r="AB303" s="606"/>
      <c r="AC303" s="606"/>
      <c r="AD303" s="606"/>
      <c r="AE303" s="606"/>
      <c r="AF303" s="606"/>
      <c r="AG303" s="606"/>
      <c r="AH303" s="606"/>
      <c r="AI303" s="191"/>
      <c r="AJ303" s="159"/>
      <c r="AL303" s="196"/>
      <c r="AM303" s="196"/>
      <c r="AN303" s="196"/>
      <c r="AO303" s="196"/>
      <c r="AP303" s="197"/>
      <c r="AQ303" s="196"/>
      <c r="AR303" s="196"/>
      <c r="AS303" s="196"/>
      <c r="AT303" s="196"/>
    </row>
    <row r="304" spans="2:46" ht="20.149999999999999" customHeight="1">
      <c r="B304" s="146"/>
      <c r="C304" s="183"/>
      <c r="D304" s="606"/>
      <c r="E304" s="606"/>
      <c r="F304" s="606"/>
      <c r="G304" s="606"/>
      <c r="H304" s="606"/>
      <c r="I304" s="606"/>
      <c r="J304" s="606"/>
      <c r="K304" s="606"/>
      <c r="L304" s="606"/>
      <c r="M304" s="606"/>
      <c r="N304" s="606"/>
      <c r="O304" s="606"/>
      <c r="P304" s="606"/>
      <c r="Q304" s="191"/>
      <c r="R304" s="159"/>
      <c r="T304" s="146"/>
      <c r="U304" s="183"/>
      <c r="V304" s="606"/>
      <c r="W304" s="606"/>
      <c r="X304" s="606"/>
      <c r="Y304" s="606"/>
      <c r="Z304" s="606"/>
      <c r="AA304" s="606"/>
      <c r="AB304" s="606"/>
      <c r="AC304" s="606"/>
      <c r="AD304" s="606"/>
      <c r="AE304" s="606"/>
      <c r="AF304" s="606"/>
      <c r="AG304" s="606"/>
      <c r="AH304" s="606"/>
      <c r="AI304" s="191"/>
      <c r="AJ304" s="159"/>
      <c r="AL304" s="196"/>
      <c r="AM304" s="196"/>
      <c r="AN304" s="196"/>
      <c r="AO304" s="196"/>
      <c r="AP304" s="197"/>
      <c r="AQ304" s="196"/>
      <c r="AR304" s="196"/>
      <c r="AS304" s="196"/>
      <c r="AT304" s="196"/>
    </row>
    <row r="305" spans="2:46" ht="20.149999999999999" customHeight="1">
      <c r="B305" s="146"/>
      <c r="C305" s="183"/>
      <c r="D305" s="606">
        <v>4</v>
      </c>
      <c r="E305" s="606" t="s">
        <v>672</v>
      </c>
      <c r="F305" s="606"/>
      <c r="G305" s="606"/>
      <c r="H305" s="606"/>
      <c r="I305" s="606"/>
      <c r="J305" s="606" t="s">
        <v>588</v>
      </c>
      <c r="K305" s="606"/>
      <c r="L305" s="606"/>
      <c r="M305" s="606"/>
      <c r="N305" s="606" t="s">
        <v>670</v>
      </c>
      <c r="O305" s="606"/>
      <c r="P305" s="606"/>
      <c r="Q305" s="191"/>
      <c r="R305" s="159"/>
      <c r="T305" s="146"/>
      <c r="U305" s="183"/>
      <c r="V305" s="606">
        <v>4</v>
      </c>
      <c r="W305" s="606" t="s">
        <v>672</v>
      </c>
      <c r="X305" s="606"/>
      <c r="Y305" s="606"/>
      <c r="Z305" s="606"/>
      <c r="AA305" s="606"/>
      <c r="AB305" s="606" t="s">
        <v>588</v>
      </c>
      <c r="AC305" s="606"/>
      <c r="AD305" s="606"/>
      <c r="AE305" s="606"/>
      <c r="AF305" s="606" t="s">
        <v>670</v>
      </c>
      <c r="AG305" s="606"/>
      <c r="AH305" s="606"/>
      <c r="AI305" s="191"/>
      <c r="AJ305" s="159"/>
      <c r="AL305" s="196"/>
      <c r="AM305" s="196"/>
      <c r="AN305" s="196"/>
      <c r="AO305" s="196"/>
      <c r="AP305" s="197"/>
      <c r="AQ305" s="196"/>
      <c r="AR305" s="196"/>
      <c r="AS305" s="196"/>
      <c r="AT305" s="196"/>
    </row>
    <row r="306" spans="2:46" ht="20.149999999999999" customHeight="1">
      <c r="B306" s="146"/>
      <c r="C306" s="183"/>
      <c r="D306" s="606"/>
      <c r="E306" s="606"/>
      <c r="F306" s="606"/>
      <c r="G306" s="606"/>
      <c r="H306" s="606"/>
      <c r="I306" s="606"/>
      <c r="J306" s="606"/>
      <c r="K306" s="606"/>
      <c r="L306" s="606"/>
      <c r="M306" s="606"/>
      <c r="N306" s="606"/>
      <c r="O306" s="606"/>
      <c r="P306" s="606"/>
      <c r="Q306" s="191"/>
      <c r="R306" s="159"/>
      <c r="T306" s="146"/>
      <c r="U306" s="183"/>
      <c r="V306" s="606"/>
      <c r="W306" s="606"/>
      <c r="X306" s="606"/>
      <c r="Y306" s="606"/>
      <c r="Z306" s="606"/>
      <c r="AA306" s="606"/>
      <c r="AB306" s="606"/>
      <c r="AC306" s="606"/>
      <c r="AD306" s="606"/>
      <c r="AE306" s="606"/>
      <c r="AF306" s="606"/>
      <c r="AG306" s="606"/>
      <c r="AH306" s="606"/>
      <c r="AI306" s="191"/>
      <c r="AJ306" s="159"/>
      <c r="AL306" s="196"/>
      <c r="AM306" s="196"/>
      <c r="AN306" s="196"/>
      <c r="AO306" s="196"/>
      <c r="AP306" s="197"/>
      <c r="AQ306" s="196"/>
      <c r="AR306" s="196"/>
      <c r="AS306" s="196"/>
      <c r="AT306" s="196"/>
    </row>
    <row r="307" spans="2:46" ht="20.149999999999999" customHeight="1">
      <c r="B307" s="146"/>
      <c r="C307" s="183"/>
      <c r="D307" s="606"/>
      <c r="E307" s="606"/>
      <c r="F307" s="606"/>
      <c r="G307" s="606"/>
      <c r="H307" s="606"/>
      <c r="I307" s="606"/>
      <c r="J307" s="606"/>
      <c r="K307" s="606"/>
      <c r="L307" s="606"/>
      <c r="M307" s="606"/>
      <c r="N307" s="606"/>
      <c r="O307" s="606"/>
      <c r="P307" s="606"/>
      <c r="Q307" s="191"/>
      <c r="R307" s="159"/>
      <c r="T307" s="146"/>
      <c r="U307" s="183"/>
      <c r="V307" s="606"/>
      <c r="W307" s="606"/>
      <c r="X307" s="606"/>
      <c r="Y307" s="606"/>
      <c r="Z307" s="606"/>
      <c r="AA307" s="606"/>
      <c r="AB307" s="606"/>
      <c r="AC307" s="606"/>
      <c r="AD307" s="606"/>
      <c r="AE307" s="606"/>
      <c r="AF307" s="606"/>
      <c r="AG307" s="606"/>
      <c r="AH307" s="606"/>
      <c r="AI307" s="191"/>
      <c r="AJ307" s="159"/>
      <c r="AL307" s="196"/>
      <c r="AM307" s="196"/>
      <c r="AN307" s="196"/>
      <c r="AO307" s="196"/>
      <c r="AP307" s="197"/>
      <c r="AQ307" s="196"/>
      <c r="AR307" s="196"/>
      <c r="AS307" s="196"/>
      <c r="AT307" s="196"/>
    </row>
    <row r="308" spans="2:46" ht="20.149999999999999" customHeight="1">
      <c r="B308" s="146"/>
      <c r="C308" s="183"/>
      <c r="D308" s="191"/>
      <c r="E308" s="191"/>
      <c r="F308" s="191"/>
      <c r="G308" s="191"/>
      <c r="H308" s="200"/>
      <c r="I308" s="191"/>
      <c r="J308" s="191"/>
      <c r="K308" s="191"/>
      <c r="L308" s="191"/>
      <c r="M308" s="191"/>
      <c r="N308" s="191"/>
      <c r="O308" s="191"/>
      <c r="P308" s="191"/>
      <c r="Q308" s="191"/>
      <c r="R308" s="159"/>
      <c r="T308" s="146"/>
      <c r="U308" s="183"/>
      <c r="V308" s="191"/>
      <c r="W308" s="191"/>
      <c r="X308" s="191"/>
      <c r="Y308" s="191"/>
      <c r="Z308" s="200"/>
      <c r="AA308" s="191"/>
      <c r="AB308" s="191"/>
      <c r="AC308" s="191"/>
      <c r="AD308" s="191"/>
      <c r="AE308" s="191"/>
      <c r="AF308" s="191"/>
      <c r="AG308" s="191"/>
      <c r="AH308" s="191"/>
      <c r="AI308" s="191"/>
      <c r="AJ308" s="159"/>
      <c r="AL308" s="196"/>
      <c r="AM308" s="196"/>
      <c r="AN308" s="196"/>
      <c r="AO308" s="196"/>
      <c r="AP308" s="197"/>
      <c r="AQ308" s="196"/>
      <c r="AR308" s="196"/>
      <c r="AS308" s="196"/>
      <c r="AT308" s="196"/>
    </row>
    <row r="309" spans="2:46" ht="20.149999999999999" customHeight="1">
      <c r="B309" s="146"/>
      <c r="C309" s="183"/>
      <c r="D309" s="191"/>
      <c r="E309" s="191"/>
      <c r="F309" s="191"/>
      <c r="G309" s="191"/>
      <c r="H309" s="200"/>
      <c r="I309" s="191"/>
      <c r="J309" s="191"/>
      <c r="K309" s="191"/>
      <c r="L309" s="191"/>
      <c r="M309" s="191"/>
      <c r="N309" s="191"/>
      <c r="O309" s="191"/>
      <c r="P309" s="191"/>
      <c r="Q309" s="191"/>
      <c r="R309" s="159"/>
      <c r="T309" s="146"/>
      <c r="U309" s="183"/>
      <c r="V309" s="191"/>
      <c r="W309" s="191"/>
      <c r="X309" s="191"/>
      <c r="Y309" s="191"/>
      <c r="Z309" s="200"/>
      <c r="AA309" s="191"/>
      <c r="AB309" s="191"/>
      <c r="AC309" s="191"/>
      <c r="AD309" s="191"/>
      <c r="AE309" s="191"/>
      <c r="AF309" s="191"/>
      <c r="AG309" s="191"/>
      <c r="AH309" s="191"/>
      <c r="AI309" s="191"/>
      <c r="AJ309" s="159"/>
      <c r="AL309" s="196"/>
      <c r="AM309" s="196"/>
      <c r="AN309" s="196"/>
      <c r="AO309" s="196"/>
      <c r="AP309" s="197"/>
      <c r="AQ309" s="196"/>
      <c r="AR309" s="196"/>
      <c r="AS309" s="196"/>
      <c r="AT309" s="196"/>
    </row>
    <row r="310" spans="2:46" ht="20.149999999999999" customHeight="1">
      <c r="B310" s="146"/>
      <c r="C310" s="183"/>
      <c r="D310" s="191"/>
      <c r="E310" s="191"/>
      <c r="F310" s="191"/>
      <c r="G310" s="191"/>
      <c r="H310" s="200"/>
      <c r="I310" s="191"/>
      <c r="J310" s="191"/>
      <c r="K310" s="191"/>
      <c r="L310" s="191"/>
      <c r="M310" s="191"/>
      <c r="N310" s="191"/>
      <c r="O310" s="191"/>
      <c r="P310" s="191"/>
      <c r="Q310" s="191"/>
      <c r="R310" s="159"/>
      <c r="T310" s="146"/>
      <c r="U310" s="183"/>
      <c r="V310" s="191"/>
      <c r="W310" s="191"/>
      <c r="X310" s="191"/>
      <c r="Y310" s="191"/>
      <c r="Z310" s="200"/>
      <c r="AA310" s="191"/>
      <c r="AB310" s="191"/>
      <c r="AC310" s="191"/>
      <c r="AD310" s="191"/>
      <c r="AE310" s="191"/>
      <c r="AF310" s="191"/>
      <c r="AG310" s="191"/>
      <c r="AH310" s="191"/>
      <c r="AI310" s="191"/>
      <c r="AJ310" s="159"/>
      <c r="AL310" s="196"/>
      <c r="AM310" s="196"/>
      <c r="AN310" s="196"/>
      <c r="AO310" s="196"/>
      <c r="AP310" s="197"/>
      <c r="AQ310" s="196"/>
      <c r="AR310" s="196"/>
      <c r="AS310" s="196"/>
      <c r="AT310" s="196"/>
    </row>
    <row r="311" spans="2:46" ht="20.149999999999999" customHeight="1">
      <c r="B311" s="146"/>
      <c r="C311" s="183"/>
      <c r="D311" s="191"/>
      <c r="E311" s="191"/>
      <c r="F311" s="191"/>
      <c r="G311" s="191"/>
      <c r="H311" s="200"/>
      <c r="I311" s="191"/>
      <c r="J311" s="191"/>
      <c r="K311" s="191"/>
      <c r="L311" s="191"/>
      <c r="M311" s="191"/>
      <c r="N311" s="191"/>
      <c r="O311" s="191"/>
      <c r="P311" s="191"/>
      <c r="Q311" s="191"/>
      <c r="R311" s="159"/>
      <c r="T311" s="146"/>
      <c r="U311" s="183"/>
      <c r="V311" s="191"/>
      <c r="W311" s="191"/>
      <c r="X311" s="191"/>
      <c r="Y311" s="191"/>
      <c r="Z311" s="200"/>
      <c r="AA311" s="191"/>
      <c r="AB311" s="191"/>
      <c r="AC311" s="191"/>
      <c r="AD311" s="191"/>
      <c r="AE311" s="191"/>
      <c r="AF311" s="191"/>
      <c r="AG311" s="191"/>
      <c r="AH311" s="191"/>
      <c r="AI311" s="191"/>
      <c r="AJ311" s="159"/>
      <c r="AL311" s="196">
        <f>'[1]100.Motherdata'!AT65</f>
        <v>0</v>
      </c>
      <c r="AM311" s="196"/>
      <c r="AN311" s="196"/>
      <c r="AO311" s="196"/>
      <c r="AP311" s="197"/>
      <c r="AQ311" s="196"/>
      <c r="AR311" s="196"/>
      <c r="AS311" s="196"/>
      <c r="AT311" s="196"/>
    </row>
    <row r="312" spans="2:46" ht="20.149999999999999" customHeight="1">
      <c r="B312" s="146"/>
      <c r="C312" s="183"/>
      <c r="D312" s="191"/>
      <c r="E312" s="191"/>
      <c r="F312" s="191"/>
      <c r="G312" s="191"/>
      <c r="H312" s="200"/>
      <c r="I312" s="191"/>
      <c r="J312" s="191"/>
      <c r="K312" s="191"/>
      <c r="L312" s="191"/>
      <c r="M312" s="191"/>
      <c r="N312" s="191"/>
      <c r="O312" s="191"/>
      <c r="P312" s="191"/>
      <c r="Q312" s="191"/>
      <c r="R312" s="159"/>
      <c r="T312" s="146"/>
      <c r="U312" s="183"/>
      <c r="V312" s="191"/>
      <c r="W312" s="191"/>
      <c r="X312" s="191"/>
      <c r="Y312" s="191"/>
      <c r="Z312" s="200"/>
      <c r="AA312" s="191"/>
      <c r="AB312" s="191"/>
      <c r="AC312" s="191"/>
      <c r="AD312" s="191"/>
      <c r="AE312" s="191"/>
      <c r="AF312" s="191"/>
      <c r="AG312" s="191"/>
      <c r="AH312" s="191"/>
      <c r="AI312" s="191"/>
      <c r="AJ312" s="159"/>
      <c r="AL312" s="196">
        <f>'[1]100.Motherdata'!AU65</f>
        <v>0</v>
      </c>
      <c r="AM312" s="196"/>
      <c r="AN312" s="196"/>
      <c r="AO312" s="196"/>
      <c r="AP312" s="197"/>
      <c r="AQ312" s="196"/>
      <c r="AR312" s="196"/>
      <c r="AS312" s="196"/>
      <c r="AT312" s="196"/>
    </row>
    <row r="313" spans="2:46" ht="20.149999999999999" customHeight="1">
      <c r="B313" s="146"/>
      <c r="C313" s="183"/>
      <c r="D313" s="191"/>
      <c r="E313" s="191"/>
      <c r="F313" s="191"/>
      <c r="G313" s="191"/>
      <c r="H313" s="200"/>
      <c r="I313" s="191"/>
      <c r="J313" s="191"/>
      <c r="K313" s="191"/>
      <c r="L313" s="191"/>
      <c r="M313" s="191"/>
      <c r="N313" s="191"/>
      <c r="O313" s="191"/>
      <c r="P313" s="191"/>
      <c r="Q313" s="191"/>
      <c r="R313" s="159"/>
      <c r="T313" s="146"/>
      <c r="U313" s="183"/>
      <c r="V313" s="191"/>
      <c r="W313" s="191"/>
      <c r="X313" s="191"/>
      <c r="Y313" s="191"/>
      <c r="Z313" s="200"/>
      <c r="AA313" s="191"/>
      <c r="AB313" s="191"/>
      <c r="AC313" s="191"/>
      <c r="AD313" s="191"/>
      <c r="AE313" s="191"/>
      <c r="AF313" s="191"/>
      <c r="AG313" s="191"/>
      <c r="AH313" s="191"/>
      <c r="AI313" s="191"/>
      <c r="AJ313" s="159"/>
      <c r="AL313" s="196"/>
      <c r="AM313" s="196"/>
      <c r="AN313" s="196"/>
      <c r="AO313" s="196"/>
      <c r="AP313" s="197"/>
      <c r="AQ313" s="196"/>
      <c r="AR313" s="196"/>
      <c r="AS313" s="196"/>
      <c r="AT313" s="196"/>
    </row>
    <row r="314" spans="2:46" ht="20.149999999999999" customHeight="1">
      <c r="B314" s="146"/>
      <c r="C314" s="183"/>
      <c r="D314" s="191"/>
      <c r="E314" s="191"/>
      <c r="F314" s="191"/>
      <c r="G314" s="191"/>
      <c r="H314" s="200"/>
      <c r="I314" s="191"/>
      <c r="J314" s="191"/>
      <c r="K314" s="191"/>
      <c r="L314" s="191"/>
      <c r="M314" s="191"/>
      <c r="N314" s="191"/>
      <c r="O314" s="191"/>
      <c r="P314" s="191"/>
      <c r="Q314" s="191"/>
      <c r="R314" s="159"/>
      <c r="T314" s="146"/>
      <c r="U314" s="183"/>
      <c r="V314" s="191"/>
      <c r="W314" s="191"/>
      <c r="X314" s="191"/>
      <c r="Y314" s="191"/>
      <c r="Z314" s="200"/>
      <c r="AA314" s="191"/>
      <c r="AB314" s="191"/>
      <c r="AC314" s="191"/>
      <c r="AD314" s="191"/>
      <c r="AE314" s="191"/>
      <c r="AF314" s="191"/>
      <c r="AG314" s="191"/>
      <c r="AH314" s="191"/>
      <c r="AI314" s="191"/>
      <c r="AJ314" s="159"/>
      <c r="AL314" s="196"/>
      <c r="AM314" s="196"/>
      <c r="AN314" s="196"/>
      <c r="AO314" s="196"/>
      <c r="AP314" s="197"/>
      <c r="AQ314" s="196"/>
      <c r="AR314" s="196"/>
      <c r="AS314" s="196"/>
      <c r="AT314" s="196"/>
    </row>
    <row r="315" spans="2:46" ht="20.149999999999999" customHeight="1">
      <c r="B315" s="146"/>
      <c r="C315" s="183"/>
      <c r="D315" s="191"/>
      <c r="E315" s="191"/>
      <c r="F315" s="191"/>
      <c r="G315" s="191"/>
      <c r="H315" s="200"/>
      <c r="I315" s="191"/>
      <c r="J315" s="191"/>
      <c r="K315" s="191"/>
      <c r="L315" s="191"/>
      <c r="M315" s="191"/>
      <c r="N315" s="191"/>
      <c r="O315" s="191"/>
      <c r="P315" s="191"/>
      <c r="Q315" s="191"/>
      <c r="R315" s="159"/>
      <c r="T315" s="146"/>
      <c r="U315" s="183"/>
      <c r="V315" s="191"/>
      <c r="W315" s="191"/>
      <c r="X315" s="191"/>
      <c r="Y315" s="191"/>
      <c r="Z315" s="200"/>
      <c r="AA315" s="191"/>
      <c r="AB315" s="191"/>
      <c r="AC315" s="191"/>
      <c r="AD315" s="191"/>
      <c r="AE315" s="191"/>
      <c r="AF315" s="191"/>
      <c r="AG315" s="191"/>
      <c r="AH315" s="191"/>
      <c r="AI315" s="191"/>
      <c r="AJ315" s="159"/>
      <c r="AL315" s="196"/>
      <c r="AM315" s="196"/>
      <c r="AN315" s="196"/>
      <c r="AO315" s="196"/>
      <c r="AP315" s="197"/>
      <c r="AQ315" s="196"/>
      <c r="AR315" s="196"/>
      <c r="AS315" s="196"/>
      <c r="AT315" s="196"/>
    </row>
    <row r="316" spans="2:46" ht="20.149999999999999" customHeight="1">
      <c r="B316" s="146"/>
      <c r="C316" s="183"/>
      <c r="D316" s="191"/>
      <c r="E316" s="191"/>
      <c r="F316" s="191"/>
      <c r="G316" s="191"/>
      <c r="H316" s="200"/>
      <c r="I316" s="191"/>
      <c r="J316" s="191"/>
      <c r="K316" s="191"/>
      <c r="L316" s="191"/>
      <c r="M316" s="191"/>
      <c r="N316" s="191"/>
      <c r="O316" s="191"/>
      <c r="P316" s="191"/>
      <c r="Q316" s="191"/>
      <c r="R316" s="159"/>
      <c r="T316" s="146"/>
      <c r="U316" s="183"/>
      <c r="V316" s="191"/>
      <c r="W316" s="191"/>
      <c r="X316" s="191"/>
      <c r="Y316" s="191"/>
      <c r="Z316" s="200"/>
      <c r="AA316" s="191"/>
      <c r="AB316" s="191"/>
      <c r="AC316" s="191"/>
      <c r="AD316" s="191"/>
      <c r="AE316" s="191"/>
      <c r="AF316" s="191"/>
      <c r="AG316" s="191"/>
      <c r="AH316" s="191"/>
      <c r="AI316" s="191"/>
      <c r="AJ316" s="159"/>
      <c r="AL316" s="196"/>
      <c r="AM316" s="196"/>
      <c r="AN316" s="196"/>
      <c r="AO316" s="196"/>
      <c r="AP316" s="197"/>
      <c r="AQ316" s="196"/>
      <c r="AR316" s="196"/>
      <c r="AS316" s="196"/>
      <c r="AT316" s="196"/>
    </row>
    <row r="317" spans="2:46" ht="20.149999999999999" customHeight="1">
      <c r="B317" s="146"/>
      <c r="C317" s="183"/>
      <c r="D317" s="191"/>
      <c r="E317" s="191"/>
      <c r="F317" s="191"/>
      <c r="G317" s="191"/>
      <c r="H317" s="200"/>
      <c r="I317" s="191"/>
      <c r="J317" s="191"/>
      <c r="K317" s="191"/>
      <c r="L317" s="191"/>
      <c r="M317" s="191"/>
      <c r="N317" s="191"/>
      <c r="O317" s="191"/>
      <c r="P317" s="191"/>
      <c r="Q317" s="191"/>
      <c r="R317" s="159"/>
      <c r="T317" s="146"/>
      <c r="U317" s="183"/>
      <c r="V317" s="191"/>
      <c r="W317" s="191"/>
      <c r="X317" s="191"/>
      <c r="Y317" s="191"/>
      <c r="Z317" s="200"/>
      <c r="AA317" s="191"/>
      <c r="AB317" s="191"/>
      <c r="AC317" s="191"/>
      <c r="AD317" s="191"/>
      <c r="AE317" s="191"/>
      <c r="AF317" s="191"/>
      <c r="AG317" s="191"/>
      <c r="AH317" s="191"/>
      <c r="AI317" s="191"/>
      <c r="AJ317" s="159"/>
      <c r="AL317" s="196"/>
      <c r="AM317" s="196"/>
      <c r="AN317" s="196"/>
      <c r="AO317" s="196"/>
      <c r="AP317" s="197"/>
      <c r="AQ317" s="196"/>
      <c r="AR317" s="196"/>
      <c r="AS317" s="196"/>
      <c r="AT317" s="196"/>
    </row>
    <row r="318" spans="2:46" ht="20.149999999999999" customHeight="1">
      <c r="B318" s="146"/>
      <c r="C318" s="183"/>
      <c r="D318" s="191"/>
      <c r="E318" s="191"/>
      <c r="F318" s="191"/>
      <c r="G318" s="191"/>
      <c r="H318" s="200"/>
      <c r="I318" s="191"/>
      <c r="J318" s="191"/>
      <c r="K318" s="191"/>
      <c r="L318" s="191"/>
      <c r="M318" s="191"/>
      <c r="N318" s="191"/>
      <c r="O318" s="191"/>
      <c r="P318" s="191"/>
      <c r="Q318" s="191"/>
      <c r="R318" s="159"/>
      <c r="T318" s="146"/>
      <c r="U318" s="183"/>
      <c r="V318" s="191"/>
      <c r="W318" s="191"/>
      <c r="X318" s="191"/>
      <c r="Y318" s="191"/>
      <c r="Z318" s="200"/>
      <c r="AA318" s="191"/>
      <c r="AB318" s="191"/>
      <c r="AC318" s="191"/>
      <c r="AD318" s="191"/>
      <c r="AE318" s="191"/>
      <c r="AF318" s="191"/>
      <c r="AG318" s="191"/>
      <c r="AH318" s="191"/>
      <c r="AI318" s="191"/>
      <c r="AJ318" s="159"/>
      <c r="AL318" s="196"/>
      <c r="AM318" s="196"/>
      <c r="AN318" s="196"/>
      <c r="AO318" s="196"/>
      <c r="AP318" s="197"/>
      <c r="AQ318" s="196"/>
      <c r="AR318" s="196"/>
      <c r="AS318" s="196"/>
      <c r="AT318" s="196"/>
    </row>
    <row r="319" spans="2:46" ht="20.149999999999999" customHeight="1">
      <c r="B319" s="146"/>
      <c r="C319" s="183"/>
      <c r="D319" s="191"/>
      <c r="E319" s="191"/>
      <c r="F319" s="191"/>
      <c r="G319" s="191"/>
      <c r="H319" s="200"/>
      <c r="I319" s="191"/>
      <c r="J319" s="191"/>
      <c r="K319" s="191"/>
      <c r="L319" s="191"/>
      <c r="M319" s="191"/>
      <c r="N319" s="191"/>
      <c r="O319" s="191"/>
      <c r="P319" s="191"/>
      <c r="Q319" s="191"/>
      <c r="R319" s="159"/>
      <c r="T319" s="146"/>
      <c r="U319" s="183"/>
      <c r="V319" s="191"/>
      <c r="W319" s="191"/>
      <c r="X319" s="191"/>
      <c r="Y319" s="191"/>
      <c r="Z319" s="200"/>
      <c r="AA319" s="191"/>
      <c r="AB319" s="191"/>
      <c r="AC319" s="191"/>
      <c r="AD319" s="191"/>
      <c r="AE319" s="191"/>
      <c r="AF319" s="191"/>
      <c r="AG319" s="191"/>
      <c r="AH319" s="191"/>
      <c r="AI319" s="191"/>
      <c r="AJ319" s="159"/>
      <c r="AL319" s="196"/>
      <c r="AM319" s="196"/>
      <c r="AN319" s="196"/>
      <c r="AO319" s="196"/>
      <c r="AP319" s="197"/>
      <c r="AQ319" s="196"/>
      <c r="AR319" s="196"/>
      <c r="AS319" s="196"/>
      <c r="AT319" s="196"/>
    </row>
    <row r="320" spans="2:46" ht="20.149999999999999" customHeight="1">
      <c r="B320" s="146"/>
      <c r="C320" s="183"/>
      <c r="D320" s="191"/>
      <c r="E320" s="191"/>
      <c r="F320" s="191"/>
      <c r="G320" s="191"/>
      <c r="H320" s="200"/>
      <c r="I320" s="191"/>
      <c r="J320" s="191"/>
      <c r="K320" s="191"/>
      <c r="L320" s="191"/>
      <c r="M320" s="191"/>
      <c r="N320" s="191"/>
      <c r="O320" s="191"/>
      <c r="P320" s="191"/>
      <c r="Q320" s="191"/>
      <c r="R320" s="159"/>
      <c r="T320" s="146"/>
      <c r="U320" s="183"/>
      <c r="V320" s="191"/>
      <c r="W320" s="191"/>
      <c r="X320" s="191"/>
      <c r="Y320" s="191"/>
      <c r="Z320" s="200"/>
      <c r="AA320" s="191"/>
      <c r="AB320" s="191"/>
      <c r="AC320" s="191"/>
      <c r="AD320" s="191"/>
      <c r="AE320" s="191"/>
      <c r="AF320" s="191"/>
      <c r="AG320" s="191"/>
      <c r="AH320" s="191"/>
      <c r="AI320" s="191"/>
      <c r="AJ320" s="159"/>
      <c r="AL320" s="196">
        <f>'[1]100.Motherdata'!AV65</f>
        <v>0</v>
      </c>
      <c r="AM320" s="196"/>
      <c r="AN320" s="196"/>
      <c r="AO320" s="196"/>
      <c r="AP320" s="197"/>
      <c r="AQ320" s="196"/>
      <c r="AR320" s="196"/>
      <c r="AS320" s="196"/>
      <c r="AT320" s="196"/>
    </row>
    <row r="321" spans="2:46" ht="20.149999999999999" customHeight="1">
      <c r="B321" s="146"/>
      <c r="C321" s="183"/>
      <c r="D321" s="191"/>
      <c r="E321" s="191"/>
      <c r="F321" s="191"/>
      <c r="G321" s="191"/>
      <c r="H321" s="200"/>
      <c r="I321" s="191"/>
      <c r="J321" s="191"/>
      <c r="K321" s="191"/>
      <c r="L321" s="191"/>
      <c r="M321" s="191"/>
      <c r="N321" s="191"/>
      <c r="O321" s="191"/>
      <c r="P321" s="191"/>
      <c r="Q321" s="191"/>
      <c r="R321" s="159"/>
      <c r="T321" s="146"/>
      <c r="U321" s="183"/>
      <c r="V321" s="191"/>
      <c r="W321" s="191"/>
      <c r="X321" s="191"/>
      <c r="Y321" s="191"/>
      <c r="Z321" s="200"/>
      <c r="AA321" s="191"/>
      <c r="AB321" s="191"/>
      <c r="AC321" s="191"/>
      <c r="AD321" s="191"/>
      <c r="AE321" s="191"/>
      <c r="AF321" s="191"/>
      <c r="AG321" s="191"/>
      <c r="AH321" s="191"/>
      <c r="AI321" s="191"/>
      <c r="AJ321" s="159"/>
      <c r="AL321" s="196">
        <f>'[1]100.Motherdata'!AW65</f>
        <v>0</v>
      </c>
      <c r="AM321" s="196"/>
      <c r="AN321" s="196"/>
      <c r="AO321" s="196"/>
      <c r="AP321" s="197"/>
      <c r="AQ321" s="196"/>
      <c r="AR321" s="196"/>
      <c r="AS321" s="196"/>
      <c r="AT321" s="196"/>
    </row>
    <row r="322" spans="2:46" ht="20.149999999999999" customHeight="1">
      <c r="B322" s="146"/>
      <c r="C322" s="183"/>
      <c r="D322" s="191"/>
      <c r="E322" s="191"/>
      <c r="F322" s="191"/>
      <c r="G322" s="191"/>
      <c r="H322" s="200"/>
      <c r="I322" s="191"/>
      <c r="J322" s="191"/>
      <c r="K322" s="191"/>
      <c r="L322" s="191"/>
      <c r="M322" s="191"/>
      <c r="N322" s="191"/>
      <c r="O322" s="191"/>
      <c r="P322" s="191"/>
      <c r="Q322" s="191"/>
      <c r="R322" s="159"/>
      <c r="T322" s="146"/>
      <c r="U322" s="183"/>
      <c r="V322" s="191"/>
      <c r="W322" s="191"/>
      <c r="X322" s="191"/>
      <c r="Y322" s="191"/>
      <c r="Z322" s="200"/>
      <c r="AA322" s="191"/>
      <c r="AB322" s="191"/>
      <c r="AC322" s="191"/>
      <c r="AD322" s="191"/>
      <c r="AE322" s="191"/>
      <c r="AF322" s="191"/>
      <c r="AG322" s="191"/>
      <c r="AH322" s="191"/>
      <c r="AI322" s="191"/>
      <c r="AJ322" s="159"/>
      <c r="AL322" s="196"/>
      <c r="AM322" s="196"/>
      <c r="AN322" s="196"/>
      <c r="AO322" s="196"/>
      <c r="AP322" s="197"/>
      <c r="AQ322" s="196"/>
      <c r="AR322" s="196"/>
      <c r="AS322" s="196"/>
      <c r="AT322" s="196"/>
    </row>
    <row r="323" spans="2:46" ht="20.149999999999999" customHeight="1">
      <c r="B323" s="146"/>
      <c r="C323" s="183"/>
      <c r="D323" s="191"/>
      <c r="E323" s="191"/>
      <c r="F323" s="191"/>
      <c r="G323" s="191"/>
      <c r="H323" s="200"/>
      <c r="I323" s="191"/>
      <c r="J323" s="191"/>
      <c r="K323" s="191"/>
      <c r="L323" s="191"/>
      <c r="M323" s="191"/>
      <c r="N323" s="191"/>
      <c r="O323" s="191"/>
      <c r="P323" s="191"/>
      <c r="Q323" s="191"/>
      <c r="R323" s="159"/>
      <c r="T323" s="146"/>
      <c r="U323" s="183"/>
      <c r="V323" s="191"/>
      <c r="W323" s="191"/>
      <c r="X323" s="191"/>
      <c r="Y323" s="191"/>
      <c r="Z323" s="200"/>
      <c r="AA323" s="191"/>
      <c r="AB323" s="191"/>
      <c r="AC323" s="191"/>
      <c r="AD323" s="191"/>
      <c r="AE323" s="191"/>
      <c r="AF323" s="191"/>
      <c r="AG323" s="191"/>
      <c r="AH323" s="191"/>
      <c r="AI323" s="191"/>
      <c r="AJ323" s="159"/>
      <c r="AL323" s="196"/>
      <c r="AM323" s="196"/>
      <c r="AN323" s="196"/>
      <c r="AO323" s="196"/>
      <c r="AP323" s="197"/>
      <c r="AQ323" s="196"/>
      <c r="AR323" s="196"/>
      <c r="AS323" s="196"/>
      <c r="AT323" s="196"/>
    </row>
    <row r="324" spans="2:46" ht="20.149999999999999" customHeight="1">
      <c r="B324" s="146"/>
      <c r="C324" s="183"/>
      <c r="D324" s="191"/>
      <c r="E324" s="191"/>
      <c r="F324" s="191"/>
      <c r="G324" s="191"/>
      <c r="H324" s="200"/>
      <c r="I324" s="191"/>
      <c r="J324" s="191"/>
      <c r="K324" s="191"/>
      <c r="L324" s="191"/>
      <c r="M324" s="191"/>
      <c r="N324" s="191"/>
      <c r="O324" s="191"/>
      <c r="P324" s="191"/>
      <c r="Q324" s="191"/>
      <c r="R324" s="159"/>
      <c r="T324" s="146"/>
      <c r="U324" s="183"/>
      <c r="V324" s="191"/>
      <c r="W324" s="191"/>
      <c r="X324" s="191"/>
      <c r="Y324" s="191"/>
      <c r="Z324" s="200"/>
      <c r="AA324" s="191"/>
      <c r="AB324" s="191"/>
      <c r="AC324" s="191"/>
      <c r="AD324" s="191"/>
      <c r="AE324" s="191"/>
      <c r="AF324" s="191"/>
      <c r="AG324" s="191"/>
      <c r="AH324" s="191"/>
      <c r="AI324" s="191"/>
      <c r="AJ324" s="159"/>
      <c r="AL324" s="196"/>
      <c r="AM324" s="196"/>
      <c r="AN324" s="196"/>
      <c r="AO324" s="196"/>
      <c r="AP324" s="197"/>
      <c r="AQ324" s="196"/>
      <c r="AR324" s="196"/>
      <c r="AS324" s="196"/>
      <c r="AT324" s="196"/>
    </row>
    <row r="325" spans="2:46" ht="20.149999999999999" customHeight="1">
      <c r="B325" s="146"/>
      <c r="C325" s="183"/>
      <c r="D325" s="191"/>
      <c r="E325" s="191"/>
      <c r="F325" s="191"/>
      <c r="G325" s="191"/>
      <c r="H325" s="200"/>
      <c r="I325" s="191"/>
      <c r="J325" s="191"/>
      <c r="K325" s="191"/>
      <c r="L325" s="191"/>
      <c r="M325" s="191"/>
      <c r="N325" s="191"/>
      <c r="O325" s="191"/>
      <c r="P325" s="191"/>
      <c r="Q325" s="191"/>
      <c r="R325" s="159"/>
      <c r="T325" s="146"/>
      <c r="U325" s="183"/>
      <c r="V325" s="191"/>
      <c r="W325" s="191"/>
      <c r="X325" s="191"/>
      <c r="Y325" s="191"/>
      <c r="Z325" s="200"/>
      <c r="AA325" s="191"/>
      <c r="AB325" s="191"/>
      <c r="AC325" s="191"/>
      <c r="AD325" s="191"/>
      <c r="AE325" s="191"/>
      <c r="AF325" s="191"/>
      <c r="AG325" s="191"/>
      <c r="AH325" s="191"/>
      <c r="AI325" s="191"/>
      <c r="AJ325" s="159"/>
      <c r="AL325" s="204"/>
      <c r="AM325" s="204"/>
      <c r="AN325" s="204"/>
      <c r="AO325" s="204"/>
      <c r="AP325" s="206"/>
      <c r="AQ325" s="204"/>
      <c r="AR325" s="204"/>
      <c r="AS325" s="204"/>
      <c r="AT325" s="204"/>
    </row>
    <row r="326" spans="2:46" ht="20.149999999999999" customHeight="1">
      <c r="B326" s="146"/>
      <c r="C326" s="183"/>
      <c r="D326" s="191"/>
      <c r="E326" s="191"/>
      <c r="F326" s="191"/>
      <c r="G326" s="191"/>
      <c r="H326" s="200"/>
      <c r="I326" s="191"/>
      <c r="J326" s="191"/>
      <c r="K326" s="191"/>
      <c r="L326" s="191"/>
      <c r="M326" s="191"/>
      <c r="N326" s="191"/>
      <c r="O326" s="191"/>
      <c r="P326" s="191"/>
      <c r="Q326" s="191"/>
      <c r="R326" s="159"/>
      <c r="T326" s="146"/>
      <c r="U326" s="183"/>
      <c r="V326" s="191"/>
      <c r="W326" s="191"/>
      <c r="X326" s="191"/>
      <c r="Y326" s="191"/>
      <c r="Z326" s="200"/>
      <c r="AA326" s="191"/>
      <c r="AB326" s="191"/>
      <c r="AC326" s="191"/>
      <c r="AD326" s="191"/>
      <c r="AE326" s="191"/>
      <c r="AF326" s="191"/>
      <c r="AG326" s="191"/>
      <c r="AH326" s="191"/>
      <c r="AI326" s="191"/>
      <c r="AJ326" s="159"/>
      <c r="AL326" s="196"/>
      <c r="AM326" s="196"/>
      <c r="AN326" s="196"/>
      <c r="AO326" s="196"/>
      <c r="AP326" s="197"/>
      <c r="AQ326" s="196"/>
      <c r="AR326" s="196"/>
      <c r="AS326" s="196"/>
      <c r="AT326" s="196"/>
    </row>
    <row r="327" spans="2:46" ht="20.149999999999999" customHeight="1">
      <c r="B327" s="146"/>
      <c r="C327" s="183"/>
      <c r="D327" s="191"/>
      <c r="E327" s="191"/>
      <c r="F327" s="191"/>
      <c r="G327" s="191"/>
      <c r="H327" s="200"/>
      <c r="I327" s="191"/>
      <c r="J327" s="191"/>
      <c r="K327" s="191"/>
      <c r="L327" s="191"/>
      <c r="M327" s="191"/>
      <c r="N327" s="191"/>
      <c r="O327" s="191"/>
      <c r="P327" s="191"/>
      <c r="Q327" s="191"/>
      <c r="R327" s="159"/>
      <c r="T327" s="146"/>
      <c r="U327" s="183"/>
      <c r="V327" s="191"/>
      <c r="W327" s="191"/>
      <c r="X327" s="191"/>
      <c r="Y327" s="191"/>
      <c r="Z327" s="200"/>
      <c r="AA327" s="191"/>
      <c r="AB327" s="191"/>
      <c r="AC327" s="191"/>
      <c r="AD327" s="191"/>
      <c r="AE327" s="191"/>
      <c r="AF327" s="191"/>
      <c r="AG327" s="191"/>
      <c r="AH327" s="191"/>
      <c r="AI327" s="191"/>
      <c r="AJ327" s="159"/>
      <c r="AL327" s="196"/>
      <c r="AM327" s="196"/>
      <c r="AN327" s="196"/>
      <c r="AO327" s="196"/>
      <c r="AP327" s="197"/>
      <c r="AQ327" s="196"/>
      <c r="AR327" s="196"/>
      <c r="AS327" s="196"/>
      <c r="AT327" s="196"/>
    </row>
    <row r="328" spans="2:46" ht="20.149999999999999" customHeight="1">
      <c r="B328" s="146"/>
      <c r="C328" s="183"/>
      <c r="D328" s="191"/>
      <c r="E328" s="191"/>
      <c r="F328" s="191"/>
      <c r="G328" s="191"/>
      <c r="H328" s="200"/>
      <c r="I328" s="191"/>
      <c r="J328" s="191"/>
      <c r="K328" s="191"/>
      <c r="L328" s="191"/>
      <c r="M328" s="191"/>
      <c r="N328" s="191"/>
      <c r="O328" s="191"/>
      <c r="P328" s="191"/>
      <c r="Q328" s="191"/>
      <c r="R328" s="159"/>
      <c r="T328" s="146"/>
      <c r="U328" s="183"/>
      <c r="V328" s="191"/>
      <c r="W328" s="191"/>
      <c r="X328" s="191"/>
      <c r="Y328" s="191"/>
      <c r="Z328" s="200"/>
      <c r="AA328" s="191"/>
      <c r="AB328" s="191"/>
      <c r="AC328" s="191"/>
      <c r="AD328" s="191"/>
      <c r="AE328" s="191"/>
      <c r="AF328" s="191"/>
      <c r="AG328" s="191"/>
      <c r="AH328" s="191"/>
      <c r="AI328" s="191"/>
      <c r="AJ328" s="159"/>
      <c r="AL328" s="196"/>
      <c r="AM328" s="196"/>
      <c r="AN328" s="196"/>
      <c r="AO328" s="196"/>
      <c r="AP328" s="197"/>
      <c r="AQ328" s="196"/>
      <c r="AR328" s="196"/>
      <c r="AS328" s="196"/>
      <c r="AT328" s="196"/>
    </row>
    <row r="329" spans="2:46" ht="20.149999999999999" customHeight="1">
      <c r="B329" s="146"/>
      <c r="C329" s="183"/>
      <c r="D329" s="191"/>
      <c r="E329" s="191"/>
      <c r="F329" s="191"/>
      <c r="G329" s="172"/>
      <c r="H329" s="172"/>
      <c r="I329" s="172"/>
      <c r="J329" s="191"/>
      <c r="K329" s="191"/>
      <c r="L329" s="191"/>
      <c r="M329" s="191"/>
      <c r="N329" s="191"/>
      <c r="O329" s="191"/>
      <c r="P329" s="191"/>
      <c r="Q329" s="191"/>
      <c r="R329" s="159"/>
      <c r="T329" s="146"/>
      <c r="U329" s="183"/>
      <c r="V329" s="191"/>
      <c r="W329" s="191"/>
      <c r="X329" s="191"/>
      <c r="Y329" s="172"/>
      <c r="Z329" s="172"/>
      <c r="AA329" s="172"/>
      <c r="AB329" s="191"/>
      <c r="AC329" s="191"/>
      <c r="AD329" s="191"/>
      <c r="AE329" s="191"/>
      <c r="AF329" s="191"/>
      <c r="AG329" s="191"/>
      <c r="AH329" s="191"/>
      <c r="AI329" s="191"/>
      <c r="AJ329" s="159"/>
      <c r="AL329" s="205"/>
      <c r="AM329" s="205"/>
      <c r="AN329" s="205"/>
      <c r="AO329" s="688"/>
      <c r="AP329" s="688"/>
      <c r="AQ329" s="688"/>
      <c r="AR329" s="205"/>
      <c r="AS329" s="205"/>
      <c r="AT329" s="205"/>
    </row>
    <row r="330" spans="2:46" ht="20.149999999999999" customHeight="1">
      <c r="B330" s="173"/>
      <c r="C330" s="183"/>
      <c r="D330" s="202"/>
      <c r="E330" s="202"/>
      <c r="F330" s="202"/>
      <c r="G330" s="202"/>
      <c r="H330" s="202"/>
      <c r="I330" s="202"/>
      <c r="J330" s="202"/>
      <c r="K330" s="202"/>
      <c r="L330" s="202"/>
      <c r="M330" s="202"/>
      <c r="N330" s="202"/>
      <c r="O330" s="202"/>
      <c r="P330" s="202"/>
      <c r="Q330" s="202"/>
      <c r="R330" s="179"/>
      <c r="S330" s="180"/>
      <c r="T330" s="173"/>
      <c r="U330" s="183"/>
      <c r="V330" s="202"/>
      <c r="W330" s="202"/>
      <c r="X330" s="202"/>
      <c r="Y330" s="202"/>
      <c r="Z330" s="202"/>
      <c r="AA330" s="202"/>
      <c r="AB330" s="202"/>
      <c r="AC330" s="202"/>
      <c r="AD330" s="202"/>
      <c r="AE330" s="202"/>
      <c r="AF330" s="202"/>
      <c r="AG330" s="202"/>
      <c r="AH330" s="202"/>
      <c r="AI330" s="202"/>
      <c r="AJ330" s="179"/>
      <c r="AL330" s="680"/>
      <c r="AM330" s="680"/>
      <c r="AN330" s="680"/>
      <c r="AO330" s="680"/>
      <c r="AP330" s="680"/>
      <c r="AQ330" s="680"/>
      <c r="AR330" s="680"/>
      <c r="AS330" s="680"/>
      <c r="AT330" s="680"/>
    </row>
    <row r="331" spans="2:46" ht="20.149999999999999" customHeight="1">
      <c r="B331" s="146"/>
      <c r="C331" s="183"/>
      <c r="D331" s="191"/>
      <c r="E331" s="191"/>
      <c r="F331" s="191"/>
      <c r="G331" s="191"/>
      <c r="H331" s="200"/>
      <c r="I331" s="191"/>
      <c r="J331" s="191"/>
      <c r="K331" s="191"/>
      <c r="L331" s="191"/>
      <c r="M331" s="191"/>
      <c r="N331" s="191"/>
      <c r="O331" s="191"/>
      <c r="P331" s="191"/>
      <c r="Q331" s="191"/>
      <c r="R331" s="159"/>
      <c r="T331" s="146"/>
      <c r="U331" s="183"/>
      <c r="V331" s="191"/>
      <c r="W331" s="191"/>
      <c r="X331" s="191"/>
      <c r="Y331" s="191"/>
      <c r="Z331" s="200"/>
      <c r="AA331" s="191"/>
      <c r="AB331" s="191"/>
      <c r="AC331" s="191"/>
      <c r="AD331" s="191"/>
      <c r="AE331" s="191"/>
      <c r="AF331" s="191"/>
      <c r="AG331" s="191"/>
      <c r="AH331" s="191"/>
      <c r="AI331" s="191"/>
      <c r="AJ331" s="159"/>
      <c r="AL331" s="196"/>
      <c r="AM331" s="196"/>
      <c r="AN331" s="196"/>
      <c r="AO331" s="196"/>
      <c r="AP331" s="197"/>
      <c r="AQ331" s="196"/>
      <c r="AR331" s="196"/>
      <c r="AS331" s="196"/>
      <c r="AT331" s="196"/>
    </row>
    <row r="332" spans="2:46" ht="20.149999999999999" customHeight="1">
      <c r="B332" s="146"/>
      <c r="C332" s="183"/>
      <c r="D332" s="191"/>
      <c r="E332" s="191"/>
      <c r="F332" s="191"/>
      <c r="G332" s="191"/>
      <c r="H332" s="200"/>
      <c r="I332" s="191"/>
      <c r="J332" s="191"/>
      <c r="K332" s="191"/>
      <c r="L332" s="191"/>
      <c r="M332" s="191"/>
      <c r="N332" s="191"/>
      <c r="O332" s="191"/>
      <c r="P332" s="191"/>
      <c r="Q332" s="191"/>
      <c r="R332" s="159"/>
      <c r="T332" s="146"/>
      <c r="U332" s="183"/>
      <c r="V332" s="191"/>
      <c r="W332" s="191"/>
      <c r="X332" s="191"/>
      <c r="Y332" s="191"/>
      <c r="Z332" s="200"/>
      <c r="AA332" s="191"/>
      <c r="AB332" s="191"/>
      <c r="AC332" s="191"/>
      <c r="AD332" s="191"/>
      <c r="AE332" s="191"/>
      <c r="AF332" s="191"/>
      <c r="AG332" s="191"/>
      <c r="AH332" s="191"/>
      <c r="AI332" s="191"/>
      <c r="AJ332" s="159"/>
      <c r="AL332" s="196"/>
      <c r="AM332" s="196"/>
      <c r="AN332" s="196"/>
      <c r="AO332" s="196"/>
      <c r="AP332" s="197"/>
      <c r="AQ332" s="196"/>
      <c r="AR332" s="196"/>
      <c r="AS332" s="196"/>
      <c r="AT332" s="196"/>
    </row>
    <row r="333" spans="2:46" ht="20.149999999999999" customHeight="1">
      <c r="B333" s="146"/>
      <c r="C333" s="183"/>
      <c r="D333" s="191"/>
      <c r="E333" s="191"/>
      <c r="F333" s="191"/>
      <c r="G333" s="191"/>
      <c r="H333" s="200"/>
      <c r="I333" s="191"/>
      <c r="J333" s="191"/>
      <c r="K333" s="191"/>
      <c r="L333" s="191"/>
      <c r="M333" s="191"/>
      <c r="N333" s="191"/>
      <c r="O333" s="191"/>
      <c r="P333" s="191"/>
      <c r="Q333" s="191"/>
      <c r="R333" s="159"/>
      <c r="T333" s="146"/>
      <c r="U333" s="183"/>
      <c r="V333" s="191"/>
      <c r="W333" s="191"/>
      <c r="X333" s="191"/>
      <c r="Y333" s="191"/>
      <c r="Z333" s="200"/>
      <c r="AA333" s="191"/>
      <c r="AB333" s="191"/>
      <c r="AC333" s="191"/>
      <c r="AD333" s="191"/>
      <c r="AE333" s="191"/>
      <c r="AF333" s="191"/>
      <c r="AG333" s="191"/>
      <c r="AH333" s="191"/>
      <c r="AI333" s="191"/>
      <c r="AJ333" s="159"/>
      <c r="AL333" s="196"/>
      <c r="AM333" s="196"/>
      <c r="AN333" s="196"/>
      <c r="AO333" s="196"/>
      <c r="AP333" s="197"/>
      <c r="AQ333" s="196"/>
      <c r="AR333" s="196"/>
      <c r="AS333" s="196"/>
      <c r="AT333" s="196"/>
    </row>
    <row r="334" spans="2:46" ht="20.149999999999999" customHeight="1">
      <c r="B334" s="146"/>
      <c r="C334" s="183"/>
      <c r="D334" s="191"/>
      <c r="E334" s="191"/>
      <c r="F334" s="191"/>
      <c r="G334" s="191"/>
      <c r="H334" s="200"/>
      <c r="I334" s="191"/>
      <c r="J334" s="191"/>
      <c r="K334" s="191"/>
      <c r="L334" s="191"/>
      <c r="M334" s="191"/>
      <c r="N334" s="191"/>
      <c r="O334" s="191"/>
      <c r="P334" s="191"/>
      <c r="Q334" s="191"/>
      <c r="R334" s="159"/>
      <c r="T334" s="146"/>
      <c r="U334" s="183"/>
      <c r="V334" s="191"/>
      <c r="W334" s="191"/>
      <c r="X334" s="191"/>
      <c r="Y334" s="191"/>
      <c r="Z334" s="200"/>
      <c r="AA334" s="191"/>
      <c r="AB334" s="191"/>
      <c r="AC334" s="191"/>
      <c r="AD334" s="191"/>
      <c r="AE334" s="191"/>
      <c r="AF334" s="191"/>
      <c r="AG334" s="191"/>
      <c r="AH334" s="191"/>
      <c r="AI334" s="191"/>
      <c r="AJ334" s="159"/>
      <c r="AL334" s="196">
        <f>'[1]100.Motherdata'!BJ65</f>
        <v>0</v>
      </c>
      <c r="AM334" s="196"/>
      <c r="AN334" s="196"/>
      <c r="AO334" s="196"/>
      <c r="AP334" s="197"/>
      <c r="AQ334" s="196"/>
      <c r="AR334" s="196"/>
      <c r="AS334" s="196"/>
      <c r="AT334" s="196"/>
    </row>
    <row r="335" spans="2:46" ht="20.149999999999999" customHeight="1">
      <c r="B335" s="146"/>
      <c r="C335" s="183"/>
      <c r="D335" s="191"/>
      <c r="E335" s="191"/>
      <c r="F335" s="191"/>
      <c r="G335" s="191"/>
      <c r="H335" s="200"/>
      <c r="I335" s="191"/>
      <c r="J335" s="191"/>
      <c r="K335" s="191"/>
      <c r="L335" s="191"/>
      <c r="M335" s="191"/>
      <c r="N335" s="191"/>
      <c r="O335" s="191"/>
      <c r="P335" s="191"/>
      <c r="Q335" s="191"/>
      <c r="R335" s="159"/>
      <c r="T335" s="146"/>
      <c r="U335" s="183"/>
      <c r="V335" s="191"/>
      <c r="W335" s="191"/>
      <c r="X335" s="191"/>
      <c r="Y335" s="191"/>
      <c r="Z335" s="200"/>
      <c r="AA335" s="191"/>
      <c r="AB335" s="191"/>
      <c r="AC335" s="191"/>
      <c r="AD335" s="191"/>
      <c r="AE335" s="191"/>
      <c r="AF335" s="191"/>
      <c r="AG335" s="191"/>
      <c r="AH335" s="191"/>
      <c r="AI335" s="191"/>
      <c r="AJ335" s="159"/>
      <c r="AL335" s="196">
        <f>'[1]100.Motherdata'!AY65</f>
        <v>0</v>
      </c>
      <c r="AM335" s="196"/>
      <c r="AN335" s="196"/>
      <c r="AO335" s="196"/>
      <c r="AP335" s="197"/>
      <c r="AQ335" s="196"/>
      <c r="AR335" s="196"/>
      <c r="AS335" s="196"/>
      <c r="AT335" s="196"/>
    </row>
    <row r="336" spans="2:46" ht="20.149999999999999" customHeight="1">
      <c r="B336" s="146"/>
      <c r="C336" s="183"/>
      <c r="D336" s="191"/>
      <c r="E336" s="191"/>
      <c r="F336" s="191"/>
      <c r="G336" s="191"/>
      <c r="H336" s="200"/>
      <c r="I336" s="191"/>
      <c r="J336" s="191"/>
      <c r="K336" s="191"/>
      <c r="L336" s="191"/>
      <c r="M336" s="191"/>
      <c r="N336" s="191"/>
      <c r="O336" s="191"/>
      <c r="P336" s="191"/>
      <c r="Q336" s="191"/>
      <c r="R336" s="159"/>
      <c r="T336" s="146"/>
      <c r="U336" s="183"/>
      <c r="V336" s="191"/>
      <c r="W336" s="191"/>
      <c r="X336" s="191"/>
      <c r="Y336" s="191"/>
      <c r="Z336" s="200"/>
      <c r="AA336" s="191"/>
      <c r="AB336" s="191"/>
      <c r="AC336" s="191"/>
      <c r="AD336" s="191"/>
      <c r="AE336" s="191"/>
      <c r="AF336" s="191"/>
      <c r="AG336" s="191"/>
      <c r="AH336" s="191"/>
      <c r="AI336" s="191"/>
      <c r="AJ336" s="159"/>
      <c r="AL336" s="196"/>
      <c r="AM336" s="196"/>
      <c r="AN336" s="196"/>
      <c r="AO336" s="196"/>
      <c r="AP336" s="197"/>
      <c r="AQ336" s="196"/>
      <c r="AR336" s="196"/>
      <c r="AS336" s="196"/>
      <c r="AT336" s="196"/>
    </row>
    <row r="337" spans="2:46" ht="20.149999999999999" customHeight="1">
      <c r="B337" s="146"/>
      <c r="C337" s="183"/>
      <c r="D337" s="191"/>
      <c r="E337" s="191"/>
      <c r="F337" s="191"/>
      <c r="G337" s="191"/>
      <c r="H337" s="200"/>
      <c r="I337" s="191"/>
      <c r="J337" s="191"/>
      <c r="K337" s="191"/>
      <c r="L337" s="191"/>
      <c r="M337" s="191"/>
      <c r="N337" s="191"/>
      <c r="O337" s="191"/>
      <c r="P337" s="191"/>
      <c r="Q337" s="191"/>
      <c r="R337" s="159"/>
      <c r="T337" s="146"/>
      <c r="U337" s="183"/>
      <c r="V337" s="191"/>
      <c r="W337" s="191"/>
      <c r="X337" s="191"/>
      <c r="Y337" s="191"/>
      <c r="Z337" s="200"/>
      <c r="AA337" s="191"/>
      <c r="AB337" s="191"/>
      <c r="AC337" s="191"/>
      <c r="AD337" s="191"/>
      <c r="AE337" s="191"/>
      <c r="AF337" s="191"/>
      <c r="AG337" s="191"/>
      <c r="AH337" s="191"/>
      <c r="AI337" s="191"/>
      <c r="AJ337" s="159"/>
      <c r="AL337" s="196"/>
      <c r="AM337" s="196"/>
      <c r="AN337" s="196"/>
      <c r="AO337" s="196"/>
      <c r="AP337" s="197"/>
      <c r="AQ337" s="196"/>
      <c r="AR337" s="196"/>
      <c r="AS337" s="196"/>
      <c r="AT337" s="196"/>
    </row>
    <row r="338" spans="2:46" ht="20.149999999999999" customHeight="1">
      <c r="B338" s="146"/>
      <c r="C338" s="183"/>
      <c r="D338" s="191"/>
      <c r="E338" s="191"/>
      <c r="F338" s="191"/>
      <c r="G338" s="191"/>
      <c r="H338" s="200"/>
      <c r="I338" s="191"/>
      <c r="J338" s="191"/>
      <c r="K338" s="191"/>
      <c r="L338" s="191"/>
      <c r="M338" s="191"/>
      <c r="N338" s="191"/>
      <c r="O338" s="191"/>
      <c r="P338" s="191"/>
      <c r="Q338" s="191"/>
      <c r="R338" s="159"/>
      <c r="T338" s="146"/>
      <c r="U338" s="183"/>
      <c r="V338" s="191"/>
      <c r="W338" s="191"/>
      <c r="X338" s="191"/>
      <c r="Y338" s="191"/>
      <c r="Z338" s="200"/>
      <c r="AA338" s="191"/>
      <c r="AB338" s="191"/>
      <c r="AC338" s="191"/>
      <c r="AD338" s="191"/>
      <c r="AE338" s="191"/>
      <c r="AF338" s="191"/>
      <c r="AG338" s="191"/>
      <c r="AH338" s="191"/>
      <c r="AI338" s="191"/>
      <c r="AJ338" s="159"/>
      <c r="AL338" s="196"/>
      <c r="AM338" s="196"/>
      <c r="AN338" s="196"/>
      <c r="AO338" s="196"/>
      <c r="AP338" s="197"/>
      <c r="AQ338" s="196"/>
      <c r="AR338" s="196"/>
      <c r="AS338" s="196"/>
      <c r="AT338" s="196"/>
    </row>
    <row r="339" spans="2:46" ht="20.149999999999999" customHeight="1">
      <c r="B339" s="146"/>
      <c r="C339" s="183"/>
      <c r="D339" s="191"/>
      <c r="E339" s="191"/>
      <c r="F339" s="191"/>
      <c r="G339" s="191"/>
      <c r="H339" s="200"/>
      <c r="I339" s="191"/>
      <c r="J339" s="191"/>
      <c r="K339" s="191"/>
      <c r="L339" s="191"/>
      <c r="M339" s="191"/>
      <c r="N339" s="191"/>
      <c r="O339" s="191"/>
      <c r="P339" s="191"/>
      <c r="Q339" s="191"/>
      <c r="R339" s="159"/>
      <c r="T339" s="146"/>
      <c r="U339" s="183"/>
      <c r="V339" s="191"/>
      <c r="W339" s="191"/>
      <c r="X339" s="191"/>
      <c r="Y339" s="191"/>
      <c r="Z339" s="200"/>
      <c r="AA339" s="191"/>
      <c r="AB339" s="191"/>
      <c r="AC339" s="191"/>
      <c r="AD339" s="191"/>
      <c r="AE339" s="191"/>
      <c r="AF339" s="191"/>
      <c r="AG339" s="191"/>
      <c r="AH339" s="191"/>
      <c r="AI339" s="191"/>
      <c r="AJ339" s="159"/>
      <c r="AL339" s="196"/>
      <c r="AM339" s="196"/>
      <c r="AN339" s="196"/>
      <c r="AO339" s="196"/>
      <c r="AP339" s="197"/>
      <c r="AQ339" s="196"/>
      <c r="AR339" s="196"/>
      <c r="AS339" s="196"/>
      <c r="AT339" s="196"/>
    </row>
    <row r="340" spans="2:46" ht="20.149999999999999" customHeight="1">
      <c r="B340" s="146"/>
      <c r="C340" s="183"/>
      <c r="D340" s="191"/>
      <c r="E340" s="191"/>
      <c r="F340" s="191"/>
      <c r="G340" s="191"/>
      <c r="H340" s="200"/>
      <c r="I340" s="191"/>
      <c r="J340" s="191"/>
      <c r="K340" s="191"/>
      <c r="L340" s="191"/>
      <c r="M340" s="191"/>
      <c r="N340" s="191"/>
      <c r="O340" s="191"/>
      <c r="P340" s="191"/>
      <c r="Q340" s="191"/>
      <c r="R340" s="159"/>
      <c r="T340" s="146"/>
      <c r="U340" s="183"/>
      <c r="V340" s="191"/>
      <c r="W340" s="191"/>
      <c r="X340" s="191"/>
      <c r="Y340" s="191"/>
      <c r="Z340" s="200"/>
      <c r="AA340" s="191"/>
      <c r="AB340" s="191"/>
      <c r="AC340" s="191"/>
      <c r="AD340" s="191"/>
      <c r="AE340" s="191"/>
      <c r="AF340" s="191"/>
      <c r="AG340" s="191"/>
      <c r="AH340" s="191"/>
      <c r="AI340" s="191"/>
      <c r="AJ340" s="159"/>
      <c r="AL340" s="196"/>
      <c r="AM340" s="196"/>
      <c r="AN340" s="196"/>
      <c r="AO340" s="196"/>
      <c r="AP340" s="197"/>
      <c r="AQ340" s="196"/>
      <c r="AR340" s="196"/>
      <c r="AS340" s="196"/>
      <c r="AT340" s="196"/>
    </row>
    <row r="341" spans="2:46" ht="20.149999999999999" customHeight="1">
      <c r="B341" s="146"/>
      <c r="C341" s="183"/>
      <c r="D341" s="191"/>
      <c r="E341" s="191"/>
      <c r="F341" s="191"/>
      <c r="G341" s="191"/>
      <c r="H341" s="200"/>
      <c r="I341" s="191"/>
      <c r="J341" s="191"/>
      <c r="K341" s="191"/>
      <c r="L341" s="191"/>
      <c r="M341" s="191"/>
      <c r="N341" s="191"/>
      <c r="O341" s="191"/>
      <c r="P341" s="191"/>
      <c r="Q341" s="191"/>
      <c r="R341" s="159"/>
      <c r="T341" s="146"/>
      <c r="U341" s="183"/>
      <c r="V341" s="191"/>
      <c r="W341" s="191"/>
      <c r="X341" s="191"/>
      <c r="Y341" s="191"/>
      <c r="Z341" s="200"/>
      <c r="AA341" s="191"/>
      <c r="AB341" s="191"/>
      <c r="AC341" s="191"/>
      <c r="AD341" s="191"/>
      <c r="AE341" s="191"/>
      <c r="AF341" s="191"/>
      <c r="AG341" s="191"/>
      <c r="AH341" s="191"/>
      <c r="AI341" s="191"/>
      <c r="AJ341" s="159"/>
      <c r="AL341" s="196"/>
      <c r="AM341" s="196"/>
      <c r="AN341" s="196"/>
      <c r="AO341" s="196"/>
      <c r="AP341" s="197"/>
      <c r="AQ341" s="196"/>
      <c r="AR341" s="196"/>
      <c r="AS341" s="196"/>
      <c r="AT341" s="196"/>
    </row>
    <row r="342" spans="2:46" ht="20.149999999999999" customHeight="1">
      <c r="B342" s="146"/>
      <c r="C342" s="183"/>
      <c r="D342" s="191"/>
      <c r="E342" s="191"/>
      <c r="F342" s="191"/>
      <c r="G342" s="191"/>
      <c r="H342" s="200"/>
      <c r="I342" s="191"/>
      <c r="J342" s="191"/>
      <c r="K342" s="191"/>
      <c r="L342" s="191"/>
      <c r="M342" s="191"/>
      <c r="N342" s="191"/>
      <c r="O342" s="191"/>
      <c r="P342" s="191"/>
      <c r="Q342" s="191"/>
      <c r="R342" s="159"/>
      <c r="T342" s="146"/>
      <c r="U342" s="183"/>
      <c r="V342" s="191"/>
      <c r="W342" s="191"/>
      <c r="X342" s="191"/>
      <c r="Y342" s="191"/>
      <c r="Z342" s="200"/>
      <c r="AA342" s="191"/>
      <c r="AB342" s="191"/>
      <c r="AC342" s="191"/>
      <c r="AD342" s="191"/>
      <c r="AE342" s="191"/>
      <c r="AF342" s="191"/>
      <c r="AG342" s="191"/>
      <c r="AH342" s="191"/>
      <c r="AI342" s="191"/>
      <c r="AJ342" s="159"/>
      <c r="AL342" s="196"/>
      <c r="AM342" s="196"/>
      <c r="AN342" s="196"/>
      <c r="AO342" s="196"/>
      <c r="AP342" s="197"/>
      <c r="AQ342" s="196"/>
      <c r="AR342" s="196"/>
      <c r="AS342" s="196"/>
      <c r="AT342" s="196"/>
    </row>
    <row r="343" spans="2:46" ht="20.149999999999999" customHeight="1">
      <c r="B343" s="146"/>
      <c r="C343" s="183"/>
      <c r="D343" s="191"/>
      <c r="E343" s="191"/>
      <c r="F343" s="191"/>
      <c r="G343" s="191"/>
      <c r="H343" s="200"/>
      <c r="I343" s="191"/>
      <c r="J343" s="191"/>
      <c r="K343" s="191"/>
      <c r="L343" s="191"/>
      <c r="M343" s="191"/>
      <c r="N343" s="191"/>
      <c r="O343" s="191"/>
      <c r="P343" s="191"/>
      <c r="Q343" s="191"/>
      <c r="R343" s="159"/>
      <c r="T343" s="146"/>
      <c r="U343" s="183"/>
      <c r="V343" s="191"/>
      <c r="W343" s="191"/>
      <c r="X343" s="191"/>
      <c r="Y343" s="191"/>
      <c r="Z343" s="200"/>
      <c r="AA343" s="191"/>
      <c r="AB343" s="191"/>
      <c r="AC343" s="191"/>
      <c r="AD343" s="191"/>
      <c r="AE343" s="191"/>
      <c r="AF343" s="191"/>
      <c r="AG343" s="191"/>
      <c r="AH343" s="191"/>
      <c r="AI343" s="191"/>
      <c r="AJ343" s="159"/>
      <c r="AL343" s="196">
        <f>'[1]100.Motherdata'!AZ65</f>
        <v>0</v>
      </c>
      <c r="AM343" s="196"/>
      <c r="AN343" s="196"/>
      <c r="AO343" s="196"/>
      <c r="AP343" s="197"/>
      <c r="AQ343" s="196"/>
      <c r="AR343" s="196"/>
      <c r="AS343" s="196"/>
      <c r="AT343" s="196"/>
    </row>
    <row r="344" spans="2:46" ht="20.149999999999999" customHeight="1">
      <c r="B344" s="146"/>
      <c r="C344" s="183"/>
      <c r="D344" s="191"/>
      <c r="E344" s="191"/>
      <c r="F344" s="191"/>
      <c r="G344" s="191"/>
      <c r="H344" s="200"/>
      <c r="I344" s="191"/>
      <c r="J344" s="191"/>
      <c r="K344" s="191"/>
      <c r="L344" s="191"/>
      <c r="M344" s="191"/>
      <c r="N344" s="191"/>
      <c r="O344" s="191"/>
      <c r="P344" s="191"/>
      <c r="Q344" s="191"/>
      <c r="R344" s="159"/>
      <c r="T344" s="146"/>
      <c r="U344" s="183"/>
      <c r="V344" s="191"/>
      <c r="W344" s="191"/>
      <c r="X344" s="191"/>
      <c r="Y344" s="191"/>
      <c r="Z344" s="200"/>
      <c r="AA344" s="191"/>
      <c r="AB344" s="191"/>
      <c r="AC344" s="191"/>
      <c r="AD344" s="191"/>
      <c r="AE344" s="191"/>
      <c r="AF344" s="191"/>
      <c r="AG344" s="191"/>
      <c r="AH344" s="191"/>
      <c r="AI344" s="191"/>
      <c r="AJ344" s="159"/>
      <c r="AL344" s="196">
        <f>'[1]100.Motherdata'!BA65</f>
        <v>0</v>
      </c>
      <c r="AM344" s="196"/>
      <c r="AN344" s="196"/>
      <c r="AO344" s="196"/>
      <c r="AP344" s="197"/>
      <c r="AQ344" s="196"/>
      <c r="AR344" s="196"/>
      <c r="AS344" s="196"/>
      <c r="AT344" s="196"/>
    </row>
    <row r="345" spans="2:46" ht="20.149999999999999" customHeight="1">
      <c r="B345" s="146"/>
      <c r="C345" s="183"/>
      <c r="D345" s="191"/>
      <c r="E345" s="191"/>
      <c r="F345" s="191"/>
      <c r="G345" s="191"/>
      <c r="H345" s="200"/>
      <c r="I345" s="191"/>
      <c r="J345" s="191"/>
      <c r="K345" s="191"/>
      <c r="L345" s="191"/>
      <c r="M345" s="191"/>
      <c r="N345" s="191"/>
      <c r="O345" s="191"/>
      <c r="P345" s="191"/>
      <c r="Q345" s="191"/>
      <c r="R345" s="159"/>
      <c r="T345" s="146"/>
      <c r="U345" s="183"/>
      <c r="V345" s="191"/>
      <c r="W345" s="191"/>
      <c r="X345" s="191"/>
      <c r="Y345" s="191"/>
      <c r="Z345" s="200"/>
      <c r="AA345" s="191"/>
      <c r="AB345" s="191"/>
      <c r="AC345" s="191"/>
      <c r="AD345" s="191"/>
      <c r="AE345" s="191"/>
      <c r="AF345" s="191"/>
      <c r="AG345" s="191"/>
      <c r="AH345" s="191"/>
      <c r="AI345" s="191"/>
      <c r="AJ345" s="159"/>
      <c r="AL345" s="196"/>
      <c r="AM345" s="196"/>
      <c r="AN345" s="196"/>
      <c r="AO345" s="196"/>
      <c r="AP345" s="197"/>
      <c r="AQ345" s="196"/>
      <c r="AR345" s="196"/>
      <c r="AS345" s="196"/>
      <c r="AT345" s="196"/>
    </row>
    <row r="346" spans="2:46" ht="20.149999999999999" customHeight="1">
      <c r="B346" s="146"/>
      <c r="C346" s="183"/>
      <c r="D346" s="191"/>
      <c r="E346" s="191"/>
      <c r="F346" s="191"/>
      <c r="G346" s="191"/>
      <c r="H346" s="200"/>
      <c r="I346" s="191"/>
      <c r="J346" s="191"/>
      <c r="K346" s="191"/>
      <c r="L346" s="191"/>
      <c r="M346" s="191"/>
      <c r="N346" s="191"/>
      <c r="O346" s="191"/>
      <c r="P346" s="191"/>
      <c r="Q346" s="191"/>
      <c r="R346" s="159"/>
      <c r="T346" s="146"/>
      <c r="U346" s="183"/>
      <c r="V346" s="191"/>
      <c r="W346" s="191"/>
      <c r="X346" s="191"/>
      <c r="Y346" s="191"/>
      <c r="Z346" s="200"/>
      <c r="AA346" s="191"/>
      <c r="AB346" s="191"/>
      <c r="AC346" s="191"/>
      <c r="AD346" s="191"/>
      <c r="AE346" s="191"/>
      <c r="AF346" s="191"/>
      <c r="AG346" s="191"/>
      <c r="AH346" s="191"/>
      <c r="AI346" s="191"/>
      <c r="AJ346" s="159"/>
      <c r="AL346" s="196"/>
      <c r="AM346" s="196"/>
      <c r="AN346" s="196"/>
      <c r="AO346" s="196"/>
      <c r="AP346" s="197"/>
      <c r="AQ346" s="196"/>
      <c r="AR346" s="196"/>
      <c r="AS346" s="196"/>
      <c r="AT346" s="196"/>
    </row>
    <row r="347" spans="2:46" ht="20.149999999999999" customHeight="1">
      <c r="B347" s="146"/>
      <c r="C347" s="183"/>
      <c r="D347" s="191"/>
      <c r="E347" s="191"/>
      <c r="F347" s="191"/>
      <c r="G347" s="191"/>
      <c r="H347" s="200"/>
      <c r="I347" s="191"/>
      <c r="J347" s="191"/>
      <c r="K347" s="191"/>
      <c r="L347" s="191"/>
      <c r="M347" s="191"/>
      <c r="N347" s="191"/>
      <c r="O347" s="191"/>
      <c r="P347" s="191"/>
      <c r="Q347" s="191"/>
      <c r="R347" s="159"/>
      <c r="T347" s="146"/>
      <c r="U347" s="183"/>
      <c r="V347" s="191"/>
      <c r="W347" s="191"/>
      <c r="X347" s="191"/>
      <c r="Y347" s="191"/>
      <c r="Z347" s="200"/>
      <c r="AA347" s="191"/>
      <c r="AB347" s="191"/>
      <c r="AC347" s="191"/>
      <c r="AD347" s="191"/>
      <c r="AE347" s="191"/>
      <c r="AF347" s="191"/>
      <c r="AG347" s="191"/>
      <c r="AH347" s="191"/>
      <c r="AI347" s="191"/>
      <c r="AJ347" s="159"/>
      <c r="AL347" s="196"/>
      <c r="AM347" s="196"/>
      <c r="AN347" s="196"/>
      <c r="AO347" s="196"/>
      <c r="AP347" s="197"/>
      <c r="AQ347" s="196"/>
      <c r="AR347" s="196"/>
      <c r="AS347" s="196"/>
      <c r="AT347" s="196"/>
    </row>
    <row r="348" spans="2:46" ht="20.149999999999999" customHeight="1">
      <c r="B348" s="146"/>
      <c r="C348" s="183"/>
      <c r="D348" s="191"/>
      <c r="E348" s="191"/>
      <c r="F348" s="191"/>
      <c r="G348" s="191"/>
      <c r="H348" s="200"/>
      <c r="I348" s="191"/>
      <c r="J348" s="191"/>
      <c r="K348" s="191"/>
      <c r="L348" s="191"/>
      <c r="M348" s="191"/>
      <c r="N348" s="191"/>
      <c r="O348" s="191"/>
      <c r="P348" s="191"/>
      <c r="Q348" s="191"/>
      <c r="R348" s="159"/>
      <c r="T348" s="146"/>
      <c r="U348" s="183"/>
      <c r="V348" s="191"/>
      <c r="W348" s="191"/>
      <c r="X348" s="191"/>
      <c r="Y348" s="191"/>
      <c r="Z348" s="200"/>
      <c r="AA348" s="191"/>
      <c r="AB348" s="191"/>
      <c r="AC348" s="191"/>
      <c r="AD348" s="191"/>
      <c r="AE348" s="191"/>
      <c r="AF348" s="191"/>
      <c r="AG348" s="191"/>
      <c r="AH348" s="191"/>
      <c r="AI348" s="191"/>
      <c r="AJ348" s="159"/>
      <c r="AL348" s="196"/>
      <c r="AM348" s="196"/>
      <c r="AN348" s="196"/>
      <c r="AO348" s="196"/>
      <c r="AP348" s="197"/>
      <c r="AQ348" s="196"/>
      <c r="AR348" s="196"/>
      <c r="AS348" s="196"/>
      <c r="AT348" s="196"/>
    </row>
    <row r="349" spans="2:46" ht="20.149999999999999" customHeight="1">
      <c r="B349" s="146"/>
      <c r="C349" s="183"/>
      <c r="D349" s="191"/>
      <c r="E349" s="191"/>
      <c r="F349" s="191"/>
      <c r="G349" s="191"/>
      <c r="H349" s="200"/>
      <c r="I349" s="191"/>
      <c r="J349" s="191"/>
      <c r="K349" s="191"/>
      <c r="L349" s="191"/>
      <c r="M349" s="191"/>
      <c r="N349" s="191"/>
      <c r="O349" s="191"/>
      <c r="P349" s="191"/>
      <c r="Q349" s="191"/>
      <c r="R349" s="159"/>
      <c r="T349" s="146"/>
      <c r="U349" s="183"/>
      <c r="V349" s="191"/>
      <c r="W349" s="191"/>
      <c r="X349" s="191"/>
      <c r="Y349" s="191"/>
      <c r="Z349" s="200"/>
      <c r="AA349" s="191"/>
      <c r="AB349" s="191"/>
      <c r="AC349" s="191"/>
      <c r="AD349" s="191"/>
      <c r="AE349" s="191"/>
      <c r="AF349" s="191"/>
      <c r="AG349" s="191"/>
      <c r="AH349" s="191"/>
      <c r="AI349" s="191"/>
      <c r="AJ349" s="159"/>
      <c r="AL349" s="196"/>
      <c r="AM349" s="196"/>
      <c r="AN349" s="196"/>
      <c r="AO349" s="196"/>
      <c r="AP349" s="197"/>
      <c r="AQ349" s="196"/>
      <c r="AR349" s="196"/>
      <c r="AS349" s="196"/>
      <c r="AT349" s="196"/>
    </row>
    <row r="350" spans="2:46" ht="20.149999999999999" customHeight="1">
      <c r="B350" s="146"/>
      <c r="C350" s="183"/>
      <c r="D350" s="191"/>
      <c r="E350" s="191"/>
      <c r="F350" s="191"/>
      <c r="G350" s="191"/>
      <c r="H350" s="200"/>
      <c r="I350" s="191"/>
      <c r="J350" s="191"/>
      <c r="K350" s="191"/>
      <c r="L350" s="191"/>
      <c r="M350" s="191"/>
      <c r="N350" s="191"/>
      <c r="O350" s="191"/>
      <c r="P350" s="191"/>
      <c r="Q350" s="191"/>
      <c r="R350" s="159"/>
      <c r="T350" s="146"/>
      <c r="U350" s="183"/>
      <c r="V350" s="191"/>
      <c r="W350" s="191"/>
      <c r="X350" s="191"/>
      <c r="Y350" s="191"/>
      <c r="Z350" s="200"/>
      <c r="AA350" s="191"/>
      <c r="AB350" s="191"/>
      <c r="AC350" s="191"/>
      <c r="AD350" s="191"/>
      <c r="AE350" s="191"/>
      <c r="AF350" s="191"/>
      <c r="AG350" s="191"/>
      <c r="AH350" s="191"/>
      <c r="AI350" s="191"/>
      <c r="AJ350" s="159"/>
      <c r="AL350" s="196"/>
      <c r="AM350" s="196"/>
      <c r="AN350" s="196"/>
      <c r="AO350" s="196"/>
      <c r="AP350" s="197"/>
      <c r="AQ350" s="196"/>
      <c r="AR350" s="196"/>
      <c r="AS350" s="196"/>
      <c r="AT350" s="196"/>
    </row>
    <row r="351" spans="2:46" ht="20.149999999999999" customHeight="1">
      <c r="B351" s="146"/>
      <c r="C351" s="183"/>
      <c r="D351" s="191"/>
      <c r="E351" s="191"/>
      <c r="F351" s="191"/>
      <c r="G351" s="191"/>
      <c r="H351" s="200"/>
      <c r="I351" s="191"/>
      <c r="J351" s="191"/>
      <c r="K351" s="191"/>
      <c r="L351" s="191"/>
      <c r="M351" s="191"/>
      <c r="N351" s="191"/>
      <c r="O351" s="191"/>
      <c r="P351" s="191"/>
      <c r="Q351" s="191"/>
      <c r="R351" s="159"/>
      <c r="T351" s="146"/>
      <c r="U351" s="183"/>
      <c r="V351" s="191"/>
      <c r="W351" s="191"/>
      <c r="X351" s="191"/>
      <c r="Y351" s="191"/>
      <c r="Z351" s="200"/>
      <c r="AA351" s="191"/>
      <c r="AB351" s="191"/>
      <c r="AC351" s="191"/>
      <c r="AD351" s="191"/>
      <c r="AE351" s="191"/>
      <c r="AF351" s="191"/>
      <c r="AG351" s="191"/>
      <c r="AH351" s="191"/>
      <c r="AI351" s="191"/>
      <c r="AJ351" s="159"/>
      <c r="AL351" s="196"/>
      <c r="AM351" s="196"/>
      <c r="AN351" s="196"/>
      <c r="AO351" s="196"/>
      <c r="AP351" s="197"/>
      <c r="AQ351" s="196"/>
      <c r="AR351" s="196"/>
      <c r="AS351" s="196"/>
      <c r="AT351" s="196"/>
    </row>
    <row r="352" spans="2:46" ht="20.149999999999999" customHeight="1">
      <c r="B352" s="146"/>
      <c r="C352" s="183"/>
      <c r="D352" s="191"/>
      <c r="E352" s="191"/>
      <c r="F352" s="191"/>
      <c r="G352" s="191"/>
      <c r="H352" s="200"/>
      <c r="I352" s="191"/>
      <c r="J352" s="191"/>
      <c r="K352" s="191"/>
      <c r="L352" s="191"/>
      <c r="M352" s="191"/>
      <c r="N352" s="191"/>
      <c r="O352" s="191"/>
      <c r="P352" s="191"/>
      <c r="Q352" s="191"/>
      <c r="R352" s="159"/>
      <c r="T352" s="146"/>
      <c r="U352" s="183"/>
      <c r="V352" s="191"/>
      <c r="W352" s="191"/>
      <c r="X352" s="191"/>
      <c r="Y352" s="191"/>
      <c r="Z352" s="200"/>
      <c r="AA352" s="191"/>
      <c r="AB352" s="191"/>
      <c r="AC352" s="191"/>
      <c r="AD352" s="191"/>
      <c r="AE352" s="191"/>
      <c r="AF352" s="191"/>
      <c r="AG352" s="191"/>
      <c r="AH352" s="191"/>
      <c r="AI352" s="191"/>
      <c r="AJ352" s="159"/>
      <c r="AL352" s="196">
        <f>'[1]100.Motherdata'!BF65</f>
        <v>0</v>
      </c>
      <c r="AM352" s="196"/>
      <c r="AN352" s="196"/>
      <c r="AO352" s="196"/>
      <c r="AP352" s="197"/>
      <c r="AQ352" s="196"/>
      <c r="AR352" s="196"/>
      <c r="AS352" s="196"/>
      <c r="AT352" s="196"/>
    </row>
    <row r="353" spans="2:46" ht="20.149999999999999" customHeight="1">
      <c r="B353" s="146"/>
      <c r="C353" s="183"/>
      <c r="D353" s="191"/>
      <c r="E353" s="191"/>
      <c r="F353" s="191"/>
      <c r="G353" s="191"/>
      <c r="H353" s="200"/>
      <c r="I353" s="191"/>
      <c r="J353" s="191"/>
      <c r="K353" s="191"/>
      <c r="L353" s="191"/>
      <c r="M353" s="191"/>
      <c r="N353" s="191"/>
      <c r="O353" s="191"/>
      <c r="P353" s="191"/>
      <c r="Q353" s="191"/>
      <c r="R353" s="159"/>
      <c r="T353" s="146"/>
      <c r="U353" s="183"/>
      <c r="V353" s="191"/>
      <c r="W353" s="191"/>
      <c r="X353" s="191"/>
      <c r="Y353" s="191"/>
      <c r="Z353" s="200"/>
      <c r="AA353" s="191"/>
      <c r="AB353" s="191"/>
      <c r="AC353" s="191"/>
      <c r="AD353" s="191"/>
      <c r="AE353" s="191"/>
      <c r="AF353" s="191"/>
      <c r="AG353" s="191"/>
      <c r="AH353" s="191"/>
      <c r="AI353" s="191"/>
      <c r="AJ353" s="159"/>
      <c r="AL353" s="196">
        <f>'[1]100.Motherdata'!BG65</f>
        <v>0</v>
      </c>
      <c r="AM353" s="196"/>
      <c r="AN353" s="196"/>
      <c r="AO353" s="196"/>
      <c r="AP353" s="197"/>
      <c r="AQ353" s="196"/>
      <c r="AR353" s="196"/>
      <c r="AS353" s="196"/>
      <c r="AT353" s="196"/>
    </row>
    <row r="354" spans="2:46" ht="20.149999999999999" customHeight="1">
      <c r="B354" s="146"/>
      <c r="C354" s="183"/>
      <c r="D354" s="191"/>
      <c r="E354" s="191"/>
      <c r="F354" s="191"/>
      <c r="G354" s="191"/>
      <c r="H354" s="200"/>
      <c r="I354" s="191"/>
      <c r="J354" s="191"/>
      <c r="K354" s="191"/>
      <c r="L354" s="191"/>
      <c r="M354" s="191"/>
      <c r="N354" s="191"/>
      <c r="O354" s="191"/>
      <c r="P354" s="191"/>
      <c r="Q354" s="191"/>
      <c r="R354" s="159"/>
      <c r="T354" s="146"/>
      <c r="U354" s="183"/>
      <c r="V354" s="191"/>
      <c r="W354" s="191"/>
      <c r="X354" s="191"/>
      <c r="Y354" s="191"/>
      <c r="Z354" s="200"/>
      <c r="AA354" s="191"/>
      <c r="AB354" s="191"/>
      <c r="AC354" s="191"/>
      <c r="AD354" s="191"/>
      <c r="AE354" s="191"/>
      <c r="AF354" s="191"/>
      <c r="AG354" s="191"/>
      <c r="AH354" s="191"/>
      <c r="AI354" s="191"/>
      <c r="AJ354" s="159"/>
      <c r="AL354" s="196"/>
      <c r="AM354" s="196"/>
      <c r="AN354" s="196"/>
      <c r="AO354" s="196"/>
      <c r="AP354" s="197"/>
      <c r="AQ354" s="196"/>
      <c r="AR354" s="196"/>
      <c r="AS354" s="196"/>
      <c r="AT354" s="196"/>
    </row>
    <row r="355" spans="2:46" ht="20.149999999999999" customHeight="1">
      <c r="B355" s="146"/>
      <c r="C355" s="183"/>
      <c r="D355" s="191"/>
      <c r="E355" s="191"/>
      <c r="F355" s="191"/>
      <c r="G355" s="191"/>
      <c r="H355" s="200"/>
      <c r="I355" s="191"/>
      <c r="J355" s="191"/>
      <c r="K355" s="191"/>
      <c r="L355" s="191"/>
      <c r="M355" s="191"/>
      <c r="N355" s="191"/>
      <c r="O355" s="191"/>
      <c r="P355" s="191"/>
      <c r="Q355" s="191"/>
      <c r="R355" s="159"/>
      <c r="T355" s="146"/>
      <c r="U355" s="183"/>
      <c r="V355" s="191"/>
      <c r="W355" s="191"/>
      <c r="X355" s="191"/>
      <c r="Y355" s="191"/>
      <c r="Z355" s="200"/>
      <c r="AA355" s="191"/>
      <c r="AB355" s="191"/>
      <c r="AC355" s="191"/>
      <c r="AD355" s="191"/>
      <c r="AE355" s="191"/>
      <c r="AF355" s="191"/>
      <c r="AG355" s="191"/>
      <c r="AH355" s="191"/>
      <c r="AI355" s="191"/>
      <c r="AJ355" s="159"/>
      <c r="AL355" s="196"/>
      <c r="AM355" s="196"/>
      <c r="AN355" s="196"/>
      <c r="AO355" s="196"/>
      <c r="AP355" s="197"/>
      <c r="AQ355" s="196"/>
      <c r="AR355" s="196"/>
      <c r="AS355" s="196"/>
      <c r="AT355" s="196"/>
    </row>
    <row r="356" spans="2:46" ht="20.149999999999999" customHeight="1">
      <c r="B356" s="146"/>
      <c r="C356" s="183"/>
      <c r="D356" s="191"/>
      <c r="E356" s="191"/>
      <c r="F356" s="191"/>
      <c r="G356" s="191"/>
      <c r="H356" s="200"/>
      <c r="I356" s="191"/>
      <c r="J356" s="191"/>
      <c r="K356" s="191"/>
      <c r="L356" s="191"/>
      <c r="M356" s="191"/>
      <c r="N356" s="191"/>
      <c r="O356" s="191"/>
      <c r="P356" s="191"/>
      <c r="Q356" s="191"/>
      <c r="R356" s="159"/>
      <c r="T356" s="146"/>
      <c r="U356" s="183"/>
      <c r="V356" s="191"/>
      <c r="W356" s="191"/>
      <c r="X356" s="191"/>
      <c r="Y356" s="191"/>
      <c r="Z356" s="200"/>
      <c r="AA356" s="191"/>
      <c r="AB356" s="191"/>
      <c r="AC356" s="191"/>
      <c r="AD356" s="191"/>
      <c r="AE356" s="191"/>
      <c r="AF356" s="191"/>
      <c r="AG356" s="191"/>
      <c r="AH356" s="191"/>
      <c r="AI356" s="191"/>
      <c r="AJ356" s="159"/>
      <c r="AL356" s="196"/>
      <c r="AM356" s="196"/>
      <c r="AN356" s="196"/>
      <c r="AO356" s="196"/>
      <c r="AP356" s="197"/>
      <c r="AQ356" s="196"/>
      <c r="AR356" s="196"/>
      <c r="AS356" s="196"/>
      <c r="AT356" s="196"/>
    </row>
    <row r="357" spans="2:46" ht="20.149999999999999" customHeight="1">
      <c r="B357" s="146"/>
      <c r="C357" s="183"/>
      <c r="D357" s="191"/>
      <c r="E357" s="191"/>
      <c r="F357" s="191"/>
      <c r="G357" s="191"/>
      <c r="H357" s="200"/>
      <c r="I357" s="191"/>
      <c r="J357" s="191"/>
      <c r="K357" s="191"/>
      <c r="L357" s="191"/>
      <c r="M357" s="191"/>
      <c r="N357" s="191"/>
      <c r="O357" s="191"/>
      <c r="P357" s="191"/>
      <c r="Q357" s="191"/>
      <c r="R357" s="159"/>
      <c r="T357" s="146"/>
      <c r="U357" s="183"/>
      <c r="V357" s="191"/>
      <c r="W357" s="191"/>
      <c r="X357" s="191"/>
      <c r="Y357" s="191"/>
      <c r="Z357" s="200"/>
      <c r="AA357" s="191"/>
      <c r="AB357" s="191"/>
      <c r="AC357" s="191"/>
      <c r="AD357" s="191"/>
      <c r="AE357" s="191"/>
      <c r="AF357" s="191"/>
      <c r="AG357" s="191"/>
      <c r="AH357" s="191"/>
      <c r="AI357" s="191"/>
      <c r="AJ357" s="159"/>
      <c r="AL357" s="196"/>
      <c r="AM357" s="196"/>
      <c r="AN357" s="196"/>
      <c r="AO357" s="196"/>
      <c r="AP357" s="197"/>
      <c r="AQ357" s="196"/>
      <c r="AR357" s="196"/>
      <c r="AS357" s="196"/>
      <c r="AT357" s="196"/>
    </row>
    <row r="358" spans="2:46" ht="20.149999999999999" customHeight="1">
      <c r="B358" s="146"/>
      <c r="C358" s="183"/>
      <c r="D358" s="191"/>
      <c r="E358" s="191"/>
      <c r="F358" s="191"/>
      <c r="G358" s="191"/>
      <c r="H358" s="200"/>
      <c r="I358" s="191"/>
      <c r="J358" s="191"/>
      <c r="K358" s="191"/>
      <c r="L358" s="191"/>
      <c r="M358" s="191"/>
      <c r="N358" s="191"/>
      <c r="O358" s="191"/>
      <c r="P358" s="191"/>
      <c r="Q358" s="191"/>
      <c r="R358" s="159"/>
      <c r="T358" s="146"/>
      <c r="U358" s="183"/>
      <c r="V358" s="191"/>
      <c r="W358" s="191"/>
      <c r="X358" s="191"/>
      <c r="Y358" s="191"/>
      <c r="Z358" s="200"/>
      <c r="AA358" s="191"/>
      <c r="AB358" s="191"/>
      <c r="AC358" s="191"/>
      <c r="AD358" s="191"/>
      <c r="AE358" s="191"/>
      <c r="AF358" s="191"/>
      <c r="AG358" s="191"/>
      <c r="AH358" s="191"/>
      <c r="AI358" s="191"/>
      <c r="AJ358" s="159"/>
      <c r="AL358" s="196"/>
      <c r="AM358" s="196"/>
      <c r="AN358" s="196"/>
      <c r="AO358" s="196"/>
      <c r="AP358" s="197"/>
      <c r="AQ358" s="196"/>
      <c r="AR358" s="196"/>
      <c r="AS358" s="196"/>
      <c r="AT358" s="196"/>
    </row>
    <row r="359" spans="2:46" ht="20.149999999999999" customHeight="1">
      <c r="B359" s="146"/>
      <c r="C359" s="183"/>
      <c r="D359" s="191"/>
      <c r="E359" s="191"/>
      <c r="F359" s="191"/>
      <c r="G359" s="191"/>
      <c r="H359" s="200"/>
      <c r="I359" s="191"/>
      <c r="J359" s="191"/>
      <c r="K359" s="191"/>
      <c r="L359" s="191"/>
      <c r="M359" s="191"/>
      <c r="N359" s="191"/>
      <c r="O359" s="191"/>
      <c r="P359" s="191"/>
      <c r="Q359" s="191"/>
      <c r="R359" s="159"/>
      <c r="T359" s="146"/>
      <c r="U359" s="183"/>
      <c r="V359" s="191"/>
      <c r="W359" s="191"/>
      <c r="X359" s="191"/>
      <c r="Y359" s="191"/>
      <c r="Z359" s="200"/>
      <c r="AA359" s="191"/>
      <c r="AB359" s="191"/>
      <c r="AC359" s="191"/>
      <c r="AD359" s="191"/>
      <c r="AE359" s="191"/>
      <c r="AF359" s="191"/>
      <c r="AG359" s="191"/>
      <c r="AH359" s="191"/>
      <c r="AI359" s="191"/>
      <c r="AJ359" s="159"/>
      <c r="AL359" s="196"/>
      <c r="AM359" s="196"/>
      <c r="AN359" s="196"/>
      <c r="AO359" s="196"/>
      <c r="AP359" s="197"/>
      <c r="AQ359" s="196"/>
      <c r="AR359" s="196"/>
      <c r="AS359" s="196"/>
      <c r="AT359" s="196"/>
    </row>
    <row r="360" spans="2:46" ht="20.149999999999999" customHeight="1">
      <c r="B360" s="146"/>
      <c r="C360" s="183"/>
      <c r="D360" s="191"/>
      <c r="E360" s="191"/>
      <c r="F360" s="191"/>
      <c r="G360" s="191"/>
      <c r="H360" s="200"/>
      <c r="I360" s="191"/>
      <c r="J360" s="191"/>
      <c r="K360" s="191"/>
      <c r="L360" s="191"/>
      <c r="M360" s="191"/>
      <c r="N360" s="191"/>
      <c r="O360" s="191"/>
      <c r="P360" s="191"/>
      <c r="Q360" s="191"/>
      <c r="R360" s="159"/>
      <c r="T360" s="146"/>
      <c r="U360" s="183"/>
      <c r="V360" s="191"/>
      <c r="W360" s="191"/>
      <c r="X360" s="191"/>
      <c r="Y360" s="191"/>
      <c r="Z360" s="200"/>
      <c r="AA360" s="191"/>
      <c r="AB360" s="191"/>
      <c r="AC360" s="191"/>
      <c r="AD360" s="191"/>
      <c r="AE360" s="191"/>
      <c r="AF360" s="191"/>
      <c r="AG360" s="191"/>
      <c r="AH360" s="191"/>
      <c r="AI360" s="191"/>
      <c r="AJ360" s="159"/>
      <c r="AL360" s="196"/>
      <c r="AM360" s="196"/>
      <c r="AN360" s="196"/>
      <c r="AO360" s="196"/>
      <c r="AP360" s="197"/>
      <c r="AQ360" s="196"/>
      <c r="AR360" s="196"/>
      <c r="AS360" s="196"/>
      <c r="AT360" s="196"/>
    </row>
    <row r="361" spans="2:46" ht="20.149999999999999" customHeight="1">
      <c r="B361" s="146"/>
      <c r="C361" s="183"/>
      <c r="D361" s="191"/>
      <c r="E361" s="191"/>
      <c r="F361" s="191"/>
      <c r="G361" s="191"/>
      <c r="H361" s="200"/>
      <c r="I361" s="191"/>
      <c r="J361" s="191"/>
      <c r="K361" s="191"/>
      <c r="L361" s="191"/>
      <c r="M361" s="191"/>
      <c r="N361" s="191"/>
      <c r="O361" s="191"/>
      <c r="P361" s="191"/>
      <c r="Q361" s="191"/>
      <c r="R361" s="159"/>
      <c r="T361" s="146"/>
      <c r="U361" s="183"/>
      <c r="V361" s="191"/>
      <c r="W361" s="191"/>
      <c r="X361" s="191"/>
      <c r="Y361" s="191"/>
      <c r="Z361" s="200"/>
      <c r="AA361" s="191"/>
      <c r="AB361" s="191"/>
      <c r="AC361" s="191"/>
      <c r="AD361" s="191"/>
      <c r="AE361" s="191"/>
      <c r="AF361" s="191"/>
      <c r="AG361" s="191"/>
      <c r="AH361" s="191"/>
      <c r="AI361" s="191"/>
      <c r="AJ361" s="159"/>
      <c r="AL361" s="196">
        <f>'[1]100.Motherdata'!BH65</f>
        <v>0</v>
      </c>
      <c r="AM361" s="196"/>
      <c r="AN361" s="196"/>
      <c r="AO361" s="196"/>
      <c r="AP361" s="197"/>
      <c r="AQ361" s="196"/>
      <c r="AR361" s="196"/>
      <c r="AS361" s="196"/>
      <c r="AT361" s="196"/>
    </row>
    <row r="362" spans="2:46" ht="20.149999999999999" customHeight="1">
      <c r="B362" s="146"/>
      <c r="C362" s="183"/>
      <c r="D362" s="191"/>
      <c r="E362" s="191"/>
      <c r="F362" s="191"/>
      <c r="G362" s="191"/>
      <c r="H362" s="200"/>
      <c r="I362" s="191"/>
      <c r="J362" s="191"/>
      <c r="K362" s="191"/>
      <c r="L362" s="191"/>
      <c r="M362" s="191"/>
      <c r="N362" s="191"/>
      <c r="O362" s="191"/>
      <c r="P362" s="191"/>
      <c r="Q362" s="191"/>
      <c r="R362" s="159"/>
      <c r="T362" s="146"/>
      <c r="U362" s="183"/>
      <c r="V362" s="191"/>
      <c r="W362" s="191"/>
      <c r="X362" s="191"/>
      <c r="Y362" s="191"/>
      <c r="Z362" s="200"/>
      <c r="AA362" s="191"/>
      <c r="AB362" s="191"/>
      <c r="AC362" s="191"/>
      <c r="AD362" s="191"/>
      <c r="AE362" s="191"/>
      <c r="AF362" s="191"/>
      <c r="AG362" s="191"/>
      <c r="AH362" s="191"/>
      <c r="AI362" s="191"/>
      <c r="AJ362" s="159"/>
      <c r="AL362" s="196">
        <f>'[1]100.Motherdata'!BI65</f>
        <v>0</v>
      </c>
      <c r="AM362" s="196"/>
      <c r="AN362" s="196"/>
      <c r="AO362" s="196"/>
      <c r="AP362" s="197"/>
      <c r="AQ362" s="196"/>
      <c r="AR362" s="196"/>
      <c r="AS362" s="196"/>
      <c r="AT362" s="196"/>
    </row>
    <row r="363" spans="2:46" ht="20.149999999999999" customHeight="1">
      <c r="B363" s="146"/>
      <c r="C363" s="183"/>
      <c r="D363" s="191"/>
      <c r="E363" s="191"/>
      <c r="F363" s="191"/>
      <c r="G363" s="191"/>
      <c r="H363" s="200"/>
      <c r="I363" s="191"/>
      <c r="J363" s="191"/>
      <c r="K363" s="191"/>
      <c r="L363" s="191"/>
      <c r="M363" s="191"/>
      <c r="N363" s="191"/>
      <c r="O363" s="191"/>
      <c r="P363" s="191"/>
      <c r="Q363" s="191"/>
      <c r="R363" s="159"/>
      <c r="T363" s="146"/>
      <c r="U363" s="183"/>
      <c r="V363" s="191"/>
      <c r="W363" s="191"/>
      <c r="X363" s="191"/>
      <c r="Y363" s="191"/>
      <c r="Z363" s="200"/>
      <c r="AA363" s="191"/>
      <c r="AB363" s="191"/>
      <c r="AC363" s="191"/>
      <c r="AD363" s="191"/>
      <c r="AE363" s="191"/>
      <c r="AF363" s="191"/>
      <c r="AG363" s="191"/>
      <c r="AH363" s="191"/>
      <c r="AI363" s="191"/>
      <c r="AJ363" s="159"/>
      <c r="AL363" s="196"/>
      <c r="AM363" s="196"/>
      <c r="AN363" s="196"/>
      <c r="AO363" s="196"/>
      <c r="AP363" s="197"/>
      <c r="AQ363" s="196"/>
      <c r="AR363" s="196"/>
      <c r="AS363" s="196"/>
      <c r="AT363" s="196"/>
    </row>
    <row r="364" spans="2:46" ht="20.149999999999999" customHeight="1">
      <c r="B364" s="146"/>
      <c r="C364" s="183"/>
      <c r="D364" s="191"/>
      <c r="E364" s="191"/>
      <c r="F364" s="191"/>
      <c r="G364" s="191"/>
      <c r="H364" s="200"/>
      <c r="I364" s="191"/>
      <c r="J364" s="191"/>
      <c r="K364" s="191"/>
      <c r="L364" s="191"/>
      <c r="M364" s="191"/>
      <c r="N364" s="191"/>
      <c r="O364" s="191"/>
      <c r="P364" s="191"/>
      <c r="Q364" s="191"/>
      <c r="R364" s="159"/>
      <c r="T364" s="146"/>
      <c r="U364" s="183"/>
      <c r="V364" s="191"/>
      <c r="W364" s="191"/>
      <c r="X364" s="191"/>
      <c r="Y364" s="191"/>
      <c r="Z364" s="200"/>
      <c r="AA364" s="191"/>
      <c r="AB364" s="191"/>
      <c r="AC364" s="191"/>
      <c r="AD364" s="191"/>
      <c r="AE364" s="191"/>
      <c r="AF364" s="191"/>
      <c r="AG364" s="191"/>
      <c r="AH364" s="191"/>
      <c r="AI364" s="191"/>
      <c r="AJ364" s="159"/>
      <c r="AL364" s="196"/>
      <c r="AM364" s="196"/>
      <c r="AN364" s="196"/>
      <c r="AO364" s="196"/>
      <c r="AP364" s="197"/>
      <c r="AQ364" s="196"/>
      <c r="AR364" s="196"/>
      <c r="AS364" s="196"/>
      <c r="AT364" s="196"/>
    </row>
    <row r="365" spans="2:46" ht="20.149999999999999" customHeight="1">
      <c r="B365" s="146"/>
      <c r="C365" s="183"/>
      <c r="D365" s="191"/>
      <c r="E365" s="191"/>
      <c r="F365" s="191"/>
      <c r="G365" s="191"/>
      <c r="H365" s="200"/>
      <c r="I365" s="191"/>
      <c r="J365" s="191"/>
      <c r="K365" s="191"/>
      <c r="L365" s="191"/>
      <c r="M365" s="191"/>
      <c r="N365" s="191"/>
      <c r="O365" s="191"/>
      <c r="P365" s="191"/>
      <c r="Q365" s="191"/>
      <c r="R365" s="159"/>
      <c r="T365" s="146"/>
      <c r="U365" s="183"/>
      <c r="V365" s="191"/>
      <c r="W365" s="191"/>
      <c r="X365" s="191"/>
      <c r="Y365" s="191"/>
      <c r="Z365" s="200"/>
      <c r="AA365" s="191"/>
      <c r="AB365" s="191"/>
      <c r="AC365" s="191"/>
      <c r="AD365" s="191"/>
      <c r="AE365" s="191"/>
      <c r="AF365" s="191"/>
      <c r="AG365" s="191"/>
      <c r="AH365" s="191"/>
      <c r="AI365" s="191"/>
      <c r="AJ365" s="159"/>
      <c r="AL365" s="196"/>
      <c r="AM365" s="196"/>
      <c r="AN365" s="196"/>
      <c r="AO365" s="196"/>
      <c r="AP365" s="197"/>
      <c r="AQ365" s="196"/>
      <c r="AR365" s="196"/>
      <c r="AS365" s="196"/>
      <c r="AT365" s="196"/>
    </row>
    <row r="366" spans="2:46" ht="20.149999999999999" customHeight="1">
      <c r="B366" s="146"/>
      <c r="C366" s="183"/>
      <c r="D366" s="191"/>
      <c r="E366" s="191"/>
      <c r="F366" s="191"/>
      <c r="G366" s="191"/>
      <c r="H366" s="200"/>
      <c r="I366" s="191"/>
      <c r="J366" s="191"/>
      <c r="K366" s="191"/>
      <c r="L366" s="191"/>
      <c r="M366" s="191"/>
      <c r="N366" s="191"/>
      <c r="O366" s="191"/>
      <c r="P366" s="191"/>
      <c r="Q366" s="191"/>
      <c r="R366" s="159"/>
      <c r="T366" s="146"/>
      <c r="U366" s="183"/>
      <c r="V366" s="191"/>
      <c r="W366" s="191"/>
      <c r="X366" s="191"/>
      <c r="Y366" s="191"/>
      <c r="Z366" s="200"/>
      <c r="AA366" s="191"/>
      <c r="AB366" s="191"/>
      <c r="AC366" s="191"/>
      <c r="AD366" s="191"/>
      <c r="AE366" s="191"/>
      <c r="AF366" s="191"/>
      <c r="AG366" s="191"/>
      <c r="AH366" s="191"/>
      <c r="AI366" s="191"/>
      <c r="AJ366" s="159"/>
      <c r="AL366" s="204"/>
      <c r="AM366" s="204"/>
      <c r="AN366" s="204"/>
      <c r="AO366" s="204"/>
      <c r="AP366" s="206"/>
      <c r="AQ366" s="204"/>
      <c r="AR366" s="204"/>
      <c r="AS366" s="204"/>
      <c r="AT366" s="204"/>
    </row>
    <row r="367" spans="2:46" s="132" customFormat="1" ht="20.149999999999999" customHeight="1">
      <c r="B367" s="137"/>
      <c r="C367" s="128"/>
      <c r="D367" s="135"/>
      <c r="E367" s="135"/>
      <c r="F367" s="135"/>
      <c r="G367" s="135"/>
      <c r="H367" s="136"/>
      <c r="I367" s="135"/>
      <c r="J367" s="135"/>
      <c r="K367" s="135"/>
      <c r="L367" s="135"/>
      <c r="M367" s="135"/>
      <c r="N367" s="135"/>
      <c r="O367" s="135"/>
      <c r="P367" s="135"/>
      <c r="Q367" s="135"/>
      <c r="R367" s="135"/>
      <c r="S367" s="135"/>
      <c r="T367" s="137"/>
      <c r="U367" s="128"/>
      <c r="V367" s="135"/>
      <c r="W367" s="135"/>
      <c r="X367" s="135"/>
      <c r="Y367" s="135"/>
      <c r="Z367" s="136"/>
      <c r="AA367" s="135"/>
      <c r="AB367" s="135"/>
      <c r="AC367" s="135"/>
      <c r="AD367" s="135"/>
      <c r="AE367" s="135"/>
      <c r="AF367" s="135"/>
      <c r="AG367" s="135"/>
      <c r="AH367" s="135"/>
      <c r="AI367" s="135"/>
      <c r="AJ367" s="135"/>
    </row>
    <row r="368" spans="2:46" s="132" customFormat="1" ht="20.149999999999999" customHeight="1">
      <c r="B368" s="137"/>
      <c r="C368" s="128"/>
      <c r="D368" s="135"/>
      <c r="E368" s="135"/>
      <c r="F368" s="135"/>
      <c r="G368" s="135"/>
      <c r="H368" s="136"/>
      <c r="I368" s="135"/>
      <c r="J368" s="135"/>
      <c r="K368" s="135"/>
      <c r="L368" s="135"/>
      <c r="M368" s="135"/>
      <c r="N368" s="135"/>
      <c r="O368" s="135"/>
      <c r="P368" s="135"/>
      <c r="Q368" s="135"/>
      <c r="R368" s="135"/>
      <c r="S368" s="135"/>
      <c r="T368" s="137"/>
      <c r="U368" s="128"/>
      <c r="V368" s="135"/>
      <c r="W368" s="135"/>
      <c r="X368" s="135"/>
      <c r="Y368" s="135"/>
      <c r="Z368" s="136"/>
      <c r="AA368" s="135"/>
      <c r="AB368" s="135"/>
      <c r="AC368" s="135"/>
      <c r="AD368" s="135"/>
      <c r="AE368" s="135"/>
      <c r="AF368" s="135"/>
      <c r="AG368" s="135"/>
      <c r="AH368" s="135"/>
      <c r="AI368" s="135"/>
      <c r="AJ368" s="135"/>
    </row>
    <row r="369" spans="2:36" s="132" customFormat="1" ht="20.149999999999999" customHeight="1">
      <c r="B369" s="137"/>
      <c r="C369" s="128"/>
      <c r="D369" s="135"/>
      <c r="E369" s="135"/>
      <c r="F369" s="135"/>
      <c r="G369" s="135"/>
      <c r="H369" s="136"/>
      <c r="I369" s="135"/>
      <c r="J369" s="135"/>
      <c r="K369" s="135"/>
      <c r="L369" s="135"/>
      <c r="M369" s="135"/>
      <c r="N369" s="135"/>
      <c r="O369" s="135"/>
      <c r="P369" s="135"/>
      <c r="Q369" s="135"/>
      <c r="R369" s="135"/>
      <c r="S369" s="135"/>
      <c r="T369" s="137"/>
      <c r="U369" s="128"/>
      <c r="V369" s="135"/>
      <c r="W369" s="135"/>
      <c r="X369" s="135"/>
      <c r="Y369" s="135"/>
      <c r="Z369" s="136"/>
      <c r="AA369" s="135"/>
      <c r="AB369" s="135"/>
      <c r="AC369" s="135"/>
      <c r="AD369" s="135"/>
      <c r="AE369" s="135"/>
      <c r="AF369" s="135"/>
      <c r="AG369" s="135"/>
      <c r="AH369" s="135"/>
      <c r="AI369" s="135"/>
      <c r="AJ369" s="135"/>
    </row>
    <row r="370" spans="2:36" s="132" customFormat="1" ht="20.149999999999999" customHeight="1">
      <c r="B370" s="137"/>
      <c r="C370" s="128"/>
      <c r="D370" s="135"/>
      <c r="E370" s="135"/>
      <c r="F370" s="135"/>
      <c r="G370" s="135"/>
      <c r="H370" s="136"/>
      <c r="I370" s="135"/>
      <c r="J370" s="135"/>
      <c r="K370" s="135"/>
      <c r="L370" s="135"/>
      <c r="M370" s="135"/>
      <c r="N370" s="135"/>
      <c r="O370" s="135"/>
      <c r="P370" s="135"/>
      <c r="Q370" s="135"/>
      <c r="R370" s="135"/>
      <c r="S370" s="135"/>
      <c r="T370" s="137"/>
      <c r="U370" s="128"/>
      <c r="V370" s="135"/>
      <c r="W370" s="135"/>
      <c r="X370" s="135"/>
      <c r="Y370" s="135"/>
      <c r="Z370" s="136"/>
      <c r="AA370" s="135"/>
      <c r="AB370" s="135"/>
      <c r="AC370" s="135"/>
      <c r="AD370" s="135"/>
      <c r="AE370" s="135"/>
      <c r="AF370" s="135"/>
      <c r="AG370" s="135"/>
      <c r="AH370" s="135"/>
      <c r="AI370" s="135"/>
      <c r="AJ370" s="135"/>
    </row>
    <row r="371" spans="2:36" s="132" customFormat="1" ht="20.149999999999999" customHeight="1">
      <c r="B371" s="137"/>
      <c r="C371" s="128"/>
      <c r="D371" s="135"/>
      <c r="E371" s="135"/>
      <c r="F371" s="135"/>
      <c r="G371" s="135"/>
      <c r="H371" s="136"/>
      <c r="I371" s="135"/>
      <c r="J371" s="135"/>
      <c r="K371" s="135"/>
      <c r="L371" s="135"/>
      <c r="M371" s="135"/>
      <c r="N371" s="135"/>
      <c r="O371" s="135"/>
      <c r="P371" s="135"/>
      <c r="Q371" s="135"/>
      <c r="R371" s="135"/>
      <c r="S371" s="135"/>
      <c r="T371" s="137"/>
      <c r="U371" s="128"/>
      <c r="V371" s="135"/>
      <c r="W371" s="135"/>
      <c r="X371" s="135"/>
      <c r="Y371" s="135"/>
      <c r="Z371" s="136"/>
      <c r="AA371" s="135"/>
      <c r="AB371" s="135"/>
      <c r="AC371" s="135"/>
      <c r="AD371" s="135"/>
      <c r="AE371" s="135"/>
      <c r="AF371" s="135"/>
      <c r="AG371" s="135"/>
      <c r="AH371" s="135"/>
      <c r="AI371" s="135"/>
      <c r="AJ371" s="135"/>
    </row>
    <row r="372" spans="2:36" s="132" customFormat="1" ht="20.149999999999999" customHeight="1">
      <c r="B372" s="137"/>
      <c r="C372" s="128"/>
      <c r="D372" s="135"/>
      <c r="E372" s="135"/>
      <c r="F372" s="135"/>
      <c r="G372" s="135"/>
      <c r="H372" s="136"/>
      <c r="I372" s="135"/>
      <c r="J372" s="135"/>
      <c r="K372" s="135"/>
      <c r="L372" s="135"/>
      <c r="M372" s="135"/>
      <c r="N372" s="135"/>
      <c r="O372" s="135"/>
      <c r="P372" s="135"/>
      <c r="Q372" s="135"/>
      <c r="R372" s="135"/>
      <c r="S372" s="135"/>
      <c r="T372" s="137"/>
      <c r="U372" s="128"/>
      <c r="V372" s="135"/>
      <c r="W372" s="135"/>
      <c r="X372" s="135"/>
      <c r="Y372" s="135"/>
      <c r="Z372" s="136"/>
      <c r="AA372" s="135"/>
      <c r="AB372" s="135"/>
      <c r="AC372" s="135"/>
      <c r="AD372" s="135"/>
      <c r="AE372" s="135"/>
      <c r="AF372" s="135"/>
      <c r="AG372" s="135"/>
      <c r="AH372" s="135"/>
      <c r="AI372" s="135"/>
      <c r="AJ372" s="135"/>
    </row>
    <row r="373" spans="2:36" s="132" customFormat="1" ht="20.149999999999999" customHeight="1">
      <c r="B373" s="137"/>
      <c r="C373" s="128"/>
      <c r="D373" s="135"/>
      <c r="E373" s="135"/>
      <c r="F373" s="135"/>
      <c r="G373" s="135"/>
      <c r="H373" s="136"/>
      <c r="I373" s="135"/>
      <c r="J373" s="135"/>
      <c r="K373" s="135"/>
      <c r="L373" s="135"/>
      <c r="M373" s="135"/>
      <c r="N373" s="135"/>
      <c r="O373" s="135"/>
      <c r="P373" s="135"/>
      <c r="Q373" s="135"/>
      <c r="R373" s="135"/>
      <c r="S373" s="135"/>
      <c r="T373" s="137"/>
      <c r="U373" s="128"/>
      <c r="V373" s="135"/>
      <c r="W373" s="135"/>
      <c r="X373" s="135"/>
      <c r="Y373" s="135"/>
      <c r="Z373" s="136"/>
      <c r="AA373" s="135"/>
      <c r="AB373" s="135"/>
      <c r="AC373" s="135"/>
      <c r="AD373" s="135"/>
      <c r="AE373" s="135"/>
      <c r="AF373" s="135"/>
      <c r="AG373" s="135"/>
      <c r="AH373" s="135"/>
      <c r="AI373" s="135"/>
      <c r="AJ373" s="135"/>
    </row>
    <row r="374" spans="2:36" s="132" customFormat="1" ht="20.149999999999999" customHeight="1">
      <c r="B374" s="137"/>
      <c r="C374" s="128"/>
      <c r="D374" s="135"/>
      <c r="E374" s="135"/>
      <c r="F374" s="135"/>
      <c r="G374" s="135"/>
      <c r="H374" s="136"/>
      <c r="I374" s="135"/>
      <c r="J374" s="135"/>
      <c r="K374" s="135"/>
      <c r="L374" s="135"/>
      <c r="M374" s="135"/>
      <c r="N374" s="135"/>
      <c r="O374" s="135"/>
      <c r="P374" s="135"/>
      <c r="Q374" s="135"/>
      <c r="R374" s="135"/>
      <c r="S374" s="135"/>
      <c r="T374" s="137"/>
      <c r="U374" s="128"/>
      <c r="V374" s="135"/>
      <c r="W374" s="135"/>
      <c r="X374" s="135"/>
      <c r="Y374" s="135"/>
      <c r="Z374" s="136"/>
      <c r="AA374" s="135"/>
      <c r="AB374" s="135"/>
      <c r="AC374" s="135"/>
      <c r="AD374" s="135"/>
      <c r="AE374" s="135"/>
      <c r="AF374" s="135"/>
      <c r="AG374" s="135"/>
      <c r="AH374" s="135"/>
      <c r="AI374" s="135"/>
      <c r="AJ374" s="135"/>
    </row>
    <row r="375" spans="2:36" s="132" customFormat="1" ht="20.149999999999999" customHeight="1">
      <c r="B375" s="137"/>
      <c r="C375" s="128"/>
      <c r="D375" s="135"/>
      <c r="E375" s="135"/>
      <c r="F375" s="135"/>
      <c r="G375" s="135"/>
      <c r="H375" s="136"/>
      <c r="I375" s="135"/>
      <c r="J375" s="135"/>
      <c r="K375" s="135"/>
      <c r="L375" s="135"/>
      <c r="M375" s="135"/>
      <c r="N375" s="135"/>
      <c r="O375" s="135"/>
      <c r="P375" s="135"/>
      <c r="Q375" s="135"/>
      <c r="R375" s="135"/>
      <c r="S375" s="135"/>
      <c r="T375" s="137"/>
      <c r="U375" s="128"/>
      <c r="V375" s="135"/>
      <c r="W375" s="135"/>
      <c r="X375" s="135"/>
      <c r="Y375" s="135"/>
      <c r="Z375" s="136"/>
      <c r="AA375" s="135"/>
      <c r="AB375" s="135"/>
      <c r="AC375" s="135"/>
      <c r="AD375" s="135"/>
      <c r="AE375" s="135"/>
      <c r="AF375" s="135"/>
      <c r="AG375" s="135"/>
      <c r="AH375" s="135"/>
      <c r="AI375" s="135"/>
      <c r="AJ375" s="135"/>
    </row>
    <row r="376" spans="2:36" s="132" customFormat="1" ht="20.149999999999999" customHeight="1">
      <c r="B376" s="137"/>
      <c r="C376" s="128"/>
      <c r="D376" s="135"/>
      <c r="E376" s="135"/>
      <c r="F376" s="135"/>
      <c r="G376" s="135"/>
      <c r="H376" s="136"/>
      <c r="I376" s="135"/>
      <c r="J376" s="135"/>
      <c r="K376" s="135"/>
      <c r="L376" s="135"/>
      <c r="M376" s="135"/>
      <c r="N376" s="135"/>
      <c r="O376" s="135"/>
      <c r="P376" s="135"/>
      <c r="Q376" s="135"/>
      <c r="R376" s="135"/>
      <c r="S376" s="135"/>
      <c r="T376" s="137"/>
      <c r="U376" s="128"/>
      <c r="V376" s="135"/>
      <c r="W376" s="135"/>
      <c r="X376" s="135"/>
      <c r="Y376" s="135"/>
      <c r="Z376" s="136"/>
      <c r="AA376" s="135"/>
      <c r="AB376" s="135"/>
      <c r="AC376" s="135"/>
      <c r="AD376" s="135"/>
      <c r="AE376" s="135"/>
      <c r="AF376" s="135"/>
      <c r="AG376" s="135"/>
      <c r="AH376" s="135"/>
      <c r="AI376" s="135"/>
      <c r="AJ376" s="135"/>
    </row>
    <row r="377" spans="2:36" s="132" customFormat="1" ht="20.149999999999999" customHeight="1">
      <c r="B377" s="137"/>
      <c r="C377" s="128"/>
      <c r="D377" s="135"/>
      <c r="E377" s="135"/>
      <c r="F377" s="135"/>
      <c r="G377" s="135"/>
      <c r="H377" s="136"/>
      <c r="I377" s="135"/>
      <c r="J377" s="135"/>
      <c r="K377" s="135"/>
      <c r="L377" s="135"/>
      <c r="M377" s="135"/>
      <c r="N377" s="135"/>
      <c r="O377" s="135"/>
      <c r="P377" s="135"/>
      <c r="Q377" s="135"/>
      <c r="R377" s="135"/>
      <c r="S377" s="135"/>
      <c r="T377" s="137"/>
      <c r="U377" s="128"/>
      <c r="V377" s="135"/>
      <c r="W377" s="135"/>
      <c r="X377" s="135"/>
      <c r="Y377" s="135"/>
      <c r="Z377" s="136"/>
      <c r="AA377" s="135"/>
      <c r="AB377" s="135"/>
      <c r="AC377" s="135"/>
      <c r="AD377" s="135"/>
      <c r="AE377" s="135"/>
      <c r="AF377" s="135"/>
      <c r="AG377" s="135"/>
      <c r="AH377" s="135"/>
      <c r="AI377" s="135"/>
      <c r="AJ377" s="135"/>
    </row>
    <row r="378" spans="2:36" s="132" customFormat="1" ht="20.149999999999999" customHeight="1">
      <c r="B378" s="137"/>
      <c r="C378" s="128"/>
      <c r="D378" s="135"/>
      <c r="E378" s="135"/>
      <c r="F378" s="135"/>
      <c r="G378" s="135"/>
      <c r="H378" s="136"/>
      <c r="I378" s="135"/>
      <c r="J378" s="135"/>
      <c r="K378" s="135"/>
      <c r="L378" s="135"/>
      <c r="M378" s="135"/>
      <c r="N378" s="135"/>
      <c r="O378" s="135"/>
      <c r="P378" s="135"/>
      <c r="Q378" s="135"/>
      <c r="R378" s="135"/>
      <c r="S378" s="135"/>
      <c r="T378" s="137"/>
      <c r="U378" s="128"/>
      <c r="V378" s="135"/>
      <c r="W378" s="135"/>
      <c r="X378" s="135"/>
      <c r="Y378" s="135"/>
      <c r="Z378" s="136"/>
      <c r="AA378" s="135"/>
      <c r="AB378" s="135"/>
      <c r="AC378" s="135"/>
      <c r="AD378" s="135"/>
      <c r="AE378" s="135"/>
      <c r="AF378" s="135"/>
      <c r="AG378" s="135"/>
      <c r="AH378" s="135"/>
      <c r="AI378" s="135"/>
      <c r="AJ378" s="135"/>
    </row>
    <row r="379" spans="2:36" s="132" customFormat="1" ht="20.149999999999999" customHeight="1">
      <c r="B379" s="137"/>
      <c r="C379" s="128"/>
      <c r="D379" s="135"/>
      <c r="E379" s="135"/>
      <c r="F379" s="135"/>
      <c r="G379" s="135"/>
      <c r="H379" s="136"/>
      <c r="I379" s="135"/>
      <c r="J379" s="135"/>
      <c r="K379" s="135"/>
      <c r="L379" s="135"/>
      <c r="M379" s="135"/>
      <c r="N379" s="135"/>
      <c r="O379" s="135"/>
      <c r="P379" s="135"/>
      <c r="Q379" s="135"/>
      <c r="R379" s="135"/>
      <c r="S379" s="135"/>
      <c r="T379" s="137"/>
      <c r="U379" s="128"/>
      <c r="V379" s="135"/>
      <c r="W379" s="135"/>
      <c r="X379" s="135"/>
      <c r="Y379" s="135"/>
      <c r="Z379" s="136"/>
      <c r="AA379" s="135"/>
      <c r="AB379" s="135"/>
      <c r="AC379" s="135"/>
      <c r="AD379" s="135"/>
      <c r="AE379" s="135"/>
      <c r="AF379" s="135"/>
      <c r="AG379" s="135"/>
      <c r="AH379" s="135"/>
      <c r="AI379" s="135"/>
      <c r="AJ379" s="135"/>
    </row>
    <row r="380" spans="2:36" s="132" customFormat="1" ht="20.149999999999999" customHeight="1">
      <c r="B380" s="137"/>
      <c r="C380" s="128"/>
      <c r="D380" s="135"/>
      <c r="E380" s="135"/>
      <c r="F380" s="135"/>
      <c r="G380" s="135"/>
      <c r="H380" s="136"/>
      <c r="I380" s="135"/>
      <c r="J380" s="135"/>
      <c r="K380" s="135"/>
      <c r="L380" s="135"/>
      <c r="M380" s="135"/>
      <c r="N380" s="135"/>
      <c r="O380" s="135"/>
      <c r="P380" s="135"/>
      <c r="Q380" s="135"/>
      <c r="R380" s="135"/>
      <c r="S380" s="135"/>
      <c r="T380" s="137"/>
      <c r="U380" s="128"/>
      <c r="V380" s="135"/>
      <c r="W380" s="135"/>
      <c r="X380" s="135"/>
      <c r="Y380" s="135"/>
      <c r="Z380" s="136"/>
      <c r="AA380" s="135"/>
      <c r="AB380" s="135"/>
      <c r="AC380" s="135"/>
      <c r="AD380" s="135"/>
      <c r="AE380" s="135"/>
      <c r="AF380" s="135"/>
      <c r="AG380" s="135"/>
      <c r="AH380" s="135"/>
      <c r="AI380" s="135"/>
      <c r="AJ380" s="135"/>
    </row>
    <row r="381" spans="2:36" s="132" customFormat="1" ht="20.149999999999999" customHeight="1">
      <c r="B381" s="137"/>
      <c r="C381" s="128"/>
      <c r="D381" s="135"/>
      <c r="E381" s="135"/>
      <c r="F381" s="135"/>
      <c r="G381" s="135"/>
      <c r="H381" s="136"/>
      <c r="I381" s="135"/>
      <c r="J381" s="135"/>
      <c r="K381" s="135"/>
      <c r="L381" s="135"/>
      <c r="M381" s="135"/>
      <c r="N381" s="135"/>
      <c r="O381" s="135"/>
      <c r="P381" s="135"/>
      <c r="Q381" s="135"/>
      <c r="R381" s="135"/>
      <c r="S381" s="135"/>
      <c r="T381" s="137"/>
      <c r="U381" s="128"/>
      <c r="V381" s="135"/>
      <c r="W381" s="135"/>
      <c r="X381" s="135"/>
      <c r="Y381" s="135"/>
      <c r="Z381" s="136"/>
      <c r="AA381" s="135"/>
      <c r="AB381" s="135"/>
      <c r="AC381" s="135"/>
      <c r="AD381" s="135"/>
      <c r="AE381" s="135"/>
      <c r="AF381" s="135"/>
      <c r="AG381" s="135"/>
      <c r="AH381" s="135"/>
      <c r="AI381" s="135"/>
      <c r="AJ381" s="135"/>
    </row>
    <row r="382" spans="2:36" s="132" customFormat="1" ht="20.149999999999999" customHeight="1">
      <c r="B382" s="137"/>
      <c r="C382" s="128"/>
      <c r="D382" s="135"/>
      <c r="E382" s="135"/>
      <c r="F382" s="135"/>
      <c r="G382" s="135"/>
      <c r="H382" s="136"/>
      <c r="I382" s="135"/>
      <c r="J382" s="135"/>
      <c r="K382" s="135"/>
      <c r="L382" s="135"/>
      <c r="M382" s="135"/>
      <c r="N382" s="135"/>
      <c r="O382" s="135"/>
      <c r="P382" s="135"/>
      <c r="Q382" s="135"/>
      <c r="R382" s="135"/>
      <c r="S382" s="135"/>
      <c r="T382" s="137"/>
      <c r="U382" s="128"/>
      <c r="V382" s="135"/>
      <c r="W382" s="135"/>
      <c r="X382" s="135"/>
      <c r="Y382" s="135"/>
      <c r="Z382" s="136"/>
      <c r="AA382" s="135"/>
      <c r="AB382" s="135"/>
      <c r="AC382" s="135"/>
      <c r="AD382" s="135"/>
      <c r="AE382" s="135"/>
      <c r="AF382" s="135"/>
      <c r="AG382" s="135"/>
      <c r="AH382" s="135"/>
      <c r="AI382" s="135"/>
      <c r="AJ382" s="135"/>
    </row>
    <row r="383" spans="2:36" s="132" customFormat="1" ht="20.149999999999999" customHeight="1">
      <c r="B383" s="137"/>
      <c r="C383" s="128"/>
      <c r="D383" s="135"/>
      <c r="E383" s="135"/>
      <c r="F383" s="135"/>
      <c r="G383" s="135"/>
      <c r="H383" s="136"/>
      <c r="I383" s="135"/>
      <c r="J383" s="135"/>
      <c r="K383" s="135"/>
      <c r="L383" s="135"/>
      <c r="M383" s="135"/>
      <c r="N383" s="135"/>
      <c r="O383" s="135"/>
      <c r="P383" s="135"/>
      <c r="Q383" s="135"/>
      <c r="R383" s="135"/>
      <c r="S383" s="135"/>
      <c r="T383" s="137"/>
      <c r="U383" s="128"/>
      <c r="V383" s="135"/>
      <c r="W383" s="135"/>
      <c r="X383" s="135"/>
      <c r="Y383" s="135"/>
      <c r="Z383" s="136"/>
      <c r="AA383" s="135"/>
      <c r="AB383" s="135"/>
      <c r="AC383" s="135"/>
      <c r="AD383" s="135"/>
      <c r="AE383" s="135"/>
      <c r="AF383" s="135"/>
      <c r="AG383" s="135"/>
      <c r="AH383" s="135"/>
      <c r="AI383" s="135"/>
      <c r="AJ383" s="135"/>
    </row>
    <row r="384" spans="2:36" s="132" customFormat="1" ht="20.149999999999999" customHeight="1">
      <c r="B384" s="137"/>
      <c r="C384" s="128"/>
      <c r="D384" s="135"/>
      <c r="E384" s="135"/>
      <c r="F384" s="135"/>
      <c r="G384" s="135"/>
      <c r="H384" s="136"/>
      <c r="I384" s="135"/>
      <c r="J384" s="135"/>
      <c r="K384" s="135"/>
      <c r="L384" s="135"/>
      <c r="M384" s="135"/>
      <c r="N384" s="135"/>
      <c r="O384" s="135"/>
      <c r="P384" s="135"/>
      <c r="Q384" s="135"/>
      <c r="R384" s="135"/>
      <c r="S384" s="135"/>
      <c r="T384" s="137"/>
      <c r="U384" s="128"/>
      <c r="V384" s="135"/>
      <c r="W384" s="135"/>
      <c r="X384" s="135"/>
      <c r="Y384" s="135"/>
      <c r="Z384" s="136"/>
      <c r="AA384" s="135"/>
      <c r="AB384" s="135"/>
      <c r="AC384" s="135"/>
      <c r="AD384" s="135"/>
      <c r="AE384" s="135"/>
      <c r="AF384" s="135"/>
      <c r="AG384" s="135"/>
      <c r="AH384" s="135"/>
      <c r="AI384" s="135"/>
      <c r="AJ384" s="135"/>
    </row>
    <row r="385" spans="2:36" s="132" customFormat="1" ht="20.149999999999999" customHeight="1">
      <c r="B385" s="137"/>
      <c r="C385" s="128"/>
      <c r="D385" s="135"/>
      <c r="E385" s="135"/>
      <c r="F385" s="135"/>
      <c r="G385" s="135"/>
      <c r="H385" s="136"/>
      <c r="I385" s="135"/>
      <c r="J385" s="135"/>
      <c r="K385" s="135"/>
      <c r="L385" s="135"/>
      <c r="M385" s="135"/>
      <c r="N385" s="135"/>
      <c r="O385" s="135"/>
      <c r="P385" s="135"/>
      <c r="Q385" s="135"/>
      <c r="R385" s="135"/>
      <c r="S385" s="135"/>
      <c r="T385" s="137"/>
      <c r="U385" s="128"/>
      <c r="V385" s="135"/>
      <c r="W385" s="135"/>
      <c r="X385" s="135"/>
      <c r="Y385" s="135"/>
      <c r="Z385" s="136"/>
      <c r="AA385" s="135"/>
      <c r="AB385" s="135"/>
      <c r="AC385" s="135"/>
      <c r="AD385" s="135"/>
      <c r="AE385" s="135"/>
      <c r="AF385" s="135"/>
      <c r="AG385" s="135"/>
      <c r="AH385" s="135"/>
      <c r="AI385" s="135"/>
      <c r="AJ385" s="135"/>
    </row>
    <row r="386" spans="2:36" s="132" customFormat="1" ht="20.149999999999999" customHeight="1">
      <c r="B386" s="137"/>
      <c r="C386" s="128"/>
      <c r="D386" s="135"/>
      <c r="E386" s="135"/>
      <c r="F386" s="135"/>
      <c r="G386" s="135"/>
      <c r="H386" s="136"/>
      <c r="I386" s="135"/>
      <c r="J386" s="135"/>
      <c r="K386" s="135"/>
      <c r="L386" s="135"/>
      <c r="M386" s="135"/>
      <c r="N386" s="135"/>
      <c r="O386" s="135"/>
      <c r="P386" s="135"/>
      <c r="Q386" s="135"/>
      <c r="R386" s="135"/>
      <c r="S386" s="135"/>
      <c r="T386" s="137"/>
      <c r="U386" s="128"/>
      <c r="V386" s="135"/>
      <c r="W386" s="135"/>
      <c r="X386" s="135"/>
      <c r="Y386" s="135"/>
      <c r="Z386" s="136"/>
      <c r="AA386" s="135"/>
      <c r="AB386" s="135"/>
      <c r="AC386" s="135"/>
      <c r="AD386" s="135"/>
      <c r="AE386" s="135"/>
      <c r="AF386" s="135"/>
      <c r="AG386" s="135"/>
      <c r="AH386" s="135"/>
      <c r="AI386" s="135"/>
      <c r="AJ386" s="135"/>
    </row>
    <row r="387" spans="2:36" s="132" customFormat="1" ht="20.149999999999999" customHeight="1">
      <c r="B387" s="137"/>
      <c r="C387" s="128"/>
      <c r="D387" s="135"/>
      <c r="E387" s="135"/>
      <c r="F387" s="135"/>
      <c r="G387" s="135"/>
      <c r="H387" s="136"/>
      <c r="I387" s="135"/>
      <c r="J387" s="135"/>
      <c r="K387" s="135"/>
      <c r="L387" s="135"/>
      <c r="M387" s="135"/>
      <c r="N387" s="135"/>
      <c r="O387" s="135"/>
      <c r="P387" s="135"/>
      <c r="Q387" s="135"/>
      <c r="R387" s="135"/>
      <c r="S387" s="135"/>
      <c r="T387" s="137"/>
      <c r="U387" s="128"/>
      <c r="V387" s="135"/>
      <c r="W387" s="135"/>
      <c r="X387" s="135"/>
      <c r="Y387" s="135"/>
      <c r="Z387" s="136"/>
      <c r="AA387" s="135"/>
      <c r="AB387" s="135"/>
      <c r="AC387" s="135"/>
      <c r="AD387" s="135"/>
      <c r="AE387" s="135"/>
      <c r="AF387" s="135"/>
      <c r="AG387" s="135"/>
      <c r="AH387" s="135"/>
      <c r="AI387" s="135"/>
      <c r="AJ387" s="135"/>
    </row>
    <row r="388" spans="2:36" s="132" customFormat="1" ht="20.149999999999999" customHeight="1">
      <c r="B388" s="137"/>
      <c r="C388" s="128"/>
      <c r="D388" s="135"/>
      <c r="E388" s="135"/>
      <c r="F388" s="135"/>
      <c r="G388" s="135"/>
      <c r="H388" s="136"/>
      <c r="I388" s="135"/>
      <c r="J388" s="135"/>
      <c r="K388" s="135"/>
      <c r="L388" s="135"/>
      <c r="M388" s="135"/>
      <c r="N388" s="135"/>
      <c r="O388" s="135"/>
      <c r="P388" s="135"/>
      <c r="Q388" s="135"/>
      <c r="R388" s="135"/>
      <c r="S388" s="135"/>
      <c r="T388" s="137"/>
      <c r="U388" s="128"/>
      <c r="V388" s="135"/>
      <c r="W388" s="135"/>
      <c r="X388" s="135"/>
      <c r="Y388" s="135"/>
      <c r="Z388" s="136"/>
      <c r="AA388" s="135"/>
      <c r="AB388" s="135"/>
      <c r="AC388" s="135"/>
      <c r="AD388" s="135"/>
      <c r="AE388" s="135"/>
      <c r="AF388" s="135"/>
      <c r="AG388" s="135"/>
      <c r="AH388" s="135"/>
      <c r="AI388" s="135"/>
      <c r="AJ388" s="135"/>
    </row>
    <row r="389" spans="2:36" s="132" customFormat="1" ht="20.149999999999999" customHeight="1">
      <c r="B389" s="137"/>
      <c r="C389" s="128"/>
      <c r="D389" s="135"/>
      <c r="E389" s="135"/>
      <c r="F389" s="135"/>
      <c r="G389" s="135"/>
      <c r="H389" s="136"/>
      <c r="I389" s="135"/>
      <c r="J389" s="135"/>
      <c r="K389" s="135"/>
      <c r="L389" s="135"/>
      <c r="M389" s="135"/>
      <c r="N389" s="135"/>
      <c r="O389" s="135"/>
      <c r="P389" s="135"/>
      <c r="Q389" s="135"/>
      <c r="R389" s="135"/>
      <c r="S389" s="135"/>
      <c r="T389" s="137"/>
      <c r="U389" s="128"/>
      <c r="V389" s="135"/>
      <c r="W389" s="135"/>
      <c r="X389" s="135"/>
      <c r="Y389" s="135"/>
      <c r="Z389" s="136"/>
      <c r="AA389" s="135"/>
      <c r="AB389" s="135"/>
      <c r="AC389" s="135"/>
      <c r="AD389" s="135"/>
      <c r="AE389" s="135"/>
      <c r="AF389" s="135"/>
      <c r="AG389" s="135"/>
      <c r="AH389" s="135"/>
      <c r="AI389" s="135"/>
      <c r="AJ389" s="135"/>
    </row>
    <row r="390" spans="2:36" s="132" customFormat="1" ht="20.149999999999999" customHeight="1">
      <c r="B390" s="137"/>
      <c r="C390" s="128"/>
      <c r="D390" s="135"/>
      <c r="E390" s="135"/>
      <c r="F390" s="135"/>
      <c r="G390" s="135"/>
      <c r="H390" s="136"/>
      <c r="I390" s="135"/>
      <c r="J390" s="135"/>
      <c r="K390" s="135"/>
      <c r="L390" s="135"/>
      <c r="M390" s="135"/>
      <c r="N390" s="135"/>
      <c r="O390" s="135"/>
      <c r="P390" s="135"/>
      <c r="Q390" s="135"/>
      <c r="R390" s="135"/>
      <c r="S390" s="135"/>
      <c r="T390" s="137"/>
      <c r="U390" s="128"/>
      <c r="V390" s="135"/>
      <c r="W390" s="135"/>
      <c r="X390" s="135"/>
      <c r="Y390" s="135"/>
      <c r="Z390" s="136"/>
      <c r="AA390" s="135"/>
      <c r="AB390" s="135"/>
      <c r="AC390" s="135"/>
      <c r="AD390" s="135"/>
      <c r="AE390" s="135"/>
      <c r="AF390" s="135"/>
      <c r="AG390" s="135"/>
      <c r="AH390" s="135"/>
      <c r="AI390" s="135"/>
      <c r="AJ390" s="135"/>
    </row>
    <row r="391" spans="2:36" s="132" customFormat="1" ht="20.149999999999999" customHeight="1">
      <c r="B391" s="137"/>
      <c r="C391" s="128"/>
      <c r="D391" s="135"/>
      <c r="E391" s="135"/>
      <c r="F391" s="135"/>
      <c r="G391" s="135"/>
      <c r="H391" s="136"/>
      <c r="I391" s="135"/>
      <c r="J391" s="135"/>
      <c r="K391" s="135"/>
      <c r="L391" s="135"/>
      <c r="M391" s="135"/>
      <c r="N391" s="135"/>
      <c r="O391" s="135"/>
      <c r="P391" s="135"/>
      <c r="Q391" s="135"/>
      <c r="R391" s="135"/>
      <c r="S391" s="135"/>
      <c r="T391" s="137"/>
      <c r="U391" s="128"/>
      <c r="V391" s="135"/>
      <c r="W391" s="135"/>
      <c r="X391" s="135"/>
      <c r="Y391" s="135"/>
      <c r="Z391" s="136"/>
      <c r="AA391" s="135"/>
      <c r="AB391" s="135"/>
      <c r="AC391" s="135"/>
      <c r="AD391" s="135"/>
      <c r="AE391" s="135"/>
      <c r="AF391" s="135"/>
      <c r="AG391" s="135"/>
      <c r="AH391" s="135"/>
      <c r="AI391" s="135"/>
      <c r="AJ391" s="135"/>
    </row>
    <row r="392" spans="2:36" s="132" customFormat="1" ht="20.149999999999999" customHeight="1">
      <c r="B392" s="137"/>
      <c r="C392" s="128"/>
      <c r="D392" s="135"/>
      <c r="E392" s="135"/>
      <c r="F392" s="135"/>
      <c r="G392" s="135"/>
      <c r="H392" s="136"/>
      <c r="I392" s="135"/>
      <c r="J392" s="135"/>
      <c r="K392" s="135"/>
      <c r="L392" s="135"/>
      <c r="M392" s="135"/>
      <c r="N392" s="135"/>
      <c r="O392" s="135"/>
      <c r="P392" s="135"/>
      <c r="Q392" s="135"/>
      <c r="R392" s="135"/>
      <c r="S392" s="135"/>
      <c r="T392" s="137"/>
      <c r="U392" s="128"/>
      <c r="V392" s="135"/>
      <c r="W392" s="135"/>
      <c r="X392" s="135"/>
      <c r="Y392" s="135"/>
      <c r="Z392" s="136"/>
      <c r="AA392" s="135"/>
      <c r="AB392" s="135"/>
      <c r="AC392" s="135"/>
      <c r="AD392" s="135"/>
      <c r="AE392" s="135"/>
      <c r="AF392" s="135"/>
      <c r="AG392" s="135"/>
      <c r="AH392" s="135"/>
      <c r="AI392" s="135"/>
      <c r="AJ392" s="135"/>
    </row>
    <row r="393" spans="2:36" s="132" customFormat="1" ht="20.149999999999999" customHeight="1">
      <c r="B393" s="137"/>
      <c r="C393" s="128"/>
      <c r="D393" s="135"/>
      <c r="E393" s="135"/>
      <c r="F393" s="135"/>
      <c r="G393" s="135"/>
      <c r="H393" s="136"/>
      <c r="I393" s="135"/>
      <c r="J393" s="135"/>
      <c r="K393" s="135"/>
      <c r="L393" s="135"/>
      <c r="M393" s="135"/>
      <c r="N393" s="135"/>
      <c r="O393" s="135"/>
      <c r="P393" s="135"/>
      <c r="Q393" s="135"/>
      <c r="R393" s="135"/>
      <c r="S393" s="135"/>
      <c r="T393" s="137"/>
      <c r="U393" s="128"/>
      <c r="V393" s="135"/>
      <c r="W393" s="135"/>
      <c r="X393" s="135"/>
      <c r="Y393" s="135"/>
      <c r="Z393" s="136"/>
      <c r="AA393" s="135"/>
      <c r="AB393" s="135"/>
      <c r="AC393" s="135"/>
      <c r="AD393" s="135"/>
      <c r="AE393" s="135"/>
      <c r="AF393" s="135"/>
      <c r="AG393" s="135"/>
      <c r="AH393" s="135"/>
      <c r="AI393" s="135"/>
      <c r="AJ393" s="135"/>
    </row>
    <row r="394" spans="2:36" s="132" customFormat="1" ht="20.149999999999999" customHeight="1">
      <c r="B394" s="137"/>
      <c r="C394" s="128"/>
      <c r="D394" s="135"/>
      <c r="E394" s="135"/>
      <c r="F394" s="135"/>
      <c r="G394" s="135"/>
      <c r="H394" s="136"/>
      <c r="I394" s="135"/>
      <c r="J394" s="135"/>
      <c r="K394" s="135"/>
      <c r="L394" s="135"/>
      <c r="M394" s="135"/>
      <c r="N394" s="135"/>
      <c r="O394" s="135"/>
      <c r="P394" s="135"/>
      <c r="Q394" s="135"/>
      <c r="R394" s="135"/>
      <c r="S394" s="135"/>
      <c r="T394" s="137"/>
      <c r="U394" s="128"/>
      <c r="V394" s="135"/>
      <c r="W394" s="135"/>
      <c r="X394" s="135"/>
      <c r="Y394" s="135"/>
      <c r="Z394" s="136"/>
      <c r="AA394" s="135"/>
      <c r="AB394" s="135"/>
      <c r="AC394" s="135"/>
      <c r="AD394" s="135"/>
      <c r="AE394" s="135"/>
      <c r="AF394" s="135"/>
      <c r="AG394" s="135"/>
      <c r="AH394" s="135"/>
      <c r="AI394" s="135"/>
      <c r="AJ394" s="135"/>
    </row>
    <row r="395" spans="2:36" s="132" customFormat="1" ht="20.149999999999999" customHeight="1">
      <c r="B395" s="137"/>
      <c r="C395" s="128"/>
      <c r="D395" s="135"/>
      <c r="E395" s="135"/>
      <c r="F395" s="135"/>
      <c r="G395" s="135"/>
      <c r="H395" s="136"/>
      <c r="I395" s="135"/>
      <c r="J395" s="135"/>
      <c r="K395" s="135"/>
      <c r="L395" s="135"/>
      <c r="M395" s="135"/>
      <c r="N395" s="135"/>
      <c r="O395" s="135"/>
      <c r="P395" s="135"/>
      <c r="Q395" s="135"/>
      <c r="R395" s="135"/>
      <c r="S395" s="135"/>
      <c r="T395" s="137"/>
      <c r="U395" s="128"/>
      <c r="V395" s="135"/>
      <c r="W395" s="135"/>
      <c r="X395" s="135"/>
      <c r="Y395" s="135"/>
      <c r="Z395" s="136"/>
      <c r="AA395" s="135"/>
      <c r="AB395" s="135"/>
      <c r="AC395" s="135"/>
      <c r="AD395" s="135"/>
      <c r="AE395" s="135"/>
      <c r="AF395" s="135"/>
      <c r="AG395" s="135"/>
      <c r="AH395" s="135"/>
      <c r="AI395" s="135"/>
      <c r="AJ395" s="135"/>
    </row>
    <row r="396" spans="2:36" s="132" customFormat="1" ht="20.149999999999999" customHeight="1">
      <c r="B396" s="137"/>
      <c r="C396" s="128"/>
      <c r="D396" s="135"/>
      <c r="E396" s="135"/>
      <c r="F396" s="135"/>
      <c r="G396" s="135"/>
      <c r="H396" s="136"/>
      <c r="I396" s="135"/>
      <c r="J396" s="135"/>
      <c r="K396" s="135"/>
      <c r="L396" s="135"/>
      <c r="M396" s="135"/>
      <c r="N396" s="135"/>
      <c r="O396" s="135"/>
      <c r="P396" s="135"/>
      <c r="Q396" s="135"/>
      <c r="R396" s="135"/>
      <c r="S396" s="135"/>
      <c r="T396" s="137"/>
      <c r="U396" s="128"/>
      <c r="V396" s="135"/>
      <c r="W396" s="135"/>
      <c r="X396" s="135"/>
      <c r="Y396" s="135"/>
      <c r="Z396" s="136"/>
      <c r="AA396" s="135"/>
      <c r="AB396" s="135"/>
      <c r="AC396" s="135"/>
      <c r="AD396" s="135"/>
      <c r="AE396" s="135"/>
      <c r="AF396" s="135"/>
      <c r="AG396" s="135"/>
      <c r="AH396" s="135"/>
      <c r="AI396" s="135"/>
      <c r="AJ396" s="135"/>
    </row>
    <row r="397" spans="2:36" s="132" customFormat="1" ht="20.149999999999999" customHeight="1">
      <c r="B397" s="137"/>
      <c r="C397" s="128"/>
      <c r="D397" s="135"/>
      <c r="E397" s="135"/>
      <c r="F397" s="135"/>
      <c r="G397" s="135"/>
      <c r="H397" s="136"/>
      <c r="I397" s="135"/>
      <c r="J397" s="135"/>
      <c r="K397" s="135"/>
      <c r="L397" s="135"/>
      <c r="M397" s="135"/>
      <c r="N397" s="135"/>
      <c r="O397" s="135"/>
      <c r="P397" s="135"/>
      <c r="Q397" s="135"/>
      <c r="R397" s="135"/>
      <c r="S397" s="135"/>
      <c r="T397" s="137"/>
      <c r="U397" s="128"/>
      <c r="V397" s="135"/>
      <c r="W397" s="135"/>
      <c r="X397" s="135"/>
      <c r="Y397" s="135"/>
      <c r="Z397" s="136"/>
      <c r="AA397" s="135"/>
      <c r="AB397" s="135"/>
      <c r="AC397" s="135"/>
      <c r="AD397" s="135"/>
      <c r="AE397" s="135"/>
      <c r="AF397" s="135"/>
      <c r="AG397" s="135"/>
      <c r="AH397" s="135"/>
      <c r="AI397" s="135"/>
      <c r="AJ397" s="135"/>
    </row>
    <row r="398" spans="2:36" s="132" customFormat="1" ht="20.149999999999999" customHeight="1">
      <c r="B398" s="137"/>
      <c r="C398" s="128"/>
      <c r="D398" s="135"/>
      <c r="E398" s="135"/>
      <c r="F398" s="135"/>
      <c r="G398" s="135"/>
      <c r="H398" s="136"/>
      <c r="I398" s="135"/>
      <c r="J398" s="135"/>
      <c r="K398" s="135"/>
      <c r="L398" s="135"/>
      <c r="M398" s="135"/>
      <c r="N398" s="135"/>
      <c r="O398" s="135"/>
      <c r="P398" s="135"/>
      <c r="Q398" s="135"/>
      <c r="R398" s="135"/>
      <c r="S398" s="135"/>
      <c r="T398" s="137"/>
      <c r="U398" s="128"/>
      <c r="V398" s="135"/>
      <c r="W398" s="135"/>
      <c r="X398" s="135"/>
      <c r="Y398" s="135"/>
      <c r="Z398" s="136"/>
      <c r="AA398" s="135"/>
      <c r="AB398" s="135"/>
      <c r="AC398" s="135"/>
      <c r="AD398" s="135"/>
      <c r="AE398" s="135"/>
      <c r="AF398" s="135"/>
      <c r="AG398" s="135"/>
      <c r="AH398" s="135"/>
      <c r="AI398" s="135"/>
      <c r="AJ398" s="135"/>
    </row>
    <row r="399" spans="2:36" s="132" customFormat="1" ht="20.149999999999999" customHeight="1">
      <c r="B399" s="137"/>
      <c r="C399" s="128"/>
      <c r="D399" s="135"/>
      <c r="E399" s="135"/>
      <c r="F399" s="135"/>
      <c r="G399" s="135"/>
      <c r="H399" s="136"/>
      <c r="I399" s="135"/>
      <c r="J399" s="135"/>
      <c r="K399" s="135"/>
      <c r="L399" s="135"/>
      <c r="M399" s="135"/>
      <c r="N399" s="135"/>
      <c r="O399" s="135"/>
      <c r="P399" s="135"/>
      <c r="Q399" s="135"/>
      <c r="R399" s="135"/>
      <c r="S399" s="135"/>
      <c r="T399" s="137"/>
      <c r="U399" s="128"/>
      <c r="V399" s="135"/>
      <c r="W399" s="135"/>
      <c r="X399" s="135"/>
      <c r="Y399" s="135"/>
      <c r="Z399" s="136"/>
      <c r="AA399" s="135"/>
      <c r="AB399" s="135"/>
      <c r="AC399" s="135"/>
      <c r="AD399" s="135"/>
      <c r="AE399" s="135"/>
      <c r="AF399" s="135"/>
      <c r="AG399" s="135"/>
      <c r="AH399" s="135"/>
      <c r="AI399" s="135"/>
      <c r="AJ399" s="135"/>
    </row>
    <row r="400" spans="2:36" s="132" customFormat="1" ht="20.149999999999999" customHeight="1">
      <c r="B400" s="137"/>
      <c r="C400" s="128"/>
      <c r="D400" s="135"/>
      <c r="E400" s="135"/>
      <c r="F400" s="135"/>
      <c r="G400" s="135"/>
      <c r="H400" s="136"/>
      <c r="I400" s="135"/>
      <c r="J400" s="135"/>
      <c r="K400" s="135"/>
      <c r="L400" s="135"/>
      <c r="M400" s="135"/>
      <c r="N400" s="135"/>
      <c r="O400" s="135"/>
      <c r="P400" s="135"/>
      <c r="Q400" s="135"/>
      <c r="R400" s="135"/>
      <c r="S400" s="135"/>
      <c r="T400" s="137"/>
      <c r="U400" s="128"/>
      <c r="V400" s="135"/>
      <c r="W400" s="135"/>
      <c r="X400" s="135"/>
      <c r="Y400" s="135"/>
      <c r="Z400" s="136"/>
      <c r="AA400" s="135"/>
      <c r="AB400" s="135"/>
      <c r="AC400" s="135"/>
      <c r="AD400" s="135"/>
      <c r="AE400" s="135"/>
      <c r="AF400" s="135"/>
      <c r="AG400" s="135"/>
      <c r="AH400" s="135"/>
      <c r="AI400" s="135"/>
      <c r="AJ400" s="135"/>
    </row>
    <row r="401" spans="2:36" s="132" customFormat="1" ht="20.149999999999999" customHeight="1">
      <c r="B401" s="137"/>
      <c r="C401" s="128"/>
      <c r="D401" s="135"/>
      <c r="E401" s="135"/>
      <c r="F401" s="135"/>
      <c r="G401" s="135"/>
      <c r="H401" s="136"/>
      <c r="I401" s="135"/>
      <c r="J401" s="135"/>
      <c r="K401" s="135"/>
      <c r="L401" s="135"/>
      <c r="M401" s="135"/>
      <c r="N401" s="135"/>
      <c r="O401" s="135"/>
      <c r="P401" s="135"/>
      <c r="Q401" s="135"/>
      <c r="R401" s="135"/>
      <c r="S401" s="135"/>
      <c r="T401" s="137"/>
      <c r="U401" s="128"/>
      <c r="V401" s="135"/>
      <c r="W401" s="135"/>
      <c r="X401" s="135"/>
      <c r="Y401" s="135"/>
      <c r="Z401" s="136"/>
      <c r="AA401" s="135"/>
      <c r="AB401" s="135"/>
      <c r="AC401" s="135"/>
      <c r="AD401" s="135"/>
      <c r="AE401" s="135"/>
      <c r="AF401" s="135"/>
      <c r="AG401" s="135"/>
      <c r="AH401" s="135"/>
      <c r="AI401" s="135"/>
      <c r="AJ401" s="135"/>
    </row>
    <row r="402" spans="2:36" s="132" customFormat="1" ht="20.149999999999999" customHeight="1">
      <c r="B402" s="137"/>
      <c r="C402" s="128"/>
      <c r="D402" s="135"/>
      <c r="E402" s="135"/>
      <c r="F402" s="135"/>
      <c r="G402" s="135"/>
      <c r="H402" s="136"/>
      <c r="I402" s="135"/>
      <c r="J402" s="135"/>
      <c r="K402" s="135"/>
      <c r="L402" s="135"/>
      <c r="M402" s="135"/>
      <c r="N402" s="135"/>
      <c r="O402" s="135"/>
      <c r="P402" s="135"/>
      <c r="Q402" s="135"/>
      <c r="R402" s="135"/>
      <c r="S402" s="135"/>
      <c r="T402" s="137"/>
      <c r="U402" s="128"/>
      <c r="V402" s="135"/>
      <c r="W402" s="135"/>
      <c r="X402" s="135"/>
      <c r="Y402" s="135"/>
      <c r="Z402" s="136"/>
      <c r="AA402" s="135"/>
      <c r="AB402" s="135"/>
      <c r="AC402" s="135"/>
      <c r="AD402" s="135"/>
      <c r="AE402" s="135"/>
      <c r="AF402" s="135"/>
      <c r="AG402" s="135"/>
      <c r="AH402" s="135"/>
      <c r="AI402" s="135"/>
      <c r="AJ402" s="135"/>
    </row>
    <row r="403" spans="2:36" s="132" customFormat="1" ht="20.149999999999999" customHeight="1">
      <c r="B403" s="137"/>
      <c r="C403" s="128"/>
      <c r="D403" s="135"/>
      <c r="E403" s="135"/>
      <c r="F403" s="135"/>
      <c r="G403" s="135"/>
      <c r="H403" s="136"/>
      <c r="I403" s="135"/>
      <c r="J403" s="135"/>
      <c r="K403" s="135"/>
      <c r="L403" s="135"/>
      <c r="M403" s="135"/>
      <c r="N403" s="135"/>
      <c r="O403" s="135"/>
      <c r="P403" s="135"/>
      <c r="Q403" s="135"/>
      <c r="R403" s="135"/>
      <c r="S403" s="135"/>
      <c r="T403" s="137"/>
      <c r="U403" s="128"/>
      <c r="V403" s="135"/>
      <c r="W403" s="135"/>
      <c r="X403" s="135"/>
      <c r="Y403" s="135"/>
      <c r="Z403" s="136"/>
      <c r="AA403" s="135"/>
      <c r="AB403" s="135"/>
      <c r="AC403" s="135"/>
      <c r="AD403" s="135"/>
      <c r="AE403" s="135"/>
      <c r="AF403" s="135"/>
      <c r="AG403" s="135"/>
      <c r="AH403" s="135"/>
      <c r="AI403" s="135"/>
      <c r="AJ403" s="135"/>
    </row>
    <row r="404" spans="2:36" s="132" customFormat="1" ht="20.149999999999999" customHeight="1">
      <c r="B404" s="137"/>
      <c r="C404" s="128"/>
      <c r="D404" s="135"/>
      <c r="E404" s="135"/>
      <c r="F404" s="135"/>
      <c r="G404" s="135"/>
      <c r="H404" s="136"/>
      <c r="I404" s="135"/>
      <c r="J404" s="135"/>
      <c r="K404" s="135"/>
      <c r="L404" s="135"/>
      <c r="M404" s="135"/>
      <c r="N404" s="135"/>
      <c r="O404" s="135"/>
      <c r="P404" s="135"/>
      <c r="Q404" s="135"/>
      <c r="R404" s="135"/>
      <c r="S404" s="135"/>
      <c r="T404" s="137"/>
      <c r="U404" s="128"/>
      <c r="V404" s="135"/>
      <c r="W404" s="135"/>
      <c r="X404" s="135"/>
      <c r="Y404" s="135"/>
      <c r="Z404" s="136"/>
      <c r="AA404" s="135"/>
      <c r="AB404" s="135"/>
      <c r="AC404" s="135"/>
      <c r="AD404" s="135"/>
      <c r="AE404" s="135"/>
      <c r="AF404" s="135"/>
      <c r="AG404" s="135"/>
      <c r="AH404" s="135"/>
      <c r="AI404" s="135"/>
      <c r="AJ404" s="135"/>
    </row>
    <row r="405" spans="2:36" s="132" customFormat="1" ht="20.149999999999999" customHeight="1">
      <c r="B405" s="137"/>
      <c r="C405" s="128"/>
      <c r="D405" s="135"/>
      <c r="E405" s="135"/>
      <c r="F405" s="135"/>
      <c r="G405" s="135"/>
      <c r="H405" s="136"/>
      <c r="I405" s="135"/>
      <c r="J405" s="135"/>
      <c r="K405" s="135"/>
      <c r="L405" s="135"/>
      <c r="M405" s="135"/>
      <c r="N405" s="135"/>
      <c r="O405" s="135"/>
      <c r="P405" s="135"/>
      <c r="Q405" s="135"/>
      <c r="R405" s="135"/>
      <c r="S405" s="135"/>
      <c r="T405" s="137"/>
      <c r="U405" s="128"/>
      <c r="V405" s="135"/>
      <c r="W405" s="135"/>
      <c r="X405" s="135"/>
      <c r="Y405" s="135"/>
      <c r="Z405" s="136"/>
      <c r="AA405" s="135"/>
      <c r="AB405" s="135"/>
      <c r="AC405" s="135"/>
      <c r="AD405" s="135"/>
      <c r="AE405" s="135"/>
      <c r="AF405" s="135"/>
      <c r="AG405" s="135"/>
      <c r="AH405" s="135"/>
      <c r="AI405" s="135"/>
      <c r="AJ405" s="135"/>
    </row>
    <row r="406" spans="2:36" s="132" customFormat="1" ht="20.149999999999999" customHeight="1">
      <c r="B406" s="137"/>
      <c r="C406" s="128"/>
      <c r="D406" s="135"/>
      <c r="E406" s="135"/>
      <c r="F406" s="135"/>
      <c r="G406" s="135"/>
      <c r="H406" s="136"/>
      <c r="I406" s="135"/>
      <c r="J406" s="135"/>
      <c r="K406" s="135"/>
      <c r="L406" s="135"/>
      <c r="M406" s="135"/>
      <c r="N406" s="135"/>
      <c r="O406" s="135"/>
      <c r="P406" s="135"/>
      <c r="Q406" s="135"/>
      <c r="R406" s="135"/>
      <c r="S406" s="135"/>
      <c r="T406" s="137"/>
      <c r="U406" s="128"/>
      <c r="V406" s="135"/>
      <c r="W406" s="135"/>
      <c r="X406" s="135"/>
      <c r="Y406" s="135"/>
      <c r="Z406" s="136"/>
      <c r="AA406" s="135"/>
      <c r="AB406" s="135"/>
      <c r="AC406" s="135"/>
      <c r="AD406" s="135"/>
      <c r="AE406" s="135"/>
      <c r="AF406" s="135"/>
      <c r="AG406" s="135"/>
      <c r="AH406" s="135"/>
      <c r="AI406" s="135"/>
      <c r="AJ406" s="135"/>
    </row>
    <row r="407" spans="2:36" s="132" customFormat="1" ht="20.149999999999999" customHeight="1">
      <c r="B407" s="137"/>
      <c r="C407" s="128"/>
      <c r="D407" s="135"/>
      <c r="E407" s="135"/>
      <c r="F407" s="135"/>
      <c r="G407" s="135"/>
      <c r="H407" s="136"/>
      <c r="I407" s="135"/>
      <c r="J407" s="135"/>
      <c r="K407" s="135"/>
      <c r="L407" s="135"/>
      <c r="M407" s="135"/>
      <c r="N407" s="135"/>
      <c r="O407" s="135"/>
      <c r="P407" s="135"/>
      <c r="Q407" s="135"/>
      <c r="R407" s="135"/>
      <c r="S407" s="135"/>
      <c r="T407" s="137"/>
      <c r="U407" s="128"/>
      <c r="V407" s="135"/>
      <c r="W407" s="135"/>
      <c r="X407" s="135"/>
      <c r="Y407" s="135"/>
      <c r="Z407" s="136"/>
      <c r="AA407" s="135"/>
      <c r="AB407" s="135"/>
      <c r="AC407" s="135"/>
      <c r="AD407" s="135"/>
      <c r="AE407" s="135"/>
      <c r="AF407" s="135"/>
      <c r="AG407" s="135"/>
      <c r="AH407" s="135"/>
      <c r="AI407" s="135"/>
      <c r="AJ407" s="135"/>
    </row>
    <row r="408" spans="2:36" s="132" customFormat="1" ht="20.149999999999999" customHeight="1">
      <c r="B408" s="137"/>
      <c r="C408" s="128"/>
      <c r="D408" s="135"/>
      <c r="E408" s="135"/>
      <c r="F408" s="135"/>
      <c r="G408" s="135"/>
      <c r="H408" s="136"/>
      <c r="I408" s="135"/>
      <c r="J408" s="135"/>
      <c r="K408" s="135"/>
      <c r="L408" s="135"/>
      <c r="M408" s="135"/>
      <c r="N408" s="135"/>
      <c r="O408" s="135"/>
      <c r="P408" s="135"/>
      <c r="Q408" s="135"/>
      <c r="R408" s="135"/>
      <c r="S408" s="135"/>
      <c r="T408" s="137"/>
      <c r="U408" s="128"/>
      <c r="V408" s="135"/>
      <c r="W408" s="135"/>
      <c r="X408" s="135"/>
      <c r="Y408" s="135"/>
      <c r="Z408" s="136"/>
      <c r="AA408" s="135"/>
      <c r="AB408" s="135"/>
      <c r="AC408" s="135"/>
      <c r="AD408" s="135"/>
      <c r="AE408" s="135"/>
      <c r="AF408" s="135"/>
      <c r="AG408" s="135"/>
      <c r="AH408" s="135"/>
      <c r="AI408" s="135"/>
      <c r="AJ408" s="135"/>
    </row>
    <row r="409" spans="2:36" s="132" customFormat="1" ht="20.149999999999999" customHeight="1">
      <c r="B409" s="137"/>
      <c r="C409" s="128"/>
      <c r="D409" s="135"/>
      <c r="E409" s="135"/>
      <c r="F409" s="135"/>
      <c r="G409" s="135"/>
      <c r="H409" s="136"/>
      <c r="I409" s="135"/>
      <c r="J409" s="135"/>
      <c r="K409" s="135"/>
      <c r="L409" s="135"/>
      <c r="M409" s="135"/>
      <c r="N409" s="135"/>
      <c r="O409" s="135"/>
      <c r="P409" s="135"/>
      <c r="Q409" s="135"/>
      <c r="R409" s="135"/>
      <c r="S409" s="135"/>
      <c r="T409" s="137"/>
      <c r="U409" s="128"/>
      <c r="V409" s="135"/>
      <c r="W409" s="135"/>
      <c r="X409" s="135"/>
      <c r="Y409" s="135"/>
      <c r="Z409" s="136"/>
      <c r="AA409" s="135"/>
      <c r="AB409" s="135"/>
      <c r="AC409" s="135"/>
      <c r="AD409" s="135"/>
      <c r="AE409" s="135"/>
      <c r="AF409" s="135"/>
      <c r="AG409" s="135"/>
      <c r="AH409" s="135"/>
      <c r="AI409" s="135"/>
      <c r="AJ409" s="135"/>
    </row>
    <row r="410" spans="2:36" s="132" customFormat="1" ht="20.149999999999999" customHeight="1">
      <c r="B410" s="137"/>
      <c r="C410" s="128"/>
      <c r="D410" s="135"/>
      <c r="E410" s="135"/>
      <c r="F410" s="135"/>
      <c r="G410" s="135"/>
      <c r="H410" s="136"/>
      <c r="I410" s="135"/>
      <c r="J410" s="135"/>
      <c r="K410" s="135"/>
      <c r="L410" s="135"/>
      <c r="M410" s="135"/>
      <c r="N410" s="135"/>
      <c r="O410" s="135"/>
      <c r="P410" s="135"/>
      <c r="Q410" s="135"/>
      <c r="R410" s="135"/>
      <c r="S410" s="135"/>
      <c r="T410" s="137"/>
      <c r="U410" s="128"/>
      <c r="V410" s="135"/>
      <c r="W410" s="135"/>
      <c r="X410" s="135"/>
      <c r="Y410" s="135"/>
      <c r="Z410" s="136"/>
      <c r="AA410" s="135"/>
      <c r="AB410" s="135"/>
      <c r="AC410" s="135"/>
      <c r="AD410" s="135"/>
      <c r="AE410" s="135"/>
      <c r="AF410" s="135"/>
      <c r="AG410" s="135"/>
      <c r="AH410" s="135"/>
      <c r="AI410" s="135"/>
      <c r="AJ410" s="135"/>
    </row>
    <row r="411" spans="2:36" s="132" customFormat="1" ht="20.149999999999999" customHeight="1">
      <c r="B411" s="137"/>
      <c r="C411" s="128"/>
      <c r="D411" s="135"/>
      <c r="E411" s="135"/>
      <c r="F411" s="135"/>
      <c r="G411" s="135"/>
      <c r="H411" s="136"/>
      <c r="I411" s="135"/>
      <c r="J411" s="135"/>
      <c r="K411" s="135"/>
      <c r="L411" s="135"/>
      <c r="M411" s="135"/>
      <c r="N411" s="135"/>
      <c r="O411" s="135"/>
      <c r="P411" s="135"/>
      <c r="Q411" s="135"/>
      <c r="R411" s="135"/>
      <c r="S411" s="135"/>
      <c r="T411" s="137"/>
      <c r="U411" s="128"/>
      <c r="V411" s="135"/>
      <c r="W411" s="135"/>
      <c r="X411" s="135"/>
      <c r="Y411" s="135"/>
      <c r="Z411" s="136"/>
      <c r="AA411" s="135"/>
      <c r="AB411" s="135"/>
      <c r="AC411" s="135"/>
      <c r="AD411" s="135"/>
      <c r="AE411" s="135"/>
      <c r="AF411" s="135"/>
      <c r="AG411" s="135"/>
      <c r="AH411" s="135"/>
      <c r="AI411" s="135"/>
      <c r="AJ411" s="135"/>
    </row>
    <row r="412" spans="2:36" s="132" customFormat="1" ht="20.149999999999999" customHeight="1">
      <c r="B412" s="137"/>
      <c r="C412" s="128"/>
      <c r="D412" s="135"/>
      <c r="E412" s="135"/>
      <c r="F412" s="135"/>
      <c r="G412" s="135"/>
      <c r="H412" s="136"/>
      <c r="I412" s="135"/>
      <c r="J412" s="135"/>
      <c r="K412" s="135"/>
      <c r="L412" s="135"/>
      <c r="M412" s="135"/>
      <c r="N412" s="135"/>
      <c r="O412" s="135"/>
      <c r="P412" s="135"/>
      <c r="Q412" s="135"/>
      <c r="R412" s="135"/>
      <c r="S412" s="135"/>
      <c r="T412" s="137"/>
      <c r="U412" s="128"/>
      <c r="V412" s="135"/>
      <c r="W412" s="135"/>
      <c r="X412" s="135"/>
      <c r="Y412" s="135"/>
      <c r="Z412" s="136"/>
      <c r="AA412" s="135"/>
      <c r="AB412" s="135"/>
      <c r="AC412" s="135"/>
      <c r="AD412" s="135"/>
      <c r="AE412" s="135"/>
      <c r="AF412" s="135"/>
      <c r="AG412" s="135"/>
      <c r="AH412" s="135"/>
      <c r="AI412" s="135"/>
      <c r="AJ412" s="135"/>
    </row>
    <row r="413" spans="2:36" s="132" customFormat="1" ht="20.149999999999999" customHeight="1">
      <c r="B413" s="137"/>
      <c r="C413" s="128"/>
      <c r="D413" s="135"/>
      <c r="E413" s="135"/>
      <c r="F413" s="135"/>
      <c r="G413" s="135"/>
      <c r="H413" s="136"/>
      <c r="I413" s="135"/>
      <c r="J413" s="135"/>
      <c r="K413" s="135"/>
      <c r="L413" s="135"/>
      <c r="M413" s="135"/>
      <c r="N413" s="135"/>
      <c r="O413" s="135"/>
      <c r="P413" s="135"/>
      <c r="Q413" s="135"/>
      <c r="R413" s="135"/>
      <c r="S413" s="135"/>
      <c r="T413" s="137"/>
      <c r="U413" s="128"/>
      <c r="V413" s="135"/>
      <c r="W413" s="135"/>
      <c r="X413" s="135"/>
      <c r="Y413" s="135"/>
      <c r="Z413" s="136"/>
      <c r="AA413" s="135"/>
      <c r="AB413" s="135"/>
      <c r="AC413" s="135"/>
      <c r="AD413" s="135"/>
      <c r="AE413" s="135"/>
      <c r="AF413" s="135"/>
      <c r="AG413" s="135"/>
      <c r="AH413" s="135"/>
      <c r="AI413" s="135"/>
      <c r="AJ413" s="135"/>
    </row>
    <row r="414" spans="2:36" s="132" customFormat="1" ht="20.149999999999999" customHeight="1">
      <c r="B414" s="137"/>
      <c r="C414" s="128"/>
      <c r="D414" s="135"/>
      <c r="E414" s="135"/>
      <c r="F414" s="135"/>
      <c r="G414" s="135"/>
      <c r="H414" s="136"/>
      <c r="I414" s="135"/>
      <c r="J414" s="135"/>
      <c r="K414" s="135"/>
      <c r="L414" s="135"/>
      <c r="M414" s="135"/>
      <c r="N414" s="135"/>
      <c r="O414" s="135"/>
      <c r="P414" s="135"/>
      <c r="Q414" s="135"/>
      <c r="R414" s="135"/>
      <c r="S414" s="135"/>
      <c r="T414" s="137"/>
      <c r="U414" s="128"/>
      <c r="V414" s="135"/>
      <c r="W414" s="135"/>
      <c r="X414" s="135"/>
      <c r="Y414" s="135"/>
      <c r="Z414" s="136"/>
      <c r="AA414" s="135"/>
      <c r="AB414" s="135"/>
      <c r="AC414" s="135"/>
      <c r="AD414" s="135"/>
      <c r="AE414" s="135"/>
      <c r="AF414" s="135"/>
      <c r="AG414" s="135"/>
      <c r="AH414" s="135"/>
      <c r="AI414" s="135"/>
      <c r="AJ414" s="135"/>
    </row>
    <row r="415" spans="2:36" s="132" customFormat="1" ht="20.149999999999999" customHeight="1">
      <c r="B415" s="137"/>
      <c r="C415" s="128"/>
      <c r="D415" s="135"/>
      <c r="E415" s="135"/>
      <c r="F415" s="135"/>
      <c r="G415" s="135"/>
      <c r="H415" s="136"/>
      <c r="I415" s="135"/>
      <c r="J415" s="135"/>
      <c r="K415" s="135"/>
      <c r="L415" s="135"/>
      <c r="M415" s="135"/>
      <c r="N415" s="135"/>
      <c r="O415" s="135"/>
      <c r="P415" s="135"/>
      <c r="Q415" s="135"/>
      <c r="R415" s="135"/>
      <c r="S415" s="135"/>
      <c r="T415" s="137"/>
      <c r="U415" s="128"/>
      <c r="V415" s="135"/>
      <c r="W415" s="135"/>
      <c r="X415" s="135"/>
      <c r="Y415" s="135"/>
      <c r="Z415" s="136"/>
      <c r="AA415" s="135"/>
      <c r="AB415" s="135"/>
      <c r="AC415" s="135"/>
      <c r="AD415" s="135"/>
      <c r="AE415" s="135"/>
      <c r="AF415" s="135"/>
      <c r="AG415" s="135"/>
      <c r="AH415" s="135"/>
      <c r="AI415" s="135"/>
      <c r="AJ415" s="135"/>
    </row>
    <row r="416" spans="2:36" s="132" customFormat="1" ht="20.149999999999999" customHeight="1">
      <c r="B416" s="137"/>
      <c r="C416" s="128"/>
      <c r="D416" s="135"/>
      <c r="E416" s="135"/>
      <c r="F416" s="135"/>
      <c r="G416" s="135"/>
      <c r="H416" s="136"/>
      <c r="I416" s="135"/>
      <c r="J416" s="135"/>
      <c r="K416" s="135"/>
      <c r="L416" s="135"/>
      <c r="M416" s="135"/>
      <c r="N416" s="135"/>
      <c r="O416" s="135"/>
      <c r="P416" s="135"/>
      <c r="Q416" s="135"/>
      <c r="R416" s="135"/>
      <c r="S416" s="135"/>
      <c r="T416" s="137"/>
      <c r="U416" s="128"/>
      <c r="V416" s="135"/>
      <c r="W416" s="135"/>
      <c r="X416" s="135"/>
      <c r="Y416" s="135"/>
      <c r="Z416" s="136"/>
      <c r="AA416" s="135"/>
      <c r="AB416" s="135"/>
      <c r="AC416" s="135"/>
      <c r="AD416" s="135"/>
      <c r="AE416" s="135"/>
      <c r="AF416" s="135"/>
      <c r="AG416" s="135"/>
      <c r="AH416" s="135"/>
      <c r="AI416" s="135"/>
      <c r="AJ416" s="135"/>
    </row>
    <row r="417" spans="2:36" s="132" customFormat="1" ht="20.149999999999999" customHeight="1">
      <c r="B417" s="137"/>
      <c r="C417" s="128"/>
      <c r="D417" s="135"/>
      <c r="E417" s="135"/>
      <c r="F417" s="135"/>
      <c r="G417" s="135"/>
      <c r="H417" s="136"/>
      <c r="I417" s="135"/>
      <c r="J417" s="135"/>
      <c r="K417" s="135"/>
      <c r="L417" s="135"/>
      <c r="M417" s="135"/>
      <c r="N417" s="135"/>
      <c r="O417" s="135"/>
      <c r="P417" s="135"/>
      <c r="Q417" s="135"/>
      <c r="R417" s="135"/>
      <c r="S417" s="135"/>
      <c r="T417" s="137"/>
      <c r="U417" s="128"/>
      <c r="V417" s="135"/>
      <c r="W417" s="135"/>
      <c r="X417" s="135"/>
      <c r="Y417" s="135"/>
      <c r="Z417" s="136"/>
      <c r="AA417" s="135"/>
      <c r="AB417" s="135"/>
      <c r="AC417" s="135"/>
      <c r="AD417" s="135"/>
      <c r="AE417" s="135"/>
      <c r="AF417" s="135"/>
      <c r="AG417" s="135"/>
      <c r="AH417" s="135"/>
      <c r="AI417" s="135"/>
      <c r="AJ417" s="135"/>
    </row>
    <row r="418" spans="2:36" s="132" customFormat="1" ht="20.149999999999999" customHeight="1">
      <c r="B418" s="137"/>
      <c r="C418" s="128"/>
      <c r="D418" s="135"/>
      <c r="E418" s="135"/>
      <c r="F418" s="135"/>
      <c r="G418" s="135"/>
      <c r="H418" s="136"/>
      <c r="I418" s="135"/>
      <c r="J418" s="135"/>
      <c r="K418" s="135"/>
      <c r="L418" s="135"/>
      <c r="M418" s="135"/>
      <c r="N418" s="135"/>
      <c r="O418" s="135"/>
      <c r="P418" s="135"/>
      <c r="Q418" s="135"/>
      <c r="R418" s="135"/>
      <c r="S418" s="135"/>
      <c r="T418" s="137"/>
      <c r="U418" s="128"/>
      <c r="V418" s="135"/>
      <c r="W418" s="135"/>
      <c r="X418" s="135"/>
      <c r="Y418" s="135"/>
      <c r="Z418" s="136"/>
      <c r="AA418" s="135"/>
      <c r="AB418" s="135"/>
      <c r="AC418" s="135"/>
      <c r="AD418" s="135"/>
      <c r="AE418" s="135"/>
      <c r="AF418" s="135"/>
      <c r="AG418" s="135"/>
      <c r="AH418" s="135"/>
      <c r="AI418" s="135"/>
      <c r="AJ418" s="135"/>
    </row>
    <row r="419" spans="2:36" s="132" customFormat="1" ht="20.149999999999999" customHeight="1">
      <c r="B419" s="137"/>
      <c r="C419" s="128"/>
      <c r="D419" s="135"/>
      <c r="E419" s="135"/>
      <c r="F419" s="135"/>
      <c r="G419" s="135"/>
      <c r="H419" s="136"/>
      <c r="I419" s="135"/>
      <c r="J419" s="135"/>
      <c r="K419" s="135"/>
      <c r="L419" s="135"/>
      <c r="M419" s="135"/>
      <c r="N419" s="135"/>
      <c r="O419" s="135"/>
      <c r="P419" s="135"/>
      <c r="Q419" s="135"/>
      <c r="R419" s="135"/>
      <c r="S419" s="135"/>
      <c r="T419" s="137"/>
      <c r="U419" s="128"/>
      <c r="V419" s="135"/>
      <c r="W419" s="135"/>
      <c r="X419" s="135"/>
      <c r="Y419" s="135"/>
      <c r="Z419" s="136"/>
      <c r="AA419" s="135"/>
      <c r="AB419" s="135"/>
      <c r="AC419" s="135"/>
      <c r="AD419" s="135"/>
      <c r="AE419" s="135"/>
      <c r="AF419" s="135"/>
      <c r="AG419" s="135"/>
      <c r="AH419" s="135"/>
      <c r="AI419" s="135"/>
      <c r="AJ419" s="135"/>
    </row>
    <row r="420" spans="2:36" s="132" customFormat="1" ht="20.149999999999999" customHeight="1">
      <c r="B420" s="137"/>
      <c r="C420" s="128"/>
      <c r="D420" s="135"/>
      <c r="E420" s="135"/>
      <c r="F420" s="135"/>
      <c r="G420" s="135"/>
      <c r="H420" s="136"/>
      <c r="I420" s="135"/>
      <c r="J420" s="135"/>
      <c r="K420" s="135"/>
      <c r="L420" s="135"/>
      <c r="M420" s="135"/>
      <c r="N420" s="135"/>
      <c r="O420" s="135"/>
      <c r="P420" s="135"/>
      <c r="Q420" s="135"/>
      <c r="R420" s="135"/>
      <c r="S420" s="135"/>
      <c r="T420" s="137"/>
      <c r="U420" s="128"/>
      <c r="V420" s="135"/>
      <c r="W420" s="135"/>
      <c r="X420" s="135"/>
      <c r="Y420" s="135"/>
      <c r="Z420" s="136"/>
      <c r="AA420" s="135"/>
      <c r="AB420" s="135"/>
      <c r="AC420" s="135"/>
      <c r="AD420" s="135"/>
      <c r="AE420" s="135"/>
      <c r="AF420" s="135"/>
      <c r="AG420" s="135"/>
      <c r="AH420" s="135"/>
      <c r="AI420" s="135"/>
      <c r="AJ420" s="135"/>
    </row>
    <row r="421" spans="2:36" s="132" customFormat="1" ht="20.149999999999999" customHeight="1">
      <c r="B421" s="137"/>
      <c r="C421" s="128"/>
      <c r="D421" s="135"/>
      <c r="E421" s="135"/>
      <c r="F421" s="135"/>
      <c r="G421" s="135"/>
      <c r="H421" s="136"/>
      <c r="I421" s="135"/>
      <c r="J421" s="135"/>
      <c r="K421" s="135"/>
      <c r="L421" s="135"/>
      <c r="M421" s="135"/>
      <c r="N421" s="135"/>
      <c r="O421" s="135"/>
      <c r="P421" s="135"/>
      <c r="Q421" s="135"/>
      <c r="R421" s="135"/>
      <c r="S421" s="135"/>
      <c r="T421" s="137"/>
      <c r="U421" s="128"/>
      <c r="V421" s="135"/>
      <c r="W421" s="135"/>
      <c r="X421" s="135"/>
      <c r="Y421" s="135"/>
      <c r="Z421" s="136"/>
      <c r="AA421" s="135"/>
      <c r="AB421" s="135"/>
      <c r="AC421" s="135"/>
      <c r="AD421" s="135"/>
      <c r="AE421" s="135"/>
      <c r="AF421" s="135"/>
      <c r="AG421" s="135"/>
      <c r="AH421" s="135"/>
      <c r="AI421" s="135"/>
      <c r="AJ421" s="135"/>
    </row>
    <row r="422" spans="2:36" s="132" customFormat="1" ht="20.149999999999999" customHeight="1">
      <c r="B422" s="137"/>
      <c r="C422" s="128"/>
      <c r="D422" s="135"/>
      <c r="E422" s="135"/>
      <c r="F422" s="135"/>
      <c r="G422" s="135"/>
      <c r="H422" s="136"/>
      <c r="I422" s="135"/>
      <c r="J422" s="135"/>
      <c r="K422" s="135"/>
      <c r="L422" s="135"/>
      <c r="M422" s="135"/>
      <c r="N422" s="135"/>
      <c r="O422" s="135"/>
      <c r="P422" s="135"/>
      <c r="Q422" s="135"/>
      <c r="R422" s="135"/>
      <c r="S422" s="135"/>
      <c r="T422" s="137"/>
      <c r="U422" s="128"/>
      <c r="V422" s="135"/>
      <c r="W422" s="135"/>
      <c r="X422" s="135"/>
      <c r="Y422" s="135"/>
      <c r="Z422" s="136"/>
      <c r="AA422" s="135"/>
      <c r="AB422" s="135"/>
      <c r="AC422" s="135"/>
      <c r="AD422" s="135"/>
      <c r="AE422" s="135"/>
      <c r="AF422" s="135"/>
      <c r="AG422" s="135"/>
      <c r="AH422" s="135"/>
      <c r="AI422" s="135"/>
      <c r="AJ422" s="135"/>
    </row>
    <row r="423" spans="2:36" s="132" customFormat="1" ht="20.149999999999999" customHeight="1">
      <c r="B423" s="137"/>
      <c r="C423" s="128"/>
      <c r="D423" s="135"/>
      <c r="E423" s="135"/>
      <c r="F423" s="135"/>
      <c r="G423" s="135"/>
      <c r="H423" s="136"/>
      <c r="I423" s="135"/>
      <c r="J423" s="135"/>
      <c r="K423" s="135"/>
      <c r="L423" s="135"/>
      <c r="M423" s="135"/>
      <c r="N423" s="135"/>
      <c r="O423" s="135"/>
      <c r="P423" s="135"/>
      <c r="Q423" s="135"/>
      <c r="R423" s="135"/>
      <c r="S423" s="135"/>
      <c r="T423" s="137"/>
      <c r="U423" s="128"/>
      <c r="V423" s="135"/>
      <c r="W423" s="135"/>
      <c r="X423" s="135"/>
      <c r="Y423" s="135"/>
      <c r="Z423" s="136"/>
      <c r="AA423" s="135"/>
      <c r="AB423" s="135"/>
      <c r="AC423" s="135"/>
      <c r="AD423" s="135"/>
      <c r="AE423" s="135"/>
      <c r="AF423" s="135"/>
      <c r="AG423" s="135"/>
      <c r="AH423" s="135"/>
      <c r="AI423" s="135"/>
      <c r="AJ423" s="135"/>
    </row>
    <row r="424" spans="2:36" s="132" customFormat="1" ht="20.149999999999999" customHeight="1">
      <c r="B424" s="137"/>
      <c r="C424" s="128"/>
      <c r="D424" s="135"/>
      <c r="E424" s="135"/>
      <c r="F424" s="135"/>
      <c r="G424" s="135"/>
      <c r="H424" s="136"/>
      <c r="I424" s="135"/>
      <c r="J424" s="135"/>
      <c r="K424" s="135"/>
      <c r="L424" s="135"/>
      <c r="M424" s="135"/>
      <c r="N424" s="135"/>
      <c r="O424" s="135"/>
      <c r="P424" s="135"/>
      <c r="Q424" s="135"/>
      <c r="R424" s="135"/>
      <c r="S424" s="135"/>
      <c r="T424" s="137"/>
      <c r="U424" s="128"/>
      <c r="V424" s="135"/>
      <c r="W424" s="135"/>
      <c r="X424" s="135"/>
      <c r="Y424" s="135"/>
      <c r="Z424" s="136"/>
      <c r="AA424" s="135"/>
      <c r="AB424" s="135"/>
      <c r="AC424" s="135"/>
      <c r="AD424" s="135"/>
      <c r="AE424" s="135"/>
      <c r="AF424" s="135"/>
      <c r="AG424" s="135"/>
      <c r="AH424" s="135"/>
      <c r="AI424" s="135"/>
      <c r="AJ424" s="135"/>
    </row>
    <row r="425" spans="2:36" s="132" customFormat="1" ht="20.149999999999999" customHeight="1">
      <c r="B425" s="137"/>
      <c r="C425" s="128"/>
      <c r="D425" s="135"/>
      <c r="E425" s="135"/>
      <c r="F425" s="135"/>
      <c r="G425" s="135"/>
      <c r="H425" s="136"/>
      <c r="I425" s="135"/>
      <c r="J425" s="135"/>
      <c r="K425" s="135"/>
      <c r="L425" s="135"/>
      <c r="M425" s="135"/>
      <c r="N425" s="135"/>
      <c r="O425" s="135"/>
      <c r="P425" s="135"/>
      <c r="Q425" s="135"/>
      <c r="R425" s="135"/>
      <c r="S425" s="135"/>
      <c r="T425" s="137"/>
      <c r="U425" s="128"/>
      <c r="V425" s="135"/>
      <c r="W425" s="135"/>
      <c r="X425" s="135"/>
      <c r="Y425" s="135"/>
      <c r="Z425" s="136"/>
      <c r="AA425" s="135"/>
      <c r="AB425" s="135"/>
      <c r="AC425" s="135"/>
      <c r="AD425" s="135"/>
      <c r="AE425" s="135"/>
      <c r="AF425" s="135"/>
      <c r="AG425" s="135"/>
      <c r="AH425" s="135"/>
      <c r="AI425" s="135"/>
      <c r="AJ425" s="135"/>
    </row>
    <row r="426" spans="2:36" s="132" customFormat="1" ht="20.149999999999999" customHeight="1">
      <c r="B426" s="137"/>
      <c r="C426" s="128"/>
      <c r="D426" s="135"/>
      <c r="E426" s="135"/>
      <c r="F426" s="135"/>
      <c r="G426" s="135"/>
      <c r="H426" s="136"/>
      <c r="I426" s="135"/>
      <c r="J426" s="135"/>
      <c r="K426" s="135"/>
      <c r="L426" s="135"/>
      <c r="M426" s="135"/>
      <c r="N426" s="135"/>
      <c r="O426" s="135"/>
      <c r="P426" s="135"/>
      <c r="Q426" s="135"/>
      <c r="R426" s="135"/>
      <c r="S426" s="135"/>
      <c r="T426" s="137"/>
      <c r="U426" s="128"/>
      <c r="V426" s="135"/>
      <c r="W426" s="135"/>
      <c r="X426" s="135"/>
      <c r="Y426" s="135"/>
      <c r="Z426" s="136"/>
      <c r="AA426" s="135"/>
      <c r="AB426" s="135"/>
      <c r="AC426" s="135"/>
      <c r="AD426" s="135"/>
      <c r="AE426" s="135"/>
      <c r="AF426" s="135"/>
      <c r="AG426" s="135"/>
      <c r="AH426" s="135"/>
      <c r="AI426" s="135"/>
      <c r="AJ426" s="135"/>
    </row>
    <row r="427" spans="2:36" s="132" customFormat="1" ht="20.149999999999999" customHeight="1">
      <c r="B427" s="137"/>
      <c r="C427" s="128"/>
      <c r="D427" s="135"/>
      <c r="E427" s="135"/>
      <c r="F427" s="135"/>
      <c r="G427" s="135"/>
      <c r="H427" s="136"/>
      <c r="I427" s="135"/>
      <c r="J427" s="135"/>
      <c r="K427" s="135"/>
      <c r="L427" s="135"/>
      <c r="M427" s="135"/>
      <c r="N427" s="135"/>
      <c r="O427" s="135"/>
      <c r="P427" s="135"/>
      <c r="Q427" s="135"/>
      <c r="R427" s="135"/>
      <c r="S427" s="135"/>
      <c r="T427" s="137"/>
      <c r="U427" s="128"/>
      <c r="V427" s="135"/>
      <c r="W427" s="135"/>
      <c r="X427" s="135"/>
      <c r="Y427" s="135"/>
      <c r="Z427" s="136"/>
      <c r="AA427" s="135"/>
      <c r="AB427" s="135"/>
      <c r="AC427" s="135"/>
      <c r="AD427" s="135"/>
      <c r="AE427" s="135"/>
      <c r="AF427" s="135"/>
      <c r="AG427" s="135"/>
      <c r="AH427" s="135"/>
      <c r="AI427" s="135"/>
      <c r="AJ427" s="135"/>
    </row>
    <row r="428" spans="2:36" s="132" customFormat="1" ht="20.149999999999999" customHeight="1">
      <c r="B428" s="137"/>
      <c r="C428" s="128"/>
      <c r="D428" s="135"/>
      <c r="E428" s="135"/>
      <c r="F428" s="135"/>
      <c r="G428" s="135"/>
      <c r="H428" s="136"/>
      <c r="I428" s="135"/>
      <c r="J428" s="135"/>
      <c r="K428" s="135"/>
      <c r="L428" s="135"/>
      <c r="M428" s="135"/>
      <c r="N428" s="135"/>
      <c r="O428" s="135"/>
      <c r="P428" s="135"/>
      <c r="Q428" s="135"/>
      <c r="R428" s="135"/>
      <c r="S428" s="135"/>
      <c r="T428" s="137"/>
      <c r="U428" s="128"/>
      <c r="V428" s="135"/>
      <c r="W428" s="135"/>
      <c r="X428" s="135"/>
      <c r="Y428" s="135"/>
      <c r="Z428" s="136"/>
      <c r="AA428" s="135"/>
      <c r="AB428" s="135"/>
      <c r="AC428" s="135"/>
      <c r="AD428" s="135"/>
      <c r="AE428" s="135"/>
      <c r="AF428" s="135"/>
      <c r="AG428" s="135"/>
      <c r="AH428" s="135"/>
      <c r="AI428" s="135"/>
      <c r="AJ428" s="135"/>
    </row>
    <row r="429" spans="2:36" s="132" customFormat="1" ht="20.149999999999999" customHeight="1">
      <c r="B429" s="137"/>
      <c r="C429" s="128"/>
      <c r="D429" s="135"/>
      <c r="E429" s="135"/>
      <c r="F429" s="135"/>
      <c r="G429" s="135"/>
      <c r="H429" s="136"/>
      <c r="I429" s="135"/>
      <c r="J429" s="135"/>
      <c r="K429" s="135"/>
      <c r="L429" s="135"/>
      <c r="M429" s="135"/>
      <c r="N429" s="135"/>
      <c r="O429" s="135"/>
      <c r="P429" s="135"/>
      <c r="Q429" s="135"/>
      <c r="R429" s="135"/>
      <c r="S429" s="135"/>
      <c r="T429" s="137"/>
      <c r="U429" s="128"/>
      <c r="V429" s="135"/>
      <c r="W429" s="135"/>
      <c r="X429" s="135"/>
      <c r="Y429" s="135"/>
      <c r="Z429" s="136"/>
      <c r="AA429" s="135"/>
      <c r="AB429" s="135"/>
      <c r="AC429" s="135"/>
      <c r="AD429" s="135"/>
      <c r="AE429" s="135"/>
      <c r="AF429" s="135"/>
      <c r="AG429" s="135"/>
      <c r="AH429" s="135"/>
      <c r="AI429" s="135"/>
      <c r="AJ429" s="135"/>
    </row>
    <row r="430" spans="2:36" s="132" customFormat="1" ht="20.149999999999999" customHeight="1">
      <c r="B430" s="137"/>
      <c r="C430" s="128"/>
      <c r="D430" s="135"/>
      <c r="E430" s="135"/>
      <c r="F430" s="135"/>
      <c r="G430" s="135"/>
      <c r="H430" s="136"/>
      <c r="I430" s="135"/>
      <c r="J430" s="135"/>
      <c r="K430" s="135"/>
      <c r="L430" s="135"/>
      <c r="M430" s="135"/>
      <c r="N430" s="135"/>
      <c r="O430" s="135"/>
      <c r="P430" s="135"/>
      <c r="Q430" s="135"/>
      <c r="R430" s="135"/>
      <c r="S430" s="135"/>
      <c r="T430" s="137"/>
      <c r="U430" s="128"/>
      <c r="V430" s="135"/>
      <c r="W430" s="135"/>
      <c r="X430" s="135"/>
      <c r="Y430" s="135"/>
      <c r="Z430" s="136"/>
      <c r="AA430" s="135"/>
      <c r="AB430" s="135"/>
      <c r="AC430" s="135"/>
      <c r="AD430" s="135"/>
      <c r="AE430" s="135"/>
      <c r="AF430" s="135"/>
      <c r="AG430" s="135"/>
      <c r="AH430" s="135"/>
      <c r="AI430" s="135"/>
      <c r="AJ430" s="135"/>
    </row>
    <row r="431" spans="2:36" s="132" customFormat="1" ht="20.149999999999999" customHeight="1">
      <c r="B431" s="137"/>
      <c r="C431" s="128"/>
      <c r="D431" s="135"/>
      <c r="E431" s="135"/>
      <c r="F431" s="135"/>
      <c r="G431" s="135"/>
      <c r="H431" s="136"/>
      <c r="I431" s="135"/>
      <c r="J431" s="135"/>
      <c r="K431" s="135"/>
      <c r="L431" s="135"/>
      <c r="M431" s="135"/>
      <c r="N431" s="135"/>
      <c r="O431" s="135"/>
      <c r="P431" s="135"/>
      <c r="Q431" s="135"/>
      <c r="R431" s="135"/>
      <c r="S431" s="135"/>
      <c r="T431" s="137"/>
      <c r="U431" s="128"/>
      <c r="V431" s="135"/>
      <c r="W431" s="135"/>
      <c r="X431" s="135"/>
      <c r="Y431" s="135"/>
      <c r="Z431" s="136"/>
      <c r="AA431" s="135"/>
      <c r="AB431" s="135"/>
      <c r="AC431" s="135"/>
      <c r="AD431" s="135"/>
      <c r="AE431" s="135"/>
      <c r="AF431" s="135"/>
      <c r="AG431" s="135"/>
      <c r="AH431" s="135"/>
      <c r="AI431" s="135"/>
      <c r="AJ431" s="135"/>
    </row>
    <row r="432" spans="2:36" s="132" customFormat="1" ht="20.149999999999999" customHeight="1">
      <c r="B432" s="137"/>
      <c r="C432" s="128"/>
      <c r="D432" s="135"/>
      <c r="E432" s="135"/>
      <c r="F432" s="135"/>
      <c r="G432" s="135"/>
      <c r="H432" s="136"/>
      <c r="I432" s="135"/>
      <c r="J432" s="135"/>
      <c r="K432" s="135"/>
      <c r="L432" s="135"/>
      <c r="M432" s="135"/>
      <c r="N432" s="135"/>
      <c r="O432" s="135"/>
      <c r="P432" s="135"/>
      <c r="Q432" s="135"/>
      <c r="R432" s="135"/>
      <c r="S432" s="135"/>
      <c r="T432" s="137"/>
      <c r="U432" s="128"/>
      <c r="V432" s="135"/>
      <c r="W432" s="135"/>
      <c r="X432" s="135"/>
      <c r="Y432" s="135"/>
      <c r="Z432" s="136"/>
      <c r="AA432" s="135"/>
      <c r="AB432" s="135"/>
      <c r="AC432" s="135"/>
      <c r="AD432" s="135"/>
      <c r="AE432" s="135"/>
      <c r="AF432" s="135"/>
      <c r="AG432" s="135"/>
      <c r="AH432" s="135"/>
      <c r="AI432" s="135"/>
      <c r="AJ432" s="135"/>
    </row>
    <row r="433" spans="2:36" s="132" customFormat="1" ht="20.149999999999999" customHeight="1">
      <c r="B433" s="137"/>
      <c r="C433" s="128"/>
      <c r="D433" s="135"/>
      <c r="E433" s="135"/>
      <c r="F433" s="135"/>
      <c r="G433" s="135"/>
      <c r="H433" s="136"/>
      <c r="I433" s="135"/>
      <c r="J433" s="135"/>
      <c r="K433" s="135"/>
      <c r="L433" s="135"/>
      <c r="M433" s="135"/>
      <c r="N433" s="135"/>
      <c r="O433" s="135"/>
      <c r="P433" s="135"/>
      <c r="Q433" s="135"/>
      <c r="R433" s="135"/>
      <c r="S433" s="135"/>
      <c r="T433" s="137"/>
      <c r="U433" s="128"/>
      <c r="V433" s="135"/>
      <c r="W433" s="135"/>
      <c r="X433" s="135"/>
      <c r="Y433" s="135"/>
      <c r="Z433" s="136"/>
      <c r="AA433" s="135"/>
      <c r="AB433" s="135"/>
      <c r="AC433" s="135"/>
      <c r="AD433" s="135"/>
      <c r="AE433" s="135"/>
      <c r="AF433" s="135"/>
      <c r="AG433" s="135"/>
      <c r="AH433" s="135"/>
      <c r="AI433" s="135"/>
      <c r="AJ433" s="135"/>
    </row>
    <row r="434" spans="2:36" s="132" customFormat="1" ht="20.149999999999999" customHeight="1">
      <c r="B434" s="137"/>
      <c r="C434" s="128"/>
      <c r="D434" s="135"/>
      <c r="E434" s="135"/>
      <c r="F434" s="135"/>
      <c r="G434" s="135"/>
      <c r="H434" s="136"/>
      <c r="I434" s="135"/>
      <c r="J434" s="135"/>
      <c r="K434" s="135"/>
      <c r="L434" s="135"/>
      <c r="M434" s="135"/>
      <c r="N434" s="135"/>
      <c r="O434" s="135"/>
      <c r="P434" s="135"/>
      <c r="Q434" s="135"/>
      <c r="R434" s="135"/>
      <c r="S434" s="135"/>
      <c r="T434" s="137"/>
      <c r="U434" s="128"/>
      <c r="V434" s="135"/>
      <c r="W434" s="135"/>
      <c r="X434" s="135"/>
      <c r="Y434" s="135"/>
      <c r="Z434" s="136"/>
      <c r="AA434" s="135"/>
      <c r="AB434" s="135"/>
      <c r="AC434" s="135"/>
      <c r="AD434" s="135"/>
      <c r="AE434" s="135"/>
      <c r="AF434" s="135"/>
      <c r="AG434" s="135"/>
      <c r="AH434" s="135"/>
      <c r="AI434" s="135"/>
      <c r="AJ434" s="135"/>
    </row>
    <row r="435" spans="2:36" s="132" customFormat="1" ht="20.149999999999999" customHeight="1">
      <c r="B435" s="137"/>
      <c r="C435" s="128"/>
      <c r="D435" s="135"/>
      <c r="E435" s="135"/>
      <c r="F435" s="135"/>
      <c r="G435" s="135"/>
      <c r="H435" s="136"/>
      <c r="I435" s="135"/>
      <c r="J435" s="135"/>
      <c r="K435" s="135"/>
      <c r="L435" s="135"/>
      <c r="M435" s="135"/>
      <c r="N435" s="135"/>
      <c r="O435" s="135"/>
      <c r="P435" s="135"/>
      <c r="Q435" s="135"/>
      <c r="R435" s="135"/>
      <c r="S435" s="135"/>
      <c r="T435" s="137"/>
      <c r="U435" s="128"/>
      <c r="V435" s="135"/>
      <c r="W435" s="135"/>
      <c r="X435" s="135"/>
      <c r="Y435" s="135"/>
      <c r="Z435" s="136"/>
      <c r="AA435" s="135"/>
      <c r="AB435" s="135"/>
      <c r="AC435" s="135"/>
      <c r="AD435" s="135"/>
      <c r="AE435" s="135"/>
      <c r="AF435" s="135"/>
      <c r="AG435" s="135"/>
      <c r="AH435" s="135"/>
      <c r="AI435" s="135"/>
      <c r="AJ435" s="135"/>
    </row>
    <row r="436" spans="2:36" s="132" customFormat="1" ht="20.149999999999999" customHeight="1">
      <c r="B436" s="137"/>
      <c r="C436" s="128"/>
      <c r="D436" s="135"/>
      <c r="E436" s="135"/>
      <c r="F436" s="135"/>
      <c r="G436" s="135"/>
      <c r="H436" s="136"/>
      <c r="I436" s="135"/>
      <c r="J436" s="135"/>
      <c r="K436" s="135"/>
      <c r="L436" s="135"/>
      <c r="M436" s="135"/>
      <c r="N436" s="135"/>
      <c r="O436" s="135"/>
      <c r="P436" s="135"/>
      <c r="Q436" s="135"/>
      <c r="R436" s="135"/>
      <c r="S436" s="135"/>
      <c r="T436" s="137"/>
      <c r="U436" s="128"/>
      <c r="V436" s="135"/>
      <c r="W436" s="135"/>
      <c r="X436" s="135"/>
      <c r="Y436" s="135"/>
      <c r="Z436" s="136"/>
      <c r="AA436" s="135"/>
      <c r="AB436" s="135"/>
      <c r="AC436" s="135"/>
      <c r="AD436" s="135"/>
      <c r="AE436" s="135"/>
      <c r="AF436" s="135"/>
      <c r="AG436" s="135"/>
      <c r="AH436" s="135"/>
      <c r="AI436" s="135"/>
      <c r="AJ436" s="135"/>
    </row>
    <row r="437" spans="2:36" s="132" customFormat="1" ht="20.149999999999999" customHeight="1">
      <c r="B437" s="137"/>
      <c r="C437" s="128"/>
      <c r="D437" s="135"/>
      <c r="E437" s="135"/>
      <c r="F437" s="135"/>
      <c r="G437" s="135"/>
      <c r="H437" s="136"/>
      <c r="I437" s="135"/>
      <c r="J437" s="135"/>
      <c r="K437" s="135"/>
      <c r="L437" s="135"/>
      <c r="M437" s="135"/>
      <c r="N437" s="135"/>
      <c r="O437" s="135"/>
      <c r="P437" s="135"/>
      <c r="Q437" s="135"/>
      <c r="R437" s="135"/>
      <c r="S437" s="135"/>
      <c r="T437" s="137"/>
      <c r="U437" s="128"/>
      <c r="V437" s="135"/>
      <c r="W437" s="135"/>
      <c r="X437" s="135"/>
      <c r="Y437" s="135"/>
      <c r="Z437" s="136"/>
      <c r="AA437" s="135"/>
      <c r="AB437" s="135"/>
      <c r="AC437" s="135"/>
      <c r="AD437" s="135"/>
      <c r="AE437" s="135"/>
      <c r="AF437" s="135"/>
      <c r="AG437" s="135"/>
      <c r="AH437" s="135"/>
      <c r="AI437" s="135"/>
      <c r="AJ437" s="135"/>
    </row>
    <row r="438" spans="2:36" s="132" customFormat="1" ht="20.149999999999999" customHeight="1">
      <c r="B438" s="137"/>
      <c r="C438" s="128"/>
      <c r="D438" s="135"/>
      <c r="E438" s="135"/>
      <c r="F438" s="135"/>
      <c r="G438" s="135"/>
      <c r="H438" s="136"/>
      <c r="I438" s="135"/>
      <c r="J438" s="135"/>
      <c r="K438" s="135"/>
      <c r="L438" s="135"/>
      <c r="M438" s="135"/>
      <c r="N438" s="135"/>
      <c r="O438" s="135"/>
      <c r="P438" s="135"/>
      <c r="Q438" s="135"/>
      <c r="R438" s="135"/>
      <c r="S438" s="135"/>
      <c r="T438" s="137"/>
      <c r="U438" s="128"/>
      <c r="V438" s="135"/>
      <c r="W438" s="135"/>
      <c r="X438" s="135"/>
      <c r="Y438" s="135"/>
      <c r="Z438" s="136"/>
      <c r="AA438" s="135"/>
      <c r="AB438" s="135"/>
      <c r="AC438" s="135"/>
      <c r="AD438" s="135"/>
      <c r="AE438" s="135"/>
      <c r="AF438" s="135"/>
      <c r="AG438" s="135"/>
      <c r="AH438" s="135"/>
      <c r="AI438" s="135"/>
      <c r="AJ438" s="135"/>
    </row>
    <row r="439" spans="2:36" s="132" customFormat="1" ht="20.149999999999999" customHeight="1">
      <c r="B439" s="137"/>
      <c r="C439" s="128"/>
      <c r="D439" s="135"/>
      <c r="E439" s="135"/>
      <c r="F439" s="135"/>
      <c r="G439" s="135"/>
      <c r="H439" s="136"/>
      <c r="I439" s="135"/>
      <c r="J439" s="135"/>
      <c r="K439" s="135"/>
      <c r="L439" s="135"/>
      <c r="M439" s="135"/>
      <c r="N439" s="135"/>
      <c r="O439" s="135"/>
      <c r="P439" s="135"/>
      <c r="Q439" s="135"/>
      <c r="R439" s="135"/>
      <c r="S439" s="135"/>
      <c r="T439" s="137"/>
      <c r="U439" s="128"/>
      <c r="V439" s="135"/>
      <c r="W439" s="135"/>
      <c r="X439" s="135"/>
      <c r="Y439" s="135"/>
      <c r="Z439" s="136"/>
      <c r="AA439" s="135"/>
      <c r="AB439" s="135"/>
      <c r="AC439" s="135"/>
      <c r="AD439" s="135"/>
      <c r="AE439" s="135"/>
      <c r="AF439" s="135"/>
      <c r="AG439" s="135"/>
      <c r="AH439" s="135"/>
      <c r="AI439" s="135"/>
      <c r="AJ439" s="135"/>
    </row>
    <row r="440" spans="2:36" s="132" customFormat="1" ht="20.149999999999999" customHeight="1">
      <c r="B440" s="137"/>
      <c r="C440" s="128"/>
      <c r="D440" s="135"/>
      <c r="E440" s="135"/>
      <c r="F440" s="135"/>
      <c r="G440" s="135"/>
      <c r="H440" s="136"/>
      <c r="I440" s="135"/>
      <c r="J440" s="135"/>
      <c r="K440" s="135"/>
      <c r="L440" s="135"/>
      <c r="M440" s="135"/>
      <c r="N440" s="135"/>
      <c r="O440" s="135"/>
      <c r="P440" s="135"/>
      <c r="Q440" s="135"/>
      <c r="R440" s="135"/>
      <c r="S440" s="135"/>
      <c r="T440" s="137"/>
      <c r="U440" s="128"/>
      <c r="V440" s="135"/>
      <c r="W440" s="135"/>
      <c r="X440" s="135"/>
      <c r="Y440" s="135"/>
      <c r="Z440" s="136"/>
      <c r="AA440" s="135"/>
      <c r="AB440" s="135"/>
      <c r="AC440" s="135"/>
      <c r="AD440" s="135"/>
      <c r="AE440" s="135"/>
      <c r="AF440" s="135"/>
      <c r="AG440" s="135"/>
      <c r="AH440" s="135"/>
      <c r="AI440" s="135"/>
      <c r="AJ440" s="135"/>
    </row>
    <row r="441" spans="2:36" s="132" customFormat="1" ht="20.149999999999999" customHeight="1">
      <c r="B441" s="137"/>
      <c r="C441" s="128"/>
      <c r="D441" s="135"/>
      <c r="E441" s="135"/>
      <c r="F441" s="135"/>
      <c r="G441" s="135"/>
      <c r="H441" s="136"/>
      <c r="I441" s="135"/>
      <c r="J441" s="135"/>
      <c r="K441" s="135"/>
      <c r="L441" s="135"/>
      <c r="M441" s="135"/>
      <c r="N441" s="135"/>
      <c r="O441" s="135"/>
      <c r="P441" s="135"/>
      <c r="Q441" s="135"/>
      <c r="R441" s="135"/>
      <c r="S441" s="135"/>
      <c r="T441" s="137"/>
      <c r="U441" s="128"/>
      <c r="V441" s="135"/>
      <c r="W441" s="135"/>
      <c r="X441" s="135"/>
      <c r="Y441" s="135"/>
      <c r="Z441" s="136"/>
      <c r="AA441" s="135"/>
      <c r="AB441" s="135"/>
      <c r="AC441" s="135"/>
      <c r="AD441" s="135"/>
      <c r="AE441" s="135"/>
      <c r="AF441" s="135"/>
      <c r="AG441" s="135"/>
      <c r="AH441" s="135"/>
      <c r="AI441" s="135"/>
      <c r="AJ441" s="135"/>
    </row>
    <row r="442" spans="2:36" s="132" customFormat="1" ht="20.149999999999999" customHeight="1">
      <c r="B442" s="137"/>
      <c r="C442" s="128"/>
      <c r="D442" s="135"/>
      <c r="E442" s="135"/>
      <c r="F442" s="135"/>
      <c r="G442" s="135"/>
      <c r="H442" s="136"/>
      <c r="I442" s="135"/>
      <c r="J442" s="135"/>
      <c r="K442" s="135"/>
      <c r="L442" s="135"/>
      <c r="M442" s="135"/>
      <c r="N442" s="135"/>
      <c r="O442" s="135"/>
      <c r="P442" s="135"/>
      <c r="Q442" s="135"/>
      <c r="R442" s="135"/>
      <c r="S442" s="135"/>
      <c r="T442" s="137"/>
      <c r="U442" s="128"/>
      <c r="V442" s="135"/>
      <c r="W442" s="135"/>
      <c r="X442" s="135"/>
      <c r="Y442" s="135"/>
      <c r="Z442" s="136"/>
      <c r="AA442" s="135"/>
      <c r="AB442" s="135"/>
      <c r="AC442" s="135"/>
      <c r="AD442" s="135"/>
      <c r="AE442" s="135"/>
      <c r="AF442" s="135"/>
      <c r="AG442" s="135"/>
      <c r="AH442" s="135"/>
      <c r="AI442" s="135"/>
      <c r="AJ442" s="135"/>
    </row>
    <row r="443" spans="2:36" s="132" customFormat="1" ht="20.149999999999999" customHeight="1">
      <c r="B443" s="137"/>
      <c r="C443" s="128"/>
      <c r="D443" s="135"/>
      <c r="E443" s="135"/>
      <c r="F443" s="135"/>
      <c r="G443" s="135"/>
      <c r="H443" s="136"/>
      <c r="I443" s="135"/>
      <c r="J443" s="135"/>
      <c r="K443" s="135"/>
      <c r="L443" s="135"/>
      <c r="M443" s="135"/>
      <c r="N443" s="135"/>
      <c r="O443" s="135"/>
      <c r="P443" s="135"/>
      <c r="Q443" s="135"/>
      <c r="R443" s="135"/>
      <c r="S443" s="135"/>
      <c r="T443" s="137"/>
      <c r="U443" s="128"/>
      <c r="V443" s="135"/>
      <c r="W443" s="135"/>
      <c r="X443" s="135"/>
      <c r="Y443" s="135"/>
      <c r="Z443" s="136"/>
      <c r="AA443" s="135"/>
      <c r="AB443" s="135"/>
      <c r="AC443" s="135"/>
      <c r="AD443" s="135"/>
      <c r="AE443" s="135"/>
      <c r="AF443" s="135"/>
      <c r="AG443" s="135"/>
      <c r="AH443" s="135"/>
      <c r="AI443" s="135"/>
      <c r="AJ443" s="135"/>
    </row>
    <row r="444" spans="2:36" s="132" customFormat="1" ht="20.149999999999999" customHeight="1">
      <c r="B444" s="137"/>
      <c r="C444" s="128"/>
      <c r="D444" s="135"/>
      <c r="E444" s="135"/>
      <c r="F444" s="135"/>
      <c r="G444" s="135"/>
      <c r="H444" s="136"/>
      <c r="I444" s="135"/>
      <c r="J444" s="135"/>
      <c r="K444" s="135"/>
      <c r="L444" s="135"/>
      <c r="M444" s="135"/>
      <c r="N444" s="135"/>
      <c r="O444" s="135"/>
      <c r="P444" s="135"/>
      <c r="Q444" s="135"/>
      <c r="R444" s="135"/>
      <c r="S444" s="135"/>
      <c r="T444" s="137"/>
      <c r="U444" s="128"/>
      <c r="V444" s="135"/>
      <c r="W444" s="135"/>
      <c r="X444" s="135"/>
      <c r="Y444" s="135"/>
      <c r="Z444" s="136"/>
      <c r="AA444" s="135"/>
      <c r="AB444" s="135"/>
      <c r="AC444" s="135"/>
      <c r="AD444" s="135"/>
      <c r="AE444" s="135"/>
      <c r="AF444" s="135"/>
      <c r="AG444" s="135"/>
      <c r="AH444" s="135"/>
      <c r="AI444" s="135"/>
      <c r="AJ444" s="135"/>
    </row>
    <row r="445" spans="2:36" s="132" customFormat="1" ht="20.149999999999999" customHeight="1">
      <c r="B445" s="137"/>
      <c r="C445" s="128"/>
      <c r="D445" s="135"/>
      <c r="E445" s="135"/>
      <c r="F445" s="135"/>
      <c r="G445" s="135"/>
      <c r="H445" s="136"/>
      <c r="I445" s="135"/>
      <c r="J445" s="135"/>
      <c r="K445" s="135"/>
      <c r="L445" s="135"/>
      <c r="M445" s="135"/>
      <c r="N445" s="135"/>
      <c r="O445" s="135"/>
      <c r="P445" s="135"/>
      <c r="Q445" s="135"/>
      <c r="R445" s="135"/>
      <c r="S445" s="135"/>
      <c r="T445" s="137"/>
      <c r="U445" s="128"/>
      <c r="V445" s="135"/>
      <c r="W445" s="135"/>
      <c r="X445" s="135"/>
      <c r="Y445" s="135"/>
      <c r="Z445" s="136"/>
      <c r="AA445" s="135"/>
      <c r="AB445" s="135"/>
      <c r="AC445" s="135"/>
      <c r="AD445" s="135"/>
      <c r="AE445" s="135"/>
      <c r="AF445" s="135"/>
      <c r="AG445" s="135"/>
      <c r="AH445" s="135"/>
      <c r="AI445" s="135"/>
      <c r="AJ445" s="135"/>
    </row>
    <row r="446" spans="2:36" s="132" customFormat="1" ht="20.149999999999999" customHeight="1">
      <c r="B446" s="137"/>
      <c r="C446" s="128"/>
      <c r="D446" s="135"/>
      <c r="E446" s="135"/>
      <c r="F446" s="135"/>
      <c r="G446" s="135"/>
      <c r="H446" s="136"/>
      <c r="I446" s="135"/>
      <c r="J446" s="135"/>
      <c r="K446" s="135"/>
      <c r="L446" s="135"/>
      <c r="M446" s="135"/>
      <c r="N446" s="135"/>
      <c r="O446" s="135"/>
      <c r="P446" s="135"/>
      <c r="Q446" s="135"/>
      <c r="R446" s="135"/>
      <c r="S446" s="135"/>
      <c r="T446" s="137"/>
      <c r="U446" s="128"/>
      <c r="V446" s="135"/>
      <c r="W446" s="135"/>
      <c r="X446" s="135"/>
      <c r="Y446" s="135"/>
      <c r="Z446" s="136"/>
      <c r="AA446" s="135"/>
      <c r="AB446" s="135"/>
      <c r="AC446" s="135"/>
      <c r="AD446" s="135"/>
      <c r="AE446" s="135"/>
      <c r="AF446" s="135"/>
      <c r="AG446" s="135"/>
      <c r="AH446" s="135"/>
      <c r="AI446" s="135"/>
      <c r="AJ446" s="135"/>
    </row>
    <row r="447" spans="2:36" s="132" customFormat="1" ht="20.149999999999999" customHeight="1">
      <c r="B447" s="137"/>
      <c r="C447" s="128"/>
      <c r="D447" s="135"/>
      <c r="E447" s="135"/>
      <c r="F447" s="135"/>
      <c r="G447" s="135"/>
      <c r="H447" s="136"/>
      <c r="I447" s="135"/>
      <c r="J447" s="135"/>
      <c r="K447" s="135"/>
      <c r="L447" s="135"/>
      <c r="M447" s="135"/>
      <c r="N447" s="135"/>
      <c r="O447" s="135"/>
      <c r="P447" s="135"/>
      <c r="Q447" s="135"/>
      <c r="R447" s="135"/>
      <c r="S447" s="135"/>
      <c r="T447" s="137"/>
      <c r="U447" s="128"/>
      <c r="V447" s="135"/>
      <c r="W447" s="135"/>
      <c r="X447" s="135"/>
      <c r="Y447" s="135"/>
      <c r="Z447" s="136"/>
      <c r="AA447" s="135"/>
      <c r="AB447" s="135"/>
      <c r="AC447" s="135"/>
      <c r="AD447" s="135"/>
      <c r="AE447" s="135"/>
      <c r="AF447" s="135"/>
      <c r="AG447" s="135"/>
      <c r="AH447" s="135"/>
      <c r="AI447" s="135"/>
      <c r="AJ447" s="135"/>
    </row>
    <row r="448" spans="2:36" s="132" customFormat="1" ht="20.149999999999999" customHeight="1">
      <c r="B448" s="137"/>
      <c r="C448" s="128"/>
      <c r="D448" s="135"/>
      <c r="E448" s="135"/>
      <c r="F448" s="135"/>
      <c r="G448" s="135"/>
      <c r="H448" s="136"/>
      <c r="I448" s="135"/>
      <c r="J448" s="135"/>
      <c r="K448" s="135"/>
      <c r="L448" s="135"/>
      <c r="M448" s="135"/>
      <c r="N448" s="135"/>
      <c r="O448" s="135"/>
      <c r="P448" s="135"/>
      <c r="Q448" s="135"/>
      <c r="R448" s="135"/>
      <c r="S448" s="135"/>
      <c r="T448" s="137"/>
      <c r="U448" s="128"/>
      <c r="V448" s="135"/>
      <c r="W448" s="135"/>
      <c r="X448" s="135"/>
      <c r="Y448" s="135"/>
      <c r="Z448" s="136"/>
      <c r="AA448" s="135"/>
      <c r="AB448" s="135"/>
      <c r="AC448" s="135"/>
      <c r="AD448" s="135"/>
      <c r="AE448" s="135"/>
      <c r="AF448" s="135"/>
      <c r="AG448" s="135"/>
      <c r="AH448" s="135"/>
      <c r="AI448" s="135"/>
      <c r="AJ448" s="135"/>
    </row>
    <row r="449" spans="2:36" s="132" customFormat="1" ht="20.149999999999999" customHeight="1">
      <c r="B449" s="137"/>
      <c r="C449" s="128"/>
      <c r="D449" s="135"/>
      <c r="E449" s="135"/>
      <c r="F449" s="135"/>
      <c r="G449" s="135"/>
      <c r="H449" s="136"/>
      <c r="I449" s="135"/>
      <c r="J449" s="135"/>
      <c r="K449" s="135"/>
      <c r="L449" s="135"/>
      <c r="M449" s="135"/>
      <c r="N449" s="135"/>
      <c r="O449" s="135"/>
      <c r="P449" s="135"/>
      <c r="Q449" s="135"/>
      <c r="R449" s="135"/>
      <c r="S449" s="135"/>
      <c r="T449" s="137"/>
      <c r="U449" s="128"/>
      <c r="V449" s="135"/>
      <c r="W449" s="135"/>
      <c r="X449" s="135"/>
      <c r="Y449" s="135"/>
      <c r="Z449" s="136"/>
      <c r="AA449" s="135"/>
      <c r="AB449" s="135"/>
      <c r="AC449" s="135"/>
      <c r="AD449" s="135"/>
      <c r="AE449" s="135"/>
      <c r="AF449" s="135"/>
      <c r="AG449" s="135"/>
      <c r="AH449" s="135"/>
      <c r="AI449" s="135"/>
      <c r="AJ449" s="135"/>
    </row>
    <row r="450" spans="2:36" s="132" customFormat="1" ht="20.149999999999999" customHeight="1">
      <c r="B450" s="137"/>
      <c r="C450" s="128"/>
      <c r="D450" s="135"/>
      <c r="E450" s="135"/>
      <c r="F450" s="135"/>
      <c r="G450" s="135"/>
      <c r="H450" s="136"/>
      <c r="I450" s="135"/>
      <c r="J450" s="135"/>
      <c r="K450" s="135"/>
      <c r="L450" s="135"/>
      <c r="M450" s="135"/>
      <c r="N450" s="135"/>
      <c r="O450" s="135"/>
      <c r="P450" s="135"/>
      <c r="Q450" s="135"/>
      <c r="R450" s="135"/>
      <c r="S450" s="135"/>
      <c r="T450" s="137"/>
      <c r="U450" s="128"/>
      <c r="V450" s="135"/>
      <c r="W450" s="135"/>
      <c r="X450" s="135"/>
      <c r="Y450" s="135"/>
      <c r="Z450" s="136"/>
      <c r="AA450" s="135"/>
      <c r="AB450" s="135"/>
      <c r="AC450" s="135"/>
      <c r="AD450" s="135"/>
      <c r="AE450" s="135"/>
      <c r="AF450" s="135"/>
      <c r="AG450" s="135"/>
      <c r="AH450" s="135"/>
      <c r="AI450" s="135"/>
      <c r="AJ450" s="135"/>
    </row>
    <row r="451" spans="2:36" s="132" customFormat="1" ht="20.149999999999999" customHeight="1">
      <c r="B451" s="137"/>
      <c r="C451" s="128"/>
      <c r="D451" s="135"/>
      <c r="E451" s="135"/>
      <c r="F451" s="135"/>
      <c r="G451" s="135"/>
      <c r="H451" s="136"/>
      <c r="I451" s="135"/>
      <c r="J451" s="135"/>
      <c r="K451" s="135"/>
      <c r="L451" s="135"/>
      <c r="M451" s="135"/>
      <c r="N451" s="135"/>
      <c r="O451" s="135"/>
      <c r="P451" s="135"/>
      <c r="Q451" s="135"/>
      <c r="R451" s="135"/>
      <c r="S451" s="135"/>
      <c r="T451" s="137"/>
      <c r="U451" s="128"/>
      <c r="V451" s="135"/>
      <c r="W451" s="135"/>
      <c r="X451" s="135"/>
      <c r="Y451" s="135"/>
      <c r="Z451" s="136"/>
      <c r="AA451" s="135"/>
      <c r="AB451" s="135"/>
      <c r="AC451" s="135"/>
      <c r="AD451" s="135"/>
      <c r="AE451" s="135"/>
      <c r="AF451" s="135"/>
      <c r="AG451" s="135"/>
      <c r="AH451" s="135"/>
      <c r="AI451" s="135"/>
      <c r="AJ451" s="135"/>
    </row>
    <row r="452" spans="2:36" s="132" customFormat="1" ht="20.149999999999999" customHeight="1">
      <c r="B452" s="137"/>
      <c r="C452" s="128"/>
      <c r="D452" s="135"/>
      <c r="E452" s="135"/>
      <c r="F452" s="135"/>
      <c r="G452" s="135"/>
      <c r="H452" s="136"/>
      <c r="I452" s="135"/>
      <c r="J452" s="135"/>
      <c r="K452" s="135"/>
      <c r="L452" s="135"/>
      <c r="M452" s="135"/>
      <c r="N452" s="135"/>
      <c r="O452" s="135"/>
      <c r="P452" s="135"/>
      <c r="Q452" s="135"/>
      <c r="R452" s="135"/>
      <c r="S452" s="135"/>
      <c r="T452" s="137"/>
      <c r="U452" s="128"/>
      <c r="V452" s="135"/>
      <c r="W452" s="135"/>
      <c r="X452" s="135"/>
      <c r="Y452" s="135"/>
      <c r="Z452" s="136"/>
      <c r="AA452" s="135"/>
      <c r="AB452" s="135"/>
      <c r="AC452" s="135"/>
      <c r="AD452" s="135"/>
      <c r="AE452" s="135"/>
      <c r="AF452" s="135"/>
      <c r="AG452" s="135"/>
      <c r="AH452" s="135"/>
      <c r="AI452" s="135"/>
      <c r="AJ452" s="135"/>
    </row>
    <row r="453" spans="2:36" s="132" customFormat="1" ht="20.149999999999999" customHeight="1">
      <c r="B453" s="137"/>
      <c r="C453" s="128"/>
      <c r="D453" s="135"/>
      <c r="E453" s="135"/>
      <c r="F453" s="135"/>
      <c r="G453" s="135"/>
      <c r="H453" s="136"/>
      <c r="I453" s="135"/>
      <c r="J453" s="135"/>
      <c r="K453" s="135"/>
      <c r="L453" s="135"/>
      <c r="M453" s="135"/>
      <c r="N453" s="135"/>
      <c r="O453" s="135"/>
      <c r="P453" s="135"/>
      <c r="Q453" s="135"/>
      <c r="R453" s="135"/>
      <c r="S453" s="135"/>
      <c r="T453" s="137"/>
      <c r="U453" s="128"/>
      <c r="V453" s="135"/>
      <c r="W453" s="135"/>
      <c r="X453" s="135"/>
      <c r="Y453" s="135"/>
      <c r="Z453" s="136"/>
      <c r="AA453" s="135"/>
      <c r="AB453" s="135"/>
      <c r="AC453" s="135"/>
      <c r="AD453" s="135"/>
      <c r="AE453" s="135"/>
      <c r="AF453" s="135"/>
      <c r="AG453" s="135"/>
      <c r="AH453" s="135"/>
      <c r="AI453" s="135"/>
      <c r="AJ453" s="135"/>
    </row>
    <row r="454" spans="2:36" s="132" customFormat="1" ht="20.149999999999999" customHeight="1">
      <c r="B454" s="137"/>
      <c r="C454" s="128"/>
      <c r="D454" s="135"/>
      <c r="E454" s="135"/>
      <c r="F454" s="135"/>
      <c r="G454" s="135"/>
      <c r="H454" s="136"/>
      <c r="I454" s="135"/>
      <c r="J454" s="135"/>
      <c r="K454" s="135"/>
      <c r="L454" s="135"/>
      <c r="M454" s="135"/>
      <c r="N454" s="135"/>
      <c r="O454" s="135"/>
      <c r="P454" s="135"/>
      <c r="Q454" s="135"/>
      <c r="R454" s="135"/>
      <c r="S454" s="135"/>
      <c r="T454" s="137"/>
      <c r="U454" s="128"/>
      <c r="V454" s="135"/>
      <c r="W454" s="135"/>
      <c r="X454" s="135"/>
      <c r="Y454" s="135"/>
      <c r="Z454" s="136"/>
      <c r="AA454" s="135"/>
      <c r="AB454" s="135"/>
      <c r="AC454" s="135"/>
      <c r="AD454" s="135"/>
      <c r="AE454" s="135"/>
      <c r="AF454" s="135"/>
      <c r="AG454" s="135"/>
      <c r="AH454" s="135"/>
      <c r="AI454" s="135"/>
      <c r="AJ454" s="135"/>
    </row>
    <row r="455" spans="2:36" s="132" customFormat="1" ht="20.149999999999999" customHeight="1">
      <c r="B455" s="137"/>
      <c r="C455" s="128"/>
      <c r="D455" s="135"/>
      <c r="E455" s="135"/>
      <c r="F455" s="135"/>
      <c r="G455" s="135"/>
      <c r="H455" s="136"/>
      <c r="I455" s="135"/>
      <c r="J455" s="135"/>
      <c r="K455" s="135"/>
      <c r="L455" s="135"/>
      <c r="M455" s="135"/>
      <c r="N455" s="135"/>
      <c r="O455" s="135"/>
      <c r="P455" s="135"/>
      <c r="Q455" s="135"/>
      <c r="R455" s="135"/>
      <c r="S455" s="135"/>
      <c r="T455" s="137"/>
      <c r="U455" s="128"/>
      <c r="V455" s="135"/>
      <c r="W455" s="135"/>
      <c r="X455" s="135"/>
      <c r="Y455" s="135"/>
      <c r="Z455" s="136"/>
      <c r="AA455" s="135"/>
      <c r="AB455" s="135"/>
      <c r="AC455" s="135"/>
      <c r="AD455" s="135"/>
      <c r="AE455" s="135"/>
      <c r="AF455" s="135"/>
      <c r="AG455" s="135"/>
      <c r="AH455" s="135"/>
      <c r="AI455" s="135"/>
      <c r="AJ455" s="135"/>
    </row>
    <row r="456" spans="2:36" s="132" customFormat="1" ht="20.149999999999999" customHeight="1">
      <c r="B456" s="137"/>
      <c r="C456" s="128"/>
      <c r="D456" s="135"/>
      <c r="E456" s="135"/>
      <c r="F456" s="135"/>
      <c r="G456" s="135"/>
      <c r="H456" s="136"/>
      <c r="I456" s="135"/>
      <c r="J456" s="135"/>
      <c r="K456" s="135"/>
      <c r="L456" s="135"/>
      <c r="M456" s="135"/>
      <c r="N456" s="135"/>
      <c r="O456" s="135"/>
      <c r="P456" s="135"/>
      <c r="Q456" s="135"/>
      <c r="R456" s="135"/>
      <c r="S456" s="135"/>
      <c r="T456" s="137"/>
      <c r="U456" s="128"/>
      <c r="V456" s="135"/>
      <c r="W456" s="135"/>
      <c r="X456" s="135"/>
      <c r="Y456" s="135"/>
      <c r="Z456" s="136"/>
      <c r="AA456" s="135"/>
      <c r="AB456" s="135"/>
      <c r="AC456" s="135"/>
      <c r="AD456" s="135"/>
      <c r="AE456" s="135"/>
      <c r="AF456" s="135"/>
      <c r="AG456" s="135"/>
      <c r="AH456" s="135"/>
      <c r="AI456" s="135"/>
      <c r="AJ456" s="135"/>
    </row>
    <row r="457" spans="2:36" s="132" customFormat="1" ht="20.149999999999999" customHeight="1">
      <c r="B457" s="137"/>
      <c r="C457" s="128"/>
      <c r="D457" s="135"/>
      <c r="E457" s="135"/>
      <c r="F457" s="135"/>
      <c r="G457" s="135"/>
      <c r="H457" s="136"/>
      <c r="I457" s="135"/>
      <c r="J457" s="135"/>
      <c r="K457" s="135"/>
      <c r="L457" s="135"/>
      <c r="M457" s="135"/>
      <c r="N457" s="135"/>
      <c r="O457" s="135"/>
      <c r="P457" s="135"/>
      <c r="Q457" s="135"/>
      <c r="R457" s="135"/>
      <c r="S457" s="135"/>
      <c r="T457" s="137"/>
      <c r="U457" s="128"/>
      <c r="V457" s="135"/>
      <c r="W457" s="135"/>
      <c r="X457" s="135"/>
      <c r="Y457" s="135"/>
      <c r="Z457" s="136"/>
      <c r="AA457" s="135"/>
      <c r="AB457" s="135"/>
      <c r="AC457" s="135"/>
      <c r="AD457" s="135"/>
      <c r="AE457" s="135"/>
      <c r="AF457" s="135"/>
      <c r="AG457" s="135"/>
      <c r="AH457" s="135"/>
      <c r="AI457" s="135"/>
      <c r="AJ457" s="135"/>
    </row>
    <row r="458" spans="2:36" s="132" customFormat="1" ht="20.149999999999999" customHeight="1">
      <c r="B458" s="137"/>
      <c r="C458" s="128"/>
      <c r="D458" s="135"/>
      <c r="E458" s="135"/>
      <c r="F458" s="135"/>
      <c r="G458" s="135"/>
      <c r="H458" s="136"/>
      <c r="I458" s="135"/>
      <c r="J458" s="135"/>
      <c r="K458" s="135"/>
      <c r="L458" s="135"/>
      <c r="M458" s="135"/>
      <c r="N458" s="135"/>
      <c r="O458" s="135"/>
      <c r="P458" s="135"/>
      <c r="Q458" s="135"/>
      <c r="R458" s="135"/>
      <c r="S458" s="135"/>
      <c r="T458" s="137"/>
      <c r="U458" s="128"/>
      <c r="V458" s="135"/>
      <c r="W458" s="135"/>
      <c r="X458" s="135"/>
      <c r="Y458" s="135"/>
      <c r="Z458" s="136"/>
      <c r="AA458" s="135"/>
      <c r="AB458" s="135"/>
      <c r="AC458" s="135"/>
      <c r="AD458" s="135"/>
      <c r="AE458" s="135"/>
      <c r="AF458" s="135"/>
      <c r="AG458" s="135"/>
      <c r="AH458" s="135"/>
      <c r="AI458" s="135"/>
      <c r="AJ458" s="135"/>
    </row>
    <row r="459" spans="2:36" s="132" customFormat="1" ht="20.149999999999999" customHeight="1">
      <c r="B459" s="137"/>
      <c r="C459" s="128"/>
      <c r="D459" s="135"/>
      <c r="E459" s="135"/>
      <c r="F459" s="135"/>
      <c r="G459" s="135"/>
      <c r="H459" s="136"/>
      <c r="I459" s="135"/>
      <c r="J459" s="135"/>
      <c r="K459" s="135"/>
      <c r="L459" s="135"/>
      <c r="M459" s="135"/>
      <c r="N459" s="135"/>
      <c r="O459" s="135"/>
      <c r="P459" s="135"/>
      <c r="Q459" s="135"/>
      <c r="R459" s="135"/>
      <c r="S459" s="135"/>
      <c r="T459" s="137"/>
      <c r="U459" s="128"/>
      <c r="V459" s="135"/>
      <c r="W459" s="135"/>
      <c r="X459" s="135"/>
      <c r="Y459" s="135"/>
      <c r="Z459" s="136"/>
      <c r="AA459" s="135"/>
      <c r="AB459" s="135"/>
      <c r="AC459" s="135"/>
      <c r="AD459" s="135"/>
      <c r="AE459" s="135"/>
      <c r="AF459" s="135"/>
      <c r="AG459" s="135"/>
      <c r="AH459" s="135"/>
      <c r="AI459" s="135"/>
      <c r="AJ459" s="135"/>
    </row>
    <row r="460" spans="2:36" s="132" customFormat="1" ht="20.149999999999999" customHeight="1">
      <c r="B460" s="137"/>
      <c r="C460" s="128"/>
      <c r="D460" s="135"/>
      <c r="E460" s="135"/>
      <c r="F460" s="135"/>
      <c r="G460" s="135"/>
      <c r="H460" s="136"/>
      <c r="I460" s="135"/>
      <c r="J460" s="135"/>
      <c r="K460" s="135"/>
      <c r="L460" s="135"/>
      <c r="M460" s="135"/>
      <c r="N460" s="135"/>
      <c r="O460" s="135"/>
      <c r="P460" s="135"/>
      <c r="Q460" s="135"/>
      <c r="R460" s="135"/>
      <c r="S460" s="135"/>
      <c r="T460" s="137"/>
      <c r="U460" s="128"/>
      <c r="V460" s="135"/>
      <c r="W460" s="135"/>
      <c r="X460" s="135"/>
      <c r="Y460" s="135"/>
      <c r="Z460" s="136"/>
      <c r="AA460" s="135"/>
      <c r="AB460" s="135"/>
      <c r="AC460" s="135"/>
      <c r="AD460" s="135"/>
      <c r="AE460" s="135"/>
      <c r="AF460" s="135"/>
      <c r="AG460" s="135"/>
      <c r="AH460" s="135"/>
      <c r="AI460" s="135"/>
      <c r="AJ460" s="135"/>
    </row>
    <row r="461" spans="2:36" s="132" customFormat="1" ht="20.149999999999999" customHeight="1">
      <c r="B461" s="137"/>
      <c r="C461" s="128"/>
      <c r="D461" s="135"/>
      <c r="E461" s="135"/>
      <c r="F461" s="135"/>
      <c r="G461" s="135"/>
      <c r="H461" s="136"/>
      <c r="I461" s="135"/>
      <c r="J461" s="135"/>
      <c r="K461" s="135"/>
      <c r="L461" s="135"/>
      <c r="M461" s="135"/>
      <c r="N461" s="135"/>
      <c r="O461" s="135"/>
      <c r="P461" s="135"/>
      <c r="Q461" s="135"/>
      <c r="R461" s="135"/>
      <c r="S461" s="135"/>
      <c r="T461" s="137"/>
      <c r="U461" s="128"/>
      <c r="V461" s="135"/>
      <c r="W461" s="135"/>
      <c r="X461" s="135"/>
      <c r="Y461" s="135"/>
      <c r="Z461" s="136"/>
      <c r="AA461" s="135"/>
      <c r="AB461" s="135"/>
      <c r="AC461" s="135"/>
      <c r="AD461" s="135"/>
      <c r="AE461" s="135"/>
      <c r="AF461" s="135"/>
      <c r="AG461" s="135"/>
      <c r="AH461" s="135"/>
      <c r="AI461" s="135"/>
      <c r="AJ461" s="135"/>
    </row>
    <row r="462" spans="2:36" s="132" customFormat="1" ht="20.149999999999999" customHeight="1">
      <c r="B462" s="137"/>
      <c r="C462" s="128"/>
      <c r="D462" s="135"/>
      <c r="E462" s="135"/>
      <c r="F462" s="135"/>
      <c r="G462" s="135"/>
      <c r="H462" s="136"/>
      <c r="I462" s="135"/>
      <c r="J462" s="135"/>
      <c r="K462" s="135"/>
      <c r="L462" s="135"/>
      <c r="M462" s="135"/>
      <c r="N462" s="135"/>
      <c r="O462" s="135"/>
      <c r="P462" s="135"/>
      <c r="Q462" s="135"/>
      <c r="R462" s="135"/>
      <c r="S462" s="135"/>
      <c r="T462" s="137"/>
      <c r="U462" s="128"/>
      <c r="V462" s="135"/>
      <c r="W462" s="135"/>
      <c r="X462" s="135"/>
      <c r="Y462" s="135"/>
      <c r="Z462" s="136"/>
      <c r="AA462" s="135"/>
      <c r="AB462" s="135"/>
      <c r="AC462" s="135"/>
      <c r="AD462" s="135"/>
      <c r="AE462" s="135"/>
      <c r="AF462" s="135"/>
      <c r="AG462" s="135"/>
      <c r="AH462" s="135"/>
      <c r="AI462" s="135"/>
      <c r="AJ462" s="135"/>
    </row>
    <row r="463" spans="2:36" s="132" customFormat="1" ht="20.149999999999999" customHeight="1">
      <c r="B463" s="137"/>
      <c r="C463" s="128"/>
      <c r="D463" s="135"/>
      <c r="E463" s="135"/>
      <c r="F463" s="135"/>
      <c r="G463" s="135"/>
      <c r="H463" s="136"/>
      <c r="I463" s="135"/>
      <c r="J463" s="135"/>
      <c r="K463" s="135"/>
      <c r="L463" s="135"/>
      <c r="M463" s="135"/>
      <c r="N463" s="135"/>
      <c r="O463" s="135"/>
      <c r="P463" s="135"/>
      <c r="Q463" s="135"/>
      <c r="R463" s="135"/>
      <c r="S463" s="135"/>
      <c r="T463" s="137"/>
      <c r="U463" s="128"/>
      <c r="V463" s="135"/>
      <c r="W463" s="135"/>
      <c r="X463" s="135"/>
      <c r="Y463" s="135"/>
      <c r="Z463" s="136"/>
      <c r="AA463" s="135"/>
      <c r="AB463" s="135"/>
      <c r="AC463" s="135"/>
      <c r="AD463" s="135"/>
      <c r="AE463" s="135"/>
      <c r="AF463" s="135"/>
      <c r="AG463" s="135"/>
      <c r="AH463" s="135"/>
      <c r="AI463" s="135"/>
      <c r="AJ463" s="135"/>
    </row>
    <row r="464" spans="2:36" s="132" customFormat="1" ht="20.149999999999999" customHeight="1">
      <c r="B464" s="137"/>
      <c r="C464" s="128"/>
      <c r="D464" s="135"/>
      <c r="E464" s="135"/>
      <c r="F464" s="135"/>
      <c r="G464" s="135"/>
      <c r="H464" s="136"/>
      <c r="I464" s="135"/>
      <c r="J464" s="135"/>
      <c r="K464" s="135"/>
      <c r="L464" s="135"/>
      <c r="M464" s="135"/>
      <c r="N464" s="135"/>
      <c r="O464" s="135"/>
      <c r="P464" s="135"/>
      <c r="Q464" s="135"/>
      <c r="R464" s="135"/>
      <c r="S464" s="135"/>
      <c r="T464" s="137"/>
      <c r="U464" s="128"/>
      <c r="V464" s="135"/>
      <c r="W464" s="135"/>
      <c r="X464" s="135"/>
      <c r="Y464" s="135"/>
      <c r="Z464" s="136"/>
      <c r="AA464" s="135"/>
      <c r="AB464" s="135"/>
      <c r="AC464" s="135"/>
      <c r="AD464" s="135"/>
      <c r="AE464" s="135"/>
      <c r="AF464" s="135"/>
      <c r="AG464" s="135"/>
      <c r="AH464" s="135"/>
      <c r="AI464" s="135"/>
      <c r="AJ464" s="135"/>
    </row>
    <row r="465" spans="2:36" s="132" customFormat="1" ht="20.149999999999999" customHeight="1">
      <c r="B465" s="137"/>
      <c r="C465" s="128"/>
      <c r="D465" s="135"/>
      <c r="E465" s="135"/>
      <c r="F465" s="135"/>
      <c r="G465" s="135"/>
      <c r="H465" s="136"/>
      <c r="I465" s="135"/>
      <c r="J465" s="135"/>
      <c r="K465" s="135"/>
      <c r="L465" s="135"/>
      <c r="M465" s="135"/>
      <c r="N465" s="135"/>
      <c r="O465" s="135"/>
      <c r="P465" s="135"/>
      <c r="Q465" s="135"/>
      <c r="R465" s="135"/>
      <c r="S465" s="135"/>
      <c r="T465" s="137"/>
      <c r="U465" s="128"/>
      <c r="V465" s="135"/>
      <c r="W465" s="135"/>
      <c r="X465" s="135"/>
      <c r="Y465" s="135"/>
      <c r="Z465" s="136"/>
      <c r="AA465" s="135"/>
      <c r="AB465" s="135"/>
      <c r="AC465" s="135"/>
      <c r="AD465" s="135"/>
      <c r="AE465" s="135"/>
      <c r="AF465" s="135"/>
      <c r="AG465" s="135"/>
      <c r="AH465" s="135"/>
      <c r="AI465" s="135"/>
      <c r="AJ465" s="135"/>
    </row>
    <row r="466" spans="2:36" s="132" customFormat="1" ht="20.149999999999999" customHeight="1">
      <c r="B466" s="137"/>
      <c r="C466" s="128"/>
      <c r="D466" s="135"/>
      <c r="E466" s="135"/>
      <c r="F466" s="135"/>
      <c r="G466" s="135"/>
      <c r="H466" s="136"/>
      <c r="I466" s="135"/>
      <c r="J466" s="135"/>
      <c r="K466" s="135"/>
      <c r="L466" s="135"/>
      <c r="M466" s="135"/>
      <c r="N466" s="135"/>
      <c r="O466" s="135"/>
      <c r="P466" s="135"/>
      <c r="Q466" s="135"/>
      <c r="R466" s="135"/>
      <c r="S466" s="135"/>
      <c r="T466" s="137"/>
      <c r="U466" s="128"/>
      <c r="V466" s="135"/>
      <c r="W466" s="135"/>
      <c r="X466" s="135"/>
      <c r="Y466" s="135"/>
      <c r="Z466" s="136"/>
      <c r="AA466" s="135"/>
      <c r="AB466" s="135"/>
      <c r="AC466" s="135"/>
      <c r="AD466" s="135"/>
      <c r="AE466" s="135"/>
      <c r="AF466" s="135"/>
      <c r="AG466" s="135"/>
      <c r="AH466" s="135"/>
      <c r="AI466" s="135"/>
      <c r="AJ466" s="135"/>
    </row>
    <row r="467" spans="2:36" s="132" customFormat="1" ht="20.149999999999999" customHeight="1">
      <c r="B467" s="137"/>
      <c r="C467" s="128"/>
      <c r="D467" s="135"/>
      <c r="E467" s="135"/>
      <c r="F467" s="135"/>
      <c r="G467" s="135"/>
      <c r="H467" s="136"/>
      <c r="I467" s="135"/>
      <c r="J467" s="135"/>
      <c r="K467" s="135"/>
      <c r="L467" s="135"/>
      <c r="M467" s="135"/>
      <c r="N467" s="135"/>
      <c r="O467" s="135"/>
      <c r="P467" s="135"/>
      <c r="Q467" s="135"/>
      <c r="R467" s="135"/>
      <c r="S467" s="135"/>
      <c r="T467" s="137"/>
      <c r="U467" s="128"/>
      <c r="V467" s="135"/>
      <c r="W467" s="135"/>
      <c r="X467" s="135"/>
      <c r="Y467" s="135"/>
      <c r="Z467" s="136"/>
      <c r="AA467" s="135"/>
      <c r="AB467" s="135"/>
      <c r="AC467" s="135"/>
      <c r="AD467" s="135"/>
      <c r="AE467" s="135"/>
      <c r="AF467" s="135"/>
      <c r="AG467" s="135"/>
      <c r="AH467" s="135"/>
      <c r="AI467" s="135"/>
      <c r="AJ467" s="135"/>
    </row>
    <row r="468" spans="2:36" s="132" customFormat="1" ht="20.149999999999999" customHeight="1">
      <c r="B468" s="137"/>
      <c r="C468" s="128"/>
      <c r="D468" s="135"/>
      <c r="E468" s="135"/>
      <c r="F468" s="135"/>
      <c r="G468" s="135"/>
      <c r="H468" s="136"/>
      <c r="I468" s="135"/>
      <c r="J468" s="135"/>
      <c r="K468" s="135"/>
      <c r="L468" s="135"/>
      <c r="M468" s="135"/>
      <c r="N468" s="135"/>
      <c r="O468" s="135"/>
      <c r="P468" s="135"/>
      <c r="Q468" s="135"/>
      <c r="R468" s="135"/>
      <c r="S468" s="135"/>
      <c r="T468" s="137"/>
      <c r="U468" s="128"/>
      <c r="V468" s="135"/>
      <c r="W468" s="135"/>
      <c r="X468" s="135"/>
      <c r="Y468" s="135"/>
      <c r="Z468" s="136"/>
      <c r="AA468" s="135"/>
      <c r="AB468" s="135"/>
      <c r="AC468" s="135"/>
      <c r="AD468" s="135"/>
      <c r="AE468" s="135"/>
      <c r="AF468" s="135"/>
      <c r="AG468" s="135"/>
      <c r="AH468" s="135"/>
      <c r="AI468" s="135"/>
      <c r="AJ468" s="135"/>
    </row>
    <row r="469" spans="2:36" s="132" customFormat="1" ht="20.149999999999999" customHeight="1">
      <c r="B469" s="137"/>
      <c r="C469" s="128"/>
      <c r="D469" s="135"/>
      <c r="E469" s="135"/>
      <c r="F469" s="135"/>
      <c r="G469" s="135"/>
      <c r="H469" s="136"/>
      <c r="I469" s="135"/>
      <c r="J469" s="135"/>
      <c r="K469" s="135"/>
      <c r="L469" s="135"/>
      <c r="M469" s="135"/>
      <c r="N469" s="135"/>
      <c r="O469" s="135"/>
      <c r="P469" s="135"/>
      <c r="Q469" s="135"/>
      <c r="R469" s="135"/>
      <c r="S469" s="135"/>
      <c r="T469" s="137"/>
      <c r="U469" s="128"/>
      <c r="V469" s="135"/>
      <c r="W469" s="135"/>
      <c r="X469" s="135"/>
      <c r="Y469" s="135"/>
      <c r="Z469" s="136"/>
      <c r="AA469" s="135"/>
      <c r="AB469" s="135"/>
      <c r="AC469" s="135"/>
      <c r="AD469" s="135"/>
      <c r="AE469" s="135"/>
      <c r="AF469" s="135"/>
      <c r="AG469" s="135"/>
      <c r="AH469" s="135"/>
      <c r="AI469" s="135"/>
      <c r="AJ469" s="135"/>
    </row>
    <row r="470" spans="2:36" s="132" customFormat="1" ht="20.149999999999999" customHeight="1">
      <c r="B470" s="137"/>
      <c r="C470" s="128"/>
      <c r="D470" s="135"/>
      <c r="E470" s="135"/>
      <c r="F470" s="135"/>
      <c r="G470" s="135"/>
      <c r="H470" s="136"/>
      <c r="I470" s="135"/>
      <c r="J470" s="135"/>
      <c r="K470" s="135"/>
      <c r="L470" s="135"/>
      <c r="M470" s="135"/>
      <c r="N470" s="135"/>
      <c r="O470" s="135"/>
      <c r="P470" s="135"/>
      <c r="Q470" s="135"/>
      <c r="R470" s="135"/>
      <c r="S470" s="135"/>
      <c r="T470" s="137"/>
      <c r="U470" s="128"/>
      <c r="V470" s="135"/>
      <c r="W470" s="135"/>
      <c r="X470" s="135"/>
      <c r="Y470" s="135"/>
      <c r="Z470" s="136"/>
      <c r="AA470" s="135"/>
      <c r="AB470" s="135"/>
      <c r="AC470" s="135"/>
      <c r="AD470" s="135"/>
      <c r="AE470" s="135"/>
      <c r="AF470" s="135"/>
      <c r="AG470" s="135"/>
      <c r="AH470" s="135"/>
      <c r="AI470" s="135"/>
      <c r="AJ470" s="135"/>
    </row>
    <row r="471" spans="2:36" s="132" customFormat="1" ht="20.149999999999999" customHeight="1">
      <c r="B471" s="137"/>
      <c r="C471" s="128"/>
      <c r="D471" s="135"/>
      <c r="E471" s="135"/>
      <c r="F471" s="135"/>
      <c r="G471" s="135"/>
      <c r="H471" s="136"/>
      <c r="I471" s="135"/>
      <c r="J471" s="135"/>
      <c r="K471" s="135"/>
      <c r="L471" s="135"/>
      <c r="M471" s="135"/>
      <c r="N471" s="135"/>
      <c r="O471" s="135"/>
      <c r="P471" s="135"/>
      <c r="Q471" s="135"/>
      <c r="R471" s="135"/>
      <c r="S471" s="135"/>
      <c r="T471" s="137"/>
      <c r="U471" s="128"/>
      <c r="V471" s="135"/>
      <c r="W471" s="135"/>
      <c r="X471" s="135"/>
      <c r="Y471" s="135"/>
      <c r="Z471" s="136"/>
      <c r="AA471" s="135"/>
      <c r="AB471" s="135"/>
      <c r="AC471" s="135"/>
      <c r="AD471" s="135"/>
      <c r="AE471" s="135"/>
      <c r="AF471" s="135"/>
      <c r="AG471" s="135"/>
      <c r="AH471" s="135"/>
      <c r="AI471" s="135"/>
      <c r="AJ471" s="135"/>
    </row>
    <row r="472" spans="2:36" s="132" customFormat="1" ht="20.149999999999999" customHeight="1">
      <c r="B472" s="137"/>
      <c r="C472" s="128"/>
      <c r="D472" s="135"/>
      <c r="E472" s="135"/>
      <c r="F472" s="135"/>
      <c r="G472" s="135"/>
      <c r="H472" s="136"/>
      <c r="I472" s="135"/>
      <c r="J472" s="135"/>
      <c r="K472" s="135"/>
      <c r="L472" s="135"/>
      <c r="M472" s="135"/>
      <c r="N472" s="135"/>
      <c r="O472" s="135"/>
      <c r="P472" s="135"/>
      <c r="Q472" s="135"/>
      <c r="R472" s="135"/>
      <c r="S472" s="135"/>
      <c r="T472" s="137"/>
      <c r="U472" s="128"/>
      <c r="V472" s="135"/>
      <c r="W472" s="135"/>
      <c r="X472" s="135"/>
      <c r="Y472" s="135"/>
      <c r="Z472" s="136"/>
      <c r="AA472" s="135"/>
      <c r="AB472" s="135"/>
      <c r="AC472" s="135"/>
      <c r="AD472" s="135"/>
      <c r="AE472" s="135"/>
      <c r="AF472" s="135"/>
      <c r="AG472" s="135"/>
      <c r="AH472" s="135"/>
      <c r="AI472" s="135"/>
      <c r="AJ472" s="135"/>
    </row>
    <row r="473" spans="2:36" s="132" customFormat="1" ht="20.149999999999999" customHeight="1">
      <c r="B473" s="137"/>
      <c r="C473" s="128"/>
      <c r="D473" s="135"/>
      <c r="E473" s="135"/>
      <c r="F473" s="135"/>
      <c r="G473" s="135"/>
      <c r="H473" s="136"/>
      <c r="I473" s="135"/>
      <c r="J473" s="135"/>
      <c r="K473" s="135"/>
      <c r="L473" s="135"/>
      <c r="M473" s="135"/>
      <c r="N473" s="135"/>
      <c r="O473" s="135"/>
      <c r="P473" s="135"/>
      <c r="Q473" s="135"/>
      <c r="R473" s="135"/>
      <c r="S473" s="135"/>
      <c r="T473" s="137"/>
      <c r="U473" s="128"/>
      <c r="V473" s="135"/>
      <c r="W473" s="135"/>
      <c r="X473" s="135"/>
      <c r="Y473" s="135"/>
      <c r="Z473" s="136"/>
      <c r="AA473" s="135"/>
      <c r="AB473" s="135"/>
      <c r="AC473" s="135"/>
      <c r="AD473" s="135"/>
      <c r="AE473" s="135"/>
      <c r="AF473" s="135"/>
      <c r="AG473" s="135"/>
      <c r="AH473" s="135"/>
      <c r="AI473" s="135"/>
      <c r="AJ473" s="135"/>
    </row>
    <row r="474" spans="2:36" s="132" customFormat="1" ht="20.149999999999999" customHeight="1">
      <c r="B474" s="137"/>
      <c r="C474" s="128"/>
      <c r="D474" s="135"/>
      <c r="E474" s="135"/>
      <c r="F474" s="135"/>
      <c r="G474" s="135"/>
      <c r="H474" s="136"/>
      <c r="I474" s="135"/>
      <c r="J474" s="135"/>
      <c r="K474" s="135"/>
      <c r="L474" s="135"/>
      <c r="M474" s="135"/>
      <c r="N474" s="135"/>
      <c r="O474" s="135"/>
      <c r="P474" s="135"/>
      <c r="Q474" s="135"/>
      <c r="R474" s="135"/>
      <c r="S474" s="135"/>
      <c r="T474" s="137"/>
      <c r="U474" s="128"/>
      <c r="V474" s="135"/>
      <c r="W474" s="135"/>
      <c r="X474" s="135"/>
      <c r="Y474" s="135"/>
      <c r="Z474" s="136"/>
      <c r="AA474" s="135"/>
      <c r="AB474" s="135"/>
      <c r="AC474" s="135"/>
      <c r="AD474" s="135"/>
      <c r="AE474" s="135"/>
      <c r="AF474" s="135"/>
      <c r="AG474" s="135"/>
      <c r="AH474" s="135"/>
      <c r="AI474" s="135"/>
      <c r="AJ474" s="135"/>
    </row>
    <row r="475" spans="2:36" s="132" customFormat="1" ht="20.149999999999999" customHeight="1">
      <c r="B475" s="137"/>
      <c r="C475" s="128"/>
      <c r="D475" s="135"/>
      <c r="E475" s="135"/>
      <c r="F475" s="135"/>
      <c r="G475" s="135"/>
      <c r="H475" s="136"/>
      <c r="I475" s="135"/>
      <c r="J475" s="135"/>
      <c r="K475" s="135"/>
      <c r="L475" s="135"/>
      <c r="M475" s="135"/>
      <c r="N475" s="135"/>
      <c r="O475" s="135"/>
      <c r="P475" s="135"/>
      <c r="Q475" s="135"/>
      <c r="R475" s="135"/>
      <c r="S475" s="135"/>
      <c r="T475" s="137"/>
      <c r="U475" s="128"/>
      <c r="V475" s="135"/>
      <c r="W475" s="135"/>
      <c r="X475" s="135"/>
      <c r="Y475" s="135"/>
      <c r="Z475" s="136"/>
      <c r="AA475" s="135"/>
      <c r="AB475" s="135"/>
      <c r="AC475" s="135"/>
      <c r="AD475" s="135"/>
      <c r="AE475" s="135"/>
      <c r="AF475" s="135"/>
      <c r="AG475" s="135"/>
      <c r="AH475" s="135"/>
      <c r="AI475" s="135"/>
      <c r="AJ475" s="135"/>
    </row>
    <row r="476" spans="2:36" s="132" customFormat="1" ht="20.149999999999999" customHeight="1">
      <c r="B476" s="137"/>
      <c r="C476" s="128"/>
      <c r="D476" s="135"/>
      <c r="E476" s="135"/>
      <c r="F476" s="135"/>
      <c r="G476" s="135"/>
      <c r="H476" s="136"/>
      <c r="I476" s="135"/>
      <c r="J476" s="135"/>
      <c r="K476" s="135"/>
      <c r="L476" s="135"/>
      <c r="M476" s="135"/>
      <c r="N476" s="135"/>
      <c r="O476" s="135"/>
      <c r="P476" s="135"/>
      <c r="Q476" s="135"/>
      <c r="R476" s="135"/>
      <c r="S476" s="135"/>
      <c r="T476" s="137"/>
      <c r="U476" s="128"/>
      <c r="V476" s="135"/>
      <c r="W476" s="135"/>
      <c r="X476" s="135"/>
      <c r="Y476" s="135"/>
      <c r="Z476" s="136"/>
      <c r="AA476" s="135"/>
      <c r="AB476" s="135"/>
      <c r="AC476" s="135"/>
      <c r="AD476" s="135"/>
      <c r="AE476" s="135"/>
      <c r="AF476" s="135"/>
      <c r="AG476" s="135"/>
      <c r="AH476" s="135"/>
      <c r="AI476" s="135"/>
      <c r="AJ476" s="135"/>
    </row>
    <row r="477" spans="2:36" s="132" customFormat="1" ht="20.149999999999999" customHeight="1">
      <c r="B477" s="137"/>
      <c r="C477" s="128"/>
      <c r="D477" s="135"/>
      <c r="E477" s="135"/>
      <c r="F477" s="135"/>
      <c r="G477" s="135"/>
      <c r="H477" s="136"/>
      <c r="I477" s="135"/>
      <c r="J477" s="135"/>
      <c r="K477" s="135"/>
      <c r="L477" s="135"/>
      <c r="M477" s="135"/>
      <c r="N477" s="135"/>
      <c r="O477" s="135"/>
      <c r="P477" s="135"/>
      <c r="Q477" s="135"/>
      <c r="R477" s="135"/>
      <c r="S477" s="135"/>
      <c r="T477" s="137"/>
      <c r="U477" s="128"/>
      <c r="V477" s="135"/>
      <c r="W477" s="135"/>
      <c r="X477" s="135"/>
      <c r="Y477" s="135"/>
      <c r="Z477" s="136"/>
      <c r="AA477" s="135"/>
      <c r="AB477" s="135"/>
      <c r="AC477" s="135"/>
      <c r="AD477" s="135"/>
      <c r="AE477" s="135"/>
      <c r="AF477" s="135"/>
      <c r="AG477" s="135"/>
      <c r="AH477" s="135"/>
      <c r="AI477" s="135"/>
      <c r="AJ477" s="135"/>
    </row>
    <row r="478" spans="2:36" s="132" customFormat="1" ht="20.149999999999999" customHeight="1">
      <c r="B478" s="137"/>
      <c r="C478" s="128"/>
      <c r="D478" s="135"/>
      <c r="E478" s="135"/>
      <c r="F478" s="135"/>
      <c r="G478" s="135"/>
      <c r="H478" s="136"/>
      <c r="I478" s="135"/>
      <c r="J478" s="135"/>
      <c r="K478" s="135"/>
      <c r="L478" s="135"/>
      <c r="M478" s="135"/>
      <c r="N478" s="135"/>
      <c r="O478" s="135"/>
      <c r="P478" s="135"/>
      <c r="Q478" s="135"/>
      <c r="R478" s="135"/>
      <c r="S478" s="135"/>
      <c r="T478" s="137"/>
      <c r="U478" s="128"/>
      <c r="V478" s="135"/>
      <c r="W478" s="135"/>
      <c r="X478" s="135"/>
      <c r="Y478" s="135"/>
      <c r="Z478" s="136"/>
      <c r="AA478" s="135"/>
      <c r="AB478" s="135"/>
      <c r="AC478" s="135"/>
      <c r="AD478" s="135"/>
      <c r="AE478" s="135"/>
      <c r="AF478" s="135"/>
      <c r="AG478" s="135"/>
      <c r="AH478" s="135"/>
      <c r="AI478" s="135"/>
      <c r="AJ478" s="135"/>
    </row>
    <row r="479" spans="2:36" s="132" customFormat="1" ht="20.149999999999999" customHeight="1">
      <c r="B479" s="137"/>
      <c r="C479" s="128"/>
      <c r="D479" s="135"/>
      <c r="E479" s="135"/>
      <c r="F479" s="135"/>
      <c r="G479" s="135"/>
      <c r="H479" s="136"/>
      <c r="I479" s="135"/>
      <c r="J479" s="135"/>
      <c r="K479" s="135"/>
      <c r="L479" s="135"/>
      <c r="M479" s="135"/>
      <c r="N479" s="135"/>
      <c r="O479" s="135"/>
      <c r="P479" s="135"/>
      <c r="Q479" s="135"/>
      <c r="R479" s="135"/>
      <c r="S479" s="135"/>
      <c r="T479" s="137"/>
      <c r="U479" s="128"/>
      <c r="V479" s="135"/>
      <c r="W479" s="135"/>
      <c r="X479" s="135"/>
      <c r="Y479" s="135"/>
      <c r="Z479" s="136"/>
      <c r="AA479" s="135"/>
      <c r="AB479" s="135"/>
      <c r="AC479" s="135"/>
      <c r="AD479" s="135"/>
      <c r="AE479" s="135"/>
      <c r="AF479" s="135"/>
      <c r="AG479" s="135"/>
      <c r="AH479" s="135"/>
      <c r="AI479" s="135"/>
      <c r="AJ479" s="135"/>
    </row>
    <row r="480" spans="2:36" s="132" customFormat="1" ht="20.149999999999999" customHeight="1">
      <c r="B480" s="137"/>
      <c r="C480" s="128"/>
      <c r="D480" s="135"/>
      <c r="E480" s="135"/>
      <c r="F480" s="135"/>
      <c r="G480" s="135"/>
      <c r="H480" s="136"/>
      <c r="I480" s="135"/>
      <c r="J480" s="135"/>
      <c r="K480" s="135"/>
      <c r="L480" s="135"/>
      <c r="M480" s="135"/>
      <c r="N480" s="135"/>
      <c r="O480" s="135"/>
      <c r="P480" s="135"/>
      <c r="Q480" s="135"/>
      <c r="R480" s="135"/>
      <c r="S480" s="135"/>
      <c r="T480" s="137"/>
      <c r="U480" s="128"/>
      <c r="V480" s="135"/>
      <c r="W480" s="135"/>
      <c r="X480" s="135"/>
      <c r="Y480" s="135"/>
      <c r="Z480" s="136"/>
      <c r="AA480" s="135"/>
      <c r="AB480" s="135"/>
      <c r="AC480" s="135"/>
      <c r="AD480" s="135"/>
      <c r="AE480" s="135"/>
      <c r="AF480" s="135"/>
      <c r="AG480" s="135"/>
      <c r="AH480" s="135"/>
      <c r="AI480" s="135"/>
      <c r="AJ480" s="135"/>
    </row>
    <row r="481" spans="2:36" s="132" customFormat="1" ht="20.149999999999999" customHeight="1">
      <c r="B481" s="137"/>
      <c r="C481" s="128"/>
      <c r="D481" s="135"/>
      <c r="E481" s="135"/>
      <c r="F481" s="135"/>
      <c r="G481" s="135"/>
      <c r="H481" s="136"/>
      <c r="I481" s="135"/>
      <c r="J481" s="135"/>
      <c r="K481" s="135"/>
      <c r="L481" s="135"/>
      <c r="M481" s="135"/>
      <c r="N481" s="135"/>
      <c r="O481" s="135"/>
      <c r="P481" s="135"/>
      <c r="Q481" s="135"/>
      <c r="R481" s="135"/>
      <c r="S481" s="135"/>
      <c r="T481" s="137"/>
      <c r="U481" s="128"/>
      <c r="V481" s="135"/>
      <c r="W481" s="135"/>
      <c r="X481" s="135"/>
      <c r="Y481" s="135"/>
      <c r="Z481" s="136"/>
      <c r="AA481" s="135"/>
      <c r="AB481" s="135"/>
      <c r="AC481" s="135"/>
      <c r="AD481" s="135"/>
      <c r="AE481" s="135"/>
      <c r="AF481" s="135"/>
      <c r="AG481" s="135"/>
      <c r="AH481" s="135"/>
      <c r="AI481" s="135"/>
      <c r="AJ481" s="135"/>
    </row>
    <row r="482" spans="2:36" s="132" customFormat="1" ht="20.149999999999999" customHeight="1">
      <c r="B482" s="137"/>
      <c r="C482" s="128"/>
      <c r="D482" s="135"/>
      <c r="E482" s="135"/>
      <c r="F482" s="135"/>
      <c r="G482" s="135"/>
      <c r="H482" s="136"/>
      <c r="I482" s="135"/>
      <c r="J482" s="135"/>
      <c r="K482" s="135"/>
      <c r="L482" s="135"/>
      <c r="M482" s="135"/>
      <c r="N482" s="135"/>
      <c r="O482" s="135"/>
      <c r="P482" s="135"/>
      <c r="Q482" s="135"/>
      <c r="R482" s="135"/>
      <c r="S482" s="135"/>
      <c r="T482" s="137"/>
      <c r="U482" s="128"/>
      <c r="V482" s="135"/>
      <c r="W482" s="135"/>
      <c r="X482" s="135"/>
      <c r="Y482" s="135"/>
      <c r="Z482" s="136"/>
      <c r="AA482" s="135"/>
      <c r="AB482" s="135"/>
      <c r="AC482" s="135"/>
      <c r="AD482" s="135"/>
      <c r="AE482" s="135"/>
      <c r="AF482" s="135"/>
      <c r="AG482" s="135"/>
      <c r="AH482" s="135"/>
      <c r="AI482" s="135"/>
      <c r="AJ482" s="135"/>
    </row>
    <row r="483" spans="2:36" s="132" customFormat="1" ht="20.149999999999999" customHeight="1">
      <c r="B483" s="137"/>
      <c r="C483" s="128"/>
      <c r="D483" s="135"/>
      <c r="E483" s="135"/>
      <c r="F483" s="135"/>
      <c r="G483" s="135"/>
      <c r="H483" s="136"/>
      <c r="I483" s="135"/>
      <c r="J483" s="135"/>
      <c r="K483" s="135"/>
      <c r="L483" s="135"/>
      <c r="M483" s="135"/>
      <c r="N483" s="135"/>
      <c r="O483" s="135"/>
      <c r="P483" s="135"/>
      <c r="Q483" s="135"/>
      <c r="R483" s="135"/>
      <c r="S483" s="135"/>
      <c r="T483" s="137"/>
      <c r="U483" s="128"/>
      <c r="V483" s="135"/>
      <c r="W483" s="135"/>
      <c r="X483" s="135"/>
      <c r="Y483" s="135"/>
      <c r="Z483" s="136"/>
      <c r="AA483" s="135"/>
      <c r="AB483" s="135"/>
      <c r="AC483" s="135"/>
      <c r="AD483" s="135"/>
      <c r="AE483" s="135"/>
      <c r="AF483" s="135"/>
      <c r="AG483" s="135"/>
      <c r="AH483" s="135"/>
      <c r="AI483" s="135"/>
      <c r="AJ483" s="135"/>
    </row>
    <row r="484" spans="2:36" s="132" customFormat="1" ht="20.149999999999999" customHeight="1">
      <c r="B484" s="137"/>
      <c r="C484" s="128"/>
      <c r="D484" s="135"/>
      <c r="E484" s="135"/>
      <c r="F484" s="135"/>
      <c r="G484" s="135"/>
      <c r="H484" s="136"/>
      <c r="I484" s="135"/>
      <c r="J484" s="135"/>
      <c r="K484" s="135"/>
      <c r="L484" s="135"/>
      <c r="M484" s="135"/>
      <c r="N484" s="135"/>
      <c r="O484" s="135"/>
      <c r="P484" s="135"/>
      <c r="Q484" s="135"/>
      <c r="R484" s="135"/>
      <c r="S484" s="135"/>
      <c r="T484" s="137"/>
      <c r="U484" s="128"/>
      <c r="V484" s="135"/>
      <c r="W484" s="135"/>
      <c r="X484" s="135"/>
      <c r="Y484" s="135"/>
      <c r="Z484" s="136"/>
      <c r="AA484" s="135"/>
      <c r="AB484" s="135"/>
      <c r="AC484" s="135"/>
      <c r="AD484" s="135"/>
      <c r="AE484" s="135"/>
      <c r="AF484" s="135"/>
      <c r="AG484" s="135"/>
      <c r="AH484" s="135"/>
      <c r="AI484" s="135"/>
      <c r="AJ484" s="135"/>
    </row>
    <row r="485" spans="2:36" s="132" customFormat="1" ht="20.149999999999999" customHeight="1">
      <c r="B485" s="137"/>
      <c r="C485" s="128"/>
      <c r="D485" s="135"/>
      <c r="E485" s="135"/>
      <c r="F485" s="135"/>
      <c r="G485" s="135"/>
      <c r="H485" s="136"/>
      <c r="I485" s="135"/>
      <c r="J485" s="135"/>
      <c r="K485" s="135"/>
      <c r="L485" s="135"/>
      <c r="M485" s="135"/>
      <c r="N485" s="135"/>
      <c r="O485" s="135"/>
      <c r="P485" s="135"/>
      <c r="Q485" s="135"/>
      <c r="R485" s="135"/>
      <c r="S485" s="135"/>
      <c r="T485" s="137"/>
      <c r="U485" s="128"/>
      <c r="V485" s="135"/>
      <c r="W485" s="135"/>
      <c r="X485" s="135"/>
      <c r="Y485" s="135"/>
      <c r="Z485" s="136"/>
      <c r="AA485" s="135"/>
      <c r="AB485" s="135"/>
      <c r="AC485" s="135"/>
      <c r="AD485" s="135"/>
      <c r="AE485" s="135"/>
      <c r="AF485" s="135"/>
      <c r="AG485" s="135"/>
      <c r="AH485" s="135"/>
      <c r="AI485" s="135"/>
      <c r="AJ485" s="135"/>
    </row>
    <row r="486" spans="2:36" s="132" customFormat="1" ht="20.149999999999999" customHeight="1">
      <c r="B486" s="137"/>
      <c r="C486" s="128"/>
      <c r="D486" s="135"/>
      <c r="E486" s="135"/>
      <c r="F486" s="135"/>
      <c r="G486" s="135"/>
      <c r="H486" s="136"/>
      <c r="I486" s="135"/>
      <c r="J486" s="135"/>
      <c r="K486" s="135"/>
      <c r="L486" s="135"/>
      <c r="M486" s="135"/>
      <c r="N486" s="135"/>
      <c r="O486" s="135"/>
      <c r="P486" s="135"/>
      <c r="Q486" s="135"/>
      <c r="R486" s="135"/>
      <c r="S486" s="135"/>
      <c r="T486" s="137"/>
      <c r="U486" s="128"/>
      <c r="V486" s="135"/>
      <c r="W486" s="135"/>
      <c r="X486" s="135"/>
      <c r="Y486" s="135"/>
      <c r="Z486" s="136"/>
      <c r="AA486" s="135"/>
      <c r="AB486" s="135"/>
      <c r="AC486" s="135"/>
      <c r="AD486" s="135"/>
      <c r="AE486" s="135"/>
      <c r="AF486" s="135"/>
      <c r="AG486" s="135"/>
      <c r="AH486" s="135"/>
      <c r="AI486" s="135"/>
      <c r="AJ486" s="135"/>
    </row>
    <row r="487" spans="2:36" s="132" customFormat="1" ht="20.149999999999999" customHeight="1">
      <c r="B487" s="137"/>
      <c r="C487" s="128"/>
      <c r="D487" s="135"/>
      <c r="E487" s="135"/>
      <c r="F487" s="135"/>
      <c r="G487" s="135"/>
      <c r="H487" s="136"/>
      <c r="I487" s="135"/>
      <c r="J487" s="135"/>
      <c r="K487" s="135"/>
      <c r="L487" s="135"/>
      <c r="M487" s="135"/>
      <c r="N487" s="135"/>
      <c r="O487" s="135"/>
      <c r="P487" s="135"/>
      <c r="Q487" s="135"/>
      <c r="R487" s="135"/>
      <c r="S487" s="135"/>
      <c r="T487" s="137"/>
      <c r="U487" s="128"/>
      <c r="V487" s="135"/>
      <c r="W487" s="135"/>
      <c r="X487" s="135"/>
      <c r="Y487" s="135"/>
      <c r="Z487" s="136"/>
      <c r="AA487" s="135"/>
      <c r="AB487" s="135"/>
      <c r="AC487" s="135"/>
      <c r="AD487" s="135"/>
      <c r="AE487" s="135"/>
      <c r="AF487" s="135"/>
      <c r="AG487" s="135"/>
      <c r="AH487" s="135"/>
      <c r="AI487" s="135"/>
      <c r="AJ487" s="135"/>
    </row>
    <row r="488" spans="2:36" s="132" customFormat="1" ht="20.149999999999999" customHeight="1">
      <c r="B488" s="137"/>
      <c r="C488" s="128"/>
      <c r="D488" s="135"/>
      <c r="E488" s="135"/>
      <c r="F488" s="135"/>
      <c r="G488" s="135"/>
      <c r="H488" s="136"/>
      <c r="I488" s="135"/>
      <c r="J488" s="135"/>
      <c r="K488" s="135"/>
      <c r="L488" s="135"/>
      <c r="M488" s="135"/>
      <c r="N488" s="135"/>
      <c r="O488" s="135"/>
      <c r="P488" s="135"/>
      <c r="Q488" s="135"/>
      <c r="R488" s="135"/>
      <c r="S488" s="135"/>
      <c r="T488" s="137"/>
      <c r="U488" s="128"/>
      <c r="V488" s="135"/>
      <c r="W488" s="135"/>
      <c r="X488" s="135"/>
      <c r="Y488" s="135"/>
      <c r="Z488" s="136"/>
      <c r="AA488" s="135"/>
      <c r="AB488" s="135"/>
      <c r="AC488" s="135"/>
      <c r="AD488" s="135"/>
      <c r="AE488" s="135"/>
      <c r="AF488" s="135"/>
      <c r="AG488" s="135"/>
      <c r="AH488" s="135"/>
      <c r="AI488" s="135"/>
      <c r="AJ488" s="135"/>
    </row>
    <row r="489" spans="2:36" s="132" customFormat="1" ht="20.149999999999999" customHeight="1">
      <c r="B489" s="137"/>
      <c r="C489" s="128"/>
      <c r="D489" s="135"/>
      <c r="E489" s="135"/>
      <c r="F489" s="135"/>
      <c r="G489" s="135"/>
      <c r="H489" s="136"/>
      <c r="I489" s="135"/>
      <c r="J489" s="135"/>
      <c r="K489" s="135"/>
      <c r="L489" s="135"/>
      <c r="M489" s="135"/>
      <c r="N489" s="135"/>
      <c r="O489" s="135"/>
      <c r="P489" s="135"/>
      <c r="Q489" s="135"/>
      <c r="R489" s="135"/>
      <c r="S489" s="135"/>
      <c r="T489" s="137"/>
      <c r="U489" s="128"/>
      <c r="V489" s="135"/>
      <c r="W489" s="135"/>
      <c r="X489" s="135"/>
      <c r="Y489" s="135"/>
      <c r="Z489" s="136"/>
      <c r="AA489" s="135"/>
      <c r="AB489" s="135"/>
      <c r="AC489" s="135"/>
      <c r="AD489" s="135"/>
      <c r="AE489" s="135"/>
      <c r="AF489" s="135"/>
      <c r="AG489" s="135"/>
      <c r="AH489" s="135"/>
      <c r="AI489" s="135"/>
      <c r="AJ489" s="135"/>
    </row>
    <row r="490" spans="2:36" s="132" customFormat="1" ht="20.149999999999999" customHeight="1">
      <c r="B490" s="137"/>
      <c r="C490" s="128"/>
      <c r="D490" s="135"/>
      <c r="E490" s="135"/>
      <c r="F490" s="135"/>
      <c r="G490" s="135"/>
      <c r="H490" s="136"/>
      <c r="I490" s="135"/>
      <c r="J490" s="135"/>
      <c r="K490" s="135"/>
      <c r="L490" s="135"/>
      <c r="M490" s="135"/>
      <c r="N490" s="135"/>
      <c r="O490" s="135"/>
      <c r="P490" s="135"/>
      <c r="Q490" s="135"/>
      <c r="R490" s="135"/>
      <c r="S490" s="135"/>
      <c r="T490" s="137"/>
      <c r="U490" s="128"/>
      <c r="V490" s="135"/>
      <c r="W490" s="135"/>
      <c r="X490" s="135"/>
      <c r="Y490" s="135"/>
      <c r="Z490" s="136"/>
      <c r="AA490" s="135"/>
      <c r="AB490" s="135"/>
      <c r="AC490" s="135"/>
      <c r="AD490" s="135"/>
      <c r="AE490" s="135"/>
      <c r="AF490" s="135"/>
      <c r="AG490" s="135"/>
      <c r="AH490" s="135"/>
      <c r="AI490" s="135"/>
      <c r="AJ490" s="135"/>
    </row>
    <row r="491" spans="2:36" s="132" customFormat="1" ht="20.149999999999999" customHeight="1">
      <c r="B491" s="137"/>
      <c r="C491" s="128"/>
      <c r="D491" s="135"/>
      <c r="E491" s="135"/>
      <c r="F491" s="135"/>
      <c r="G491" s="135"/>
      <c r="H491" s="136"/>
      <c r="I491" s="135"/>
      <c r="J491" s="135"/>
      <c r="K491" s="135"/>
      <c r="L491" s="135"/>
      <c r="M491" s="135"/>
      <c r="N491" s="135"/>
      <c r="O491" s="135"/>
      <c r="P491" s="135"/>
      <c r="Q491" s="135"/>
      <c r="R491" s="135"/>
      <c r="S491" s="135"/>
      <c r="T491" s="137"/>
      <c r="U491" s="128"/>
      <c r="V491" s="135"/>
      <c r="W491" s="135"/>
      <c r="X491" s="135"/>
      <c r="Y491" s="135"/>
      <c r="Z491" s="136"/>
      <c r="AA491" s="135"/>
      <c r="AB491" s="135"/>
      <c r="AC491" s="135"/>
      <c r="AD491" s="135"/>
      <c r="AE491" s="135"/>
      <c r="AF491" s="135"/>
      <c r="AG491" s="135"/>
      <c r="AH491" s="135"/>
      <c r="AI491" s="135"/>
      <c r="AJ491" s="135"/>
    </row>
    <row r="492" spans="2:36" s="132" customFormat="1" ht="20.149999999999999" customHeight="1">
      <c r="B492" s="137"/>
      <c r="C492" s="128"/>
      <c r="D492" s="135"/>
      <c r="E492" s="135"/>
      <c r="F492" s="135"/>
      <c r="G492" s="135"/>
      <c r="H492" s="136"/>
      <c r="I492" s="135"/>
      <c r="J492" s="135"/>
      <c r="K492" s="135"/>
      <c r="L492" s="135"/>
      <c r="M492" s="135"/>
      <c r="N492" s="135"/>
      <c r="O492" s="135"/>
      <c r="P492" s="135"/>
      <c r="Q492" s="135"/>
      <c r="R492" s="135"/>
      <c r="S492" s="135"/>
      <c r="T492" s="137"/>
      <c r="U492" s="128"/>
      <c r="V492" s="135"/>
      <c r="W492" s="135"/>
      <c r="X492" s="135"/>
      <c r="Y492" s="135"/>
      <c r="Z492" s="136"/>
      <c r="AA492" s="135"/>
      <c r="AB492" s="135"/>
      <c r="AC492" s="135"/>
      <c r="AD492" s="135"/>
      <c r="AE492" s="135"/>
      <c r="AF492" s="135"/>
      <c r="AG492" s="135"/>
      <c r="AH492" s="135"/>
      <c r="AI492" s="135"/>
      <c r="AJ492" s="135"/>
    </row>
    <row r="493" spans="2:36" s="132" customFormat="1" ht="20.149999999999999" customHeight="1">
      <c r="B493" s="137"/>
      <c r="C493" s="128"/>
      <c r="D493" s="135"/>
      <c r="E493" s="135"/>
      <c r="F493" s="135"/>
      <c r="G493" s="135"/>
      <c r="H493" s="136"/>
      <c r="I493" s="135"/>
      <c r="J493" s="135"/>
      <c r="K493" s="135"/>
      <c r="L493" s="135"/>
      <c r="M493" s="135"/>
      <c r="N493" s="135"/>
      <c r="O493" s="135"/>
      <c r="P493" s="135"/>
      <c r="Q493" s="135"/>
      <c r="R493" s="135"/>
      <c r="S493" s="135"/>
      <c r="T493" s="137"/>
      <c r="U493" s="128"/>
      <c r="V493" s="135"/>
      <c r="W493" s="135"/>
      <c r="X493" s="135"/>
      <c r="Y493" s="135"/>
      <c r="Z493" s="136"/>
      <c r="AA493" s="135"/>
      <c r="AB493" s="135"/>
      <c r="AC493" s="135"/>
      <c r="AD493" s="135"/>
      <c r="AE493" s="135"/>
      <c r="AF493" s="135"/>
      <c r="AG493" s="135"/>
      <c r="AH493" s="135"/>
      <c r="AI493" s="135"/>
      <c r="AJ493" s="135"/>
    </row>
    <row r="494" spans="2:36" s="132" customFormat="1" ht="20.149999999999999" customHeight="1">
      <c r="B494" s="137"/>
      <c r="C494" s="128"/>
      <c r="D494" s="135"/>
      <c r="E494" s="135"/>
      <c r="F494" s="135"/>
      <c r="G494" s="135"/>
      <c r="H494" s="136"/>
      <c r="I494" s="135"/>
      <c r="J494" s="135"/>
      <c r="K494" s="135"/>
      <c r="L494" s="135"/>
      <c r="M494" s="135"/>
      <c r="N494" s="135"/>
      <c r="O494" s="135"/>
      <c r="P494" s="135"/>
      <c r="Q494" s="135"/>
      <c r="R494" s="135"/>
      <c r="S494" s="135"/>
      <c r="T494" s="137"/>
      <c r="U494" s="128"/>
      <c r="V494" s="135"/>
      <c r="W494" s="135"/>
      <c r="X494" s="135"/>
      <c r="Y494" s="135"/>
      <c r="Z494" s="136"/>
      <c r="AA494" s="135"/>
      <c r="AB494" s="135"/>
      <c r="AC494" s="135"/>
      <c r="AD494" s="135"/>
      <c r="AE494" s="135"/>
      <c r="AF494" s="135"/>
      <c r="AG494" s="135"/>
      <c r="AH494" s="135"/>
      <c r="AI494" s="135"/>
      <c r="AJ494" s="135"/>
    </row>
    <row r="495" spans="2:36" s="132" customFormat="1" ht="20.149999999999999" customHeight="1">
      <c r="B495" s="137"/>
      <c r="C495" s="128"/>
      <c r="D495" s="135"/>
      <c r="E495" s="135"/>
      <c r="F495" s="135"/>
      <c r="G495" s="135"/>
      <c r="H495" s="136"/>
      <c r="I495" s="135"/>
      <c r="J495" s="135"/>
      <c r="K495" s="135"/>
      <c r="L495" s="135"/>
      <c r="M495" s="135"/>
      <c r="N495" s="135"/>
      <c r="O495" s="135"/>
      <c r="P495" s="135"/>
      <c r="Q495" s="135"/>
      <c r="R495" s="135"/>
      <c r="S495" s="135"/>
      <c r="T495" s="137"/>
      <c r="U495" s="128"/>
      <c r="V495" s="135"/>
      <c r="W495" s="135"/>
      <c r="X495" s="135"/>
      <c r="Y495" s="135"/>
      <c r="Z495" s="136"/>
      <c r="AA495" s="135"/>
      <c r="AB495" s="135"/>
      <c r="AC495" s="135"/>
      <c r="AD495" s="135"/>
      <c r="AE495" s="135"/>
      <c r="AF495" s="135"/>
      <c r="AG495" s="135"/>
      <c r="AH495" s="135"/>
      <c r="AI495" s="135"/>
      <c r="AJ495" s="135"/>
    </row>
    <row r="496" spans="2:36" s="132" customFormat="1" ht="20.149999999999999" customHeight="1">
      <c r="B496" s="137"/>
      <c r="C496" s="128"/>
      <c r="D496" s="135"/>
      <c r="E496" s="135"/>
      <c r="F496" s="135"/>
      <c r="G496" s="135"/>
      <c r="H496" s="136"/>
      <c r="I496" s="135"/>
      <c r="J496" s="135"/>
      <c r="K496" s="135"/>
      <c r="L496" s="135"/>
      <c r="M496" s="135"/>
      <c r="N496" s="135"/>
      <c r="O496" s="135"/>
      <c r="P496" s="135"/>
      <c r="Q496" s="135"/>
      <c r="R496" s="135"/>
      <c r="S496" s="135"/>
      <c r="T496" s="137"/>
      <c r="U496" s="128"/>
      <c r="V496" s="135"/>
      <c r="W496" s="135"/>
      <c r="X496" s="135"/>
      <c r="Y496" s="135"/>
      <c r="Z496" s="136"/>
      <c r="AA496" s="135"/>
      <c r="AB496" s="135"/>
      <c r="AC496" s="135"/>
      <c r="AD496" s="135"/>
      <c r="AE496" s="135"/>
      <c r="AF496" s="135"/>
      <c r="AG496" s="135"/>
      <c r="AH496" s="135"/>
      <c r="AI496" s="135"/>
      <c r="AJ496" s="135"/>
    </row>
    <row r="497" spans="2:36" s="132" customFormat="1" ht="20.149999999999999" customHeight="1">
      <c r="B497" s="137"/>
      <c r="C497" s="128"/>
      <c r="D497" s="135"/>
      <c r="E497" s="135"/>
      <c r="F497" s="135"/>
      <c r="G497" s="135"/>
      <c r="H497" s="136"/>
      <c r="I497" s="135"/>
      <c r="J497" s="135"/>
      <c r="K497" s="135"/>
      <c r="L497" s="135"/>
      <c r="M497" s="135"/>
      <c r="N497" s="135"/>
      <c r="O497" s="135"/>
      <c r="P497" s="135"/>
      <c r="Q497" s="135"/>
      <c r="R497" s="135"/>
      <c r="S497" s="135"/>
      <c r="T497" s="137"/>
      <c r="U497" s="128"/>
      <c r="V497" s="135"/>
      <c r="W497" s="135"/>
      <c r="X497" s="135"/>
      <c r="Y497" s="135"/>
      <c r="Z497" s="136"/>
      <c r="AA497" s="135"/>
      <c r="AB497" s="135"/>
      <c r="AC497" s="135"/>
      <c r="AD497" s="135"/>
      <c r="AE497" s="135"/>
      <c r="AF497" s="135"/>
      <c r="AG497" s="135"/>
      <c r="AH497" s="135"/>
      <c r="AI497" s="135"/>
      <c r="AJ497" s="135"/>
    </row>
    <row r="498" spans="2:36" s="132" customFormat="1" ht="20.149999999999999" customHeight="1">
      <c r="B498" s="137"/>
      <c r="C498" s="128"/>
      <c r="D498" s="135"/>
      <c r="E498" s="135"/>
      <c r="F498" s="135"/>
      <c r="G498" s="135"/>
      <c r="H498" s="136"/>
      <c r="I498" s="135"/>
      <c r="J498" s="135"/>
      <c r="K498" s="135"/>
      <c r="L498" s="135"/>
      <c r="M498" s="135"/>
      <c r="N498" s="135"/>
      <c r="O498" s="135"/>
      <c r="P498" s="135"/>
      <c r="Q498" s="135"/>
      <c r="R498" s="135"/>
      <c r="S498" s="135"/>
      <c r="T498" s="137"/>
      <c r="U498" s="128"/>
      <c r="V498" s="135"/>
      <c r="W498" s="135"/>
      <c r="X498" s="135"/>
      <c r="Y498" s="135"/>
      <c r="Z498" s="136"/>
      <c r="AA498" s="135"/>
      <c r="AB498" s="135"/>
      <c r="AC498" s="135"/>
      <c r="AD498" s="135"/>
      <c r="AE498" s="135"/>
      <c r="AF498" s="135"/>
      <c r="AG498" s="135"/>
      <c r="AH498" s="135"/>
      <c r="AI498" s="135"/>
      <c r="AJ498" s="135"/>
    </row>
    <row r="499" spans="2:36" s="132" customFormat="1" ht="20.149999999999999" customHeight="1">
      <c r="B499" s="137"/>
      <c r="C499" s="128"/>
      <c r="D499" s="135"/>
      <c r="E499" s="135"/>
      <c r="F499" s="135"/>
      <c r="G499" s="135"/>
      <c r="H499" s="136"/>
      <c r="I499" s="135"/>
      <c r="J499" s="135"/>
      <c r="K499" s="135"/>
      <c r="L499" s="135"/>
      <c r="M499" s="135"/>
      <c r="N499" s="135"/>
      <c r="O499" s="135"/>
      <c r="P499" s="135"/>
      <c r="Q499" s="135"/>
      <c r="R499" s="135"/>
      <c r="S499" s="135"/>
      <c r="T499" s="137"/>
      <c r="U499" s="128"/>
      <c r="V499" s="135"/>
      <c r="W499" s="135"/>
      <c r="X499" s="135"/>
      <c r="Y499" s="135"/>
      <c r="Z499" s="136"/>
      <c r="AA499" s="135"/>
      <c r="AB499" s="135"/>
      <c r="AC499" s="135"/>
      <c r="AD499" s="135"/>
      <c r="AE499" s="135"/>
      <c r="AF499" s="135"/>
      <c r="AG499" s="135"/>
      <c r="AH499" s="135"/>
      <c r="AI499" s="135"/>
      <c r="AJ499" s="135"/>
    </row>
    <row r="500" spans="2:36" s="132" customFormat="1" ht="20.149999999999999" customHeight="1">
      <c r="B500" s="137"/>
      <c r="C500" s="128"/>
      <c r="D500" s="135"/>
      <c r="E500" s="135"/>
      <c r="F500" s="135"/>
      <c r="G500" s="135"/>
      <c r="H500" s="136"/>
      <c r="I500" s="135"/>
      <c r="J500" s="135"/>
      <c r="K500" s="135"/>
      <c r="L500" s="135"/>
      <c r="M500" s="135"/>
      <c r="N500" s="135"/>
      <c r="O500" s="135"/>
      <c r="P500" s="135"/>
      <c r="Q500" s="135"/>
      <c r="R500" s="135"/>
      <c r="S500" s="135"/>
      <c r="T500" s="137"/>
      <c r="U500" s="128"/>
      <c r="V500" s="135"/>
      <c r="W500" s="135"/>
      <c r="X500" s="135"/>
      <c r="Y500" s="135"/>
      <c r="Z500" s="136"/>
      <c r="AA500" s="135"/>
      <c r="AB500" s="135"/>
      <c r="AC500" s="135"/>
      <c r="AD500" s="135"/>
      <c r="AE500" s="135"/>
      <c r="AF500" s="135"/>
      <c r="AG500" s="135"/>
      <c r="AH500" s="135"/>
      <c r="AI500" s="135"/>
      <c r="AJ500" s="135"/>
    </row>
    <row r="501" spans="2:36" s="132" customFormat="1" ht="20.149999999999999" customHeight="1">
      <c r="B501" s="137"/>
      <c r="C501" s="128"/>
      <c r="D501" s="135"/>
      <c r="E501" s="135"/>
      <c r="F501" s="135"/>
      <c r="G501" s="135"/>
      <c r="H501" s="136"/>
      <c r="I501" s="135"/>
      <c r="J501" s="135"/>
      <c r="K501" s="135"/>
      <c r="L501" s="135"/>
      <c r="M501" s="135"/>
      <c r="N501" s="135"/>
      <c r="O501" s="135"/>
      <c r="P501" s="135"/>
      <c r="Q501" s="135"/>
      <c r="R501" s="135"/>
      <c r="S501" s="135"/>
      <c r="T501" s="137"/>
      <c r="U501" s="128"/>
      <c r="V501" s="135"/>
      <c r="W501" s="135"/>
      <c r="X501" s="135"/>
      <c r="Y501" s="135"/>
      <c r="Z501" s="136"/>
      <c r="AA501" s="135"/>
      <c r="AB501" s="135"/>
      <c r="AC501" s="135"/>
      <c r="AD501" s="135"/>
      <c r="AE501" s="135"/>
      <c r="AF501" s="135"/>
      <c r="AG501" s="135"/>
      <c r="AH501" s="135"/>
      <c r="AI501" s="135"/>
      <c r="AJ501" s="135"/>
    </row>
    <row r="502" spans="2:36" s="132" customFormat="1" ht="20.149999999999999" customHeight="1">
      <c r="B502" s="137"/>
      <c r="C502" s="128"/>
      <c r="D502" s="135"/>
      <c r="E502" s="135"/>
      <c r="F502" s="135"/>
      <c r="G502" s="135"/>
      <c r="H502" s="136"/>
      <c r="I502" s="135"/>
      <c r="J502" s="135"/>
      <c r="K502" s="135"/>
      <c r="L502" s="135"/>
      <c r="M502" s="135"/>
      <c r="N502" s="135"/>
      <c r="O502" s="135"/>
      <c r="P502" s="135"/>
      <c r="Q502" s="135"/>
      <c r="R502" s="135"/>
      <c r="S502" s="135"/>
      <c r="T502" s="137"/>
      <c r="U502" s="128"/>
      <c r="V502" s="135"/>
      <c r="W502" s="135"/>
      <c r="X502" s="135"/>
      <c r="Y502" s="135"/>
      <c r="Z502" s="136"/>
      <c r="AA502" s="135"/>
      <c r="AB502" s="135"/>
      <c r="AC502" s="135"/>
      <c r="AD502" s="135"/>
      <c r="AE502" s="135"/>
      <c r="AF502" s="135"/>
      <c r="AG502" s="135"/>
      <c r="AH502" s="135"/>
      <c r="AI502" s="135"/>
      <c r="AJ502" s="135"/>
    </row>
    <row r="503" spans="2:36" s="132" customFormat="1" ht="20.149999999999999" customHeight="1">
      <c r="B503" s="137"/>
      <c r="C503" s="128"/>
      <c r="D503" s="135"/>
      <c r="E503" s="135"/>
      <c r="F503" s="135"/>
      <c r="G503" s="135"/>
      <c r="H503" s="136"/>
      <c r="I503" s="135"/>
      <c r="J503" s="135"/>
      <c r="K503" s="135"/>
      <c r="L503" s="135"/>
      <c r="M503" s="135"/>
      <c r="N503" s="135"/>
      <c r="O503" s="135"/>
      <c r="P503" s="135"/>
      <c r="Q503" s="135"/>
      <c r="R503" s="135"/>
      <c r="S503" s="135"/>
      <c r="T503" s="137"/>
      <c r="U503" s="128"/>
      <c r="V503" s="135"/>
      <c r="W503" s="135"/>
      <c r="X503" s="135"/>
      <c r="Y503" s="135"/>
      <c r="Z503" s="136"/>
      <c r="AA503" s="135"/>
      <c r="AB503" s="135"/>
      <c r="AC503" s="135"/>
      <c r="AD503" s="135"/>
      <c r="AE503" s="135"/>
      <c r="AF503" s="135"/>
      <c r="AG503" s="135"/>
      <c r="AH503" s="135"/>
      <c r="AI503" s="135"/>
      <c r="AJ503" s="135"/>
    </row>
    <row r="504" spans="2:36" s="132" customFormat="1" ht="20.149999999999999" customHeight="1">
      <c r="B504" s="137"/>
      <c r="C504" s="128"/>
      <c r="D504" s="135"/>
      <c r="E504" s="135"/>
      <c r="F504" s="135"/>
      <c r="G504" s="135"/>
      <c r="H504" s="136"/>
      <c r="I504" s="135"/>
      <c r="J504" s="135"/>
      <c r="K504" s="135"/>
      <c r="L504" s="135"/>
      <c r="M504" s="135"/>
      <c r="N504" s="135"/>
      <c r="O504" s="135"/>
      <c r="P504" s="135"/>
      <c r="Q504" s="135"/>
      <c r="R504" s="135"/>
      <c r="S504" s="135"/>
      <c r="T504" s="137"/>
      <c r="U504" s="128"/>
      <c r="V504" s="135"/>
      <c r="W504" s="135"/>
      <c r="X504" s="135"/>
      <c r="Y504" s="135"/>
      <c r="Z504" s="136"/>
      <c r="AA504" s="135"/>
      <c r="AB504" s="135"/>
      <c r="AC504" s="135"/>
      <c r="AD504" s="135"/>
      <c r="AE504" s="135"/>
      <c r="AF504" s="135"/>
      <c r="AG504" s="135"/>
      <c r="AH504" s="135"/>
      <c r="AI504" s="135"/>
      <c r="AJ504" s="135"/>
    </row>
    <row r="505" spans="2:36" s="132" customFormat="1" ht="20.149999999999999" customHeight="1">
      <c r="B505" s="137"/>
      <c r="C505" s="128"/>
      <c r="D505" s="135"/>
      <c r="E505" s="135"/>
      <c r="F505" s="135"/>
      <c r="G505" s="135"/>
      <c r="H505" s="136"/>
      <c r="I505" s="135"/>
      <c r="J505" s="135"/>
      <c r="K505" s="135"/>
      <c r="L505" s="135"/>
      <c r="M505" s="135"/>
      <c r="N505" s="135"/>
      <c r="O505" s="135"/>
      <c r="P505" s="135"/>
      <c r="Q505" s="135"/>
      <c r="R505" s="135"/>
      <c r="S505" s="135"/>
      <c r="T505" s="137"/>
      <c r="U505" s="128"/>
      <c r="V505" s="135"/>
      <c r="W505" s="135"/>
      <c r="X505" s="135"/>
      <c r="Y505" s="135"/>
      <c r="Z505" s="136"/>
      <c r="AA505" s="135"/>
      <c r="AB505" s="135"/>
      <c r="AC505" s="135"/>
      <c r="AD505" s="135"/>
      <c r="AE505" s="135"/>
      <c r="AF505" s="135"/>
      <c r="AG505" s="135"/>
      <c r="AH505" s="135"/>
      <c r="AI505" s="135"/>
      <c r="AJ505" s="135"/>
    </row>
    <row r="506" spans="2:36" s="132" customFormat="1" ht="20.149999999999999" customHeight="1">
      <c r="B506" s="137"/>
      <c r="C506" s="128"/>
      <c r="D506" s="135"/>
      <c r="E506" s="135"/>
      <c r="F506" s="135"/>
      <c r="G506" s="135"/>
      <c r="H506" s="136"/>
      <c r="I506" s="135"/>
      <c r="J506" s="135"/>
      <c r="K506" s="135"/>
      <c r="L506" s="135"/>
      <c r="M506" s="135"/>
      <c r="N506" s="135"/>
      <c r="O506" s="135"/>
      <c r="P506" s="135"/>
      <c r="Q506" s="135"/>
      <c r="R506" s="135"/>
      <c r="S506" s="135"/>
      <c r="T506" s="137"/>
      <c r="U506" s="128"/>
      <c r="V506" s="135"/>
      <c r="W506" s="135"/>
      <c r="X506" s="135"/>
      <c r="Y506" s="135"/>
      <c r="Z506" s="136"/>
      <c r="AA506" s="135"/>
      <c r="AB506" s="135"/>
      <c r="AC506" s="135"/>
      <c r="AD506" s="135"/>
      <c r="AE506" s="135"/>
      <c r="AF506" s="135"/>
      <c r="AG506" s="135"/>
      <c r="AH506" s="135"/>
      <c r="AI506" s="135"/>
      <c r="AJ506" s="135"/>
    </row>
    <row r="507" spans="2:36" s="132" customFormat="1" ht="20.149999999999999" customHeight="1">
      <c r="B507" s="137"/>
      <c r="C507" s="128"/>
      <c r="D507" s="135"/>
      <c r="E507" s="135"/>
      <c r="F507" s="135"/>
      <c r="G507" s="135"/>
      <c r="H507" s="136"/>
      <c r="I507" s="135"/>
      <c r="J507" s="135"/>
      <c r="K507" s="135"/>
      <c r="L507" s="135"/>
      <c r="M507" s="135"/>
      <c r="N507" s="135"/>
      <c r="O507" s="135"/>
      <c r="P507" s="135"/>
      <c r="Q507" s="135"/>
      <c r="R507" s="135"/>
      <c r="S507" s="135"/>
      <c r="T507" s="137"/>
      <c r="U507" s="128"/>
      <c r="V507" s="135"/>
      <c r="W507" s="135"/>
      <c r="X507" s="135"/>
      <c r="Y507" s="135"/>
      <c r="Z507" s="136"/>
      <c r="AA507" s="135"/>
      <c r="AB507" s="135"/>
      <c r="AC507" s="135"/>
      <c r="AD507" s="135"/>
      <c r="AE507" s="135"/>
      <c r="AF507" s="135"/>
      <c r="AG507" s="135"/>
      <c r="AH507" s="135"/>
      <c r="AI507" s="135"/>
      <c r="AJ507" s="135"/>
    </row>
    <row r="508" spans="2:36" s="132" customFormat="1" ht="20.149999999999999" customHeight="1">
      <c r="B508" s="137"/>
      <c r="C508" s="128"/>
      <c r="D508" s="135"/>
      <c r="E508" s="135"/>
      <c r="F508" s="135"/>
      <c r="G508" s="135"/>
      <c r="H508" s="136"/>
      <c r="I508" s="135"/>
      <c r="J508" s="135"/>
      <c r="K508" s="135"/>
      <c r="L508" s="135"/>
      <c r="M508" s="135"/>
      <c r="N508" s="135"/>
      <c r="O508" s="135"/>
      <c r="P508" s="135"/>
      <c r="Q508" s="135"/>
      <c r="R508" s="135"/>
      <c r="S508" s="135"/>
      <c r="T508" s="137"/>
      <c r="U508" s="128"/>
      <c r="V508" s="135"/>
      <c r="W508" s="135"/>
      <c r="X508" s="135"/>
      <c r="Y508" s="135"/>
      <c r="Z508" s="136"/>
      <c r="AA508" s="135"/>
      <c r="AB508" s="135"/>
      <c r="AC508" s="135"/>
      <c r="AD508" s="135"/>
      <c r="AE508" s="135"/>
      <c r="AF508" s="135"/>
      <c r="AG508" s="135"/>
      <c r="AH508" s="135"/>
      <c r="AI508" s="135"/>
      <c r="AJ508" s="135"/>
    </row>
    <row r="509" spans="2:36" s="132" customFormat="1" ht="20.149999999999999" customHeight="1">
      <c r="B509" s="137"/>
      <c r="C509" s="128"/>
      <c r="D509" s="135"/>
      <c r="E509" s="135"/>
      <c r="F509" s="135"/>
      <c r="G509" s="135"/>
      <c r="H509" s="136"/>
      <c r="I509" s="135"/>
      <c r="J509" s="135"/>
      <c r="K509" s="135"/>
      <c r="L509" s="135"/>
      <c r="M509" s="135"/>
      <c r="N509" s="135"/>
      <c r="O509" s="135"/>
      <c r="P509" s="135"/>
      <c r="Q509" s="135"/>
      <c r="R509" s="135"/>
      <c r="S509" s="135"/>
      <c r="T509" s="137"/>
      <c r="U509" s="128"/>
      <c r="V509" s="135"/>
      <c r="W509" s="135"/>
      <c r="X509" s="135"/>
      <c r="Y509" s="135"/>
      <c r="Z509" s="136"/>
      <c r="AA509" s="135"/>
      <c r="AB509" s="135"/>
      <c r="AC509" s="135"/>
      <c r="AD509" s="135"/>
      <c r="AE509" s="135"/>
      <c r="AF509" s="135"/>
      <c r="AG509" s="135"/>
      <c r="AH509" s="135"/>
      <c r="AI509" s="135"/>
      <c r="AJ509" s="135"/>
    </row>
    <row r="510" spans="2:36" s="132" customFormat="1" ht="20.149999999999999" customHeight="1">
      <c r="B510" s="137"/>
      <c r="C510" s="128"/>
      <c r="D510" s="135"/>
      <c r="E510" s="135"/>
      <c r="F510" s="135"/>
      <c r="G510" s="135"/>
      <c r="H510" s="136"/>
      <c r="I510" s="135"/>
      <c r="J510" s="135"/>
      <c r="K510" s="135"/>
      <c r="L510" s="135"/>
      <c r="M510" s="135"/>
      <c r="N510" s="135"/>
      <c r="O510" s="135"/>
      <c r="P510" s="135"/>
      <c r="Q510" s="135"/>
      <c r="R510" s="135"/>
      <c r="S510" s="135"/>
      <c r="T510" s="137"/>
      <c r="U510" s="128"/>
      <c r="V510" s="135"/>
      <c r="W510" s="135"/>
      <c r="X510" s="135"/>
      <c r="Y510" s="135"/>
      <c r="Z510" s="136"/>
      <c r="AA510" s="135"/>
      <c r="AB510" s="135"/>
      <c r="AC510" s="135"/>
      <c r="AD510" s="135"/>
      <c r="AE510" s="135"/>
      <c r="AF510" s="135"/>
      <c r="AG510" s="135"/>
      <c r="AH510" s="135"/>
      <c r="AI510" s="135"/>
      <c r="AJ510" s="135"/>
    </row>
    <row r="511" spans="2:36" s="132" customFormat="1" ht="20.149999999999999" customHeight="1">
      <c r="B511" s="137"/>
      <c r="C511" s="128"/>
      <c r="D511" s="135"/>
      <c r="E511" s="135"/>
      <c r="F511" s="135"/>
      <c r="G511" s="135"/>
      <c r="H511" s="136"/>
      <c r="I511" s="135"/>
      <c r="J511" s="135"/>
      <c r="K511" s="135"/>
      <c r="L511" s="135"/>
      <c r="M511" s="135"/>
      <c r="N511" s="135"/>
      <c r="O511" s="135"/>
      <c r="P511" s="135"/>
      <c r="Q511" s="135"/>
      <c r="R511" s="135"/>
      <c r="S511" s="135"/>
      <c r="T511" s="137"/>
      <c r="U511" s="128"/>
      <c r="V511" s="135"/>
      <c r="W511" s="135"/>
      <c r="X511" s="135"/>
      <c r="Y511" s="135"/>
      <c r="Z511" s="136"/>
      <c r="AA511" s="135"/>
      <c r="AB511" s="135"/>
      <c r="AC511" s="135"/>
      <c r="AD511" s="135"/>
      <c r="AE511" s="135"/>
      <c r="AF511" s="135"/>
      <c r="AG511" s="135"/>
      <c r="AH511" s="135"/>
      <c r="AI511" s="135"/>
      <c r="AJ511" s="135"/>
    </row>
    <row r="512" spans="2:36" s="132" customFormat="1" ht="20.149999999999999" customHeight="1">
      <c r="B512" s="137"/>
      <c r="C512" s="128"/>
      <c r="D512" s="135"/>
      <c r="E512" s="135"/>
      <c r="F512" s="135"/>
      <c r="G512" s="135"/>
      <c r="H512" s="136"/>
      <c r="I512" s="135"/>
      <c r="J512" s="135"/>
      <c r="K512" s="135"/>
      <c r="L512" s="135"/>
      <c r="M512" s="135"/>
      <c r="N512" s="135"/>
      <c r="O512" s="135"/>
      <c r="P512" s="135"/>
      <c r="Q512" s="135"/>
      <c r="R512" s="135"/>
      <c r="S512" s="135"/>
      <c r="T512" s="137"/>
      <c r="U512" s="128"/>
      <c r="V512" s="135"/>
      <c r="W512" s="135"/>
      <c r="X512" s="135"/>
      <c r="Y512" s="135"/>
      <c r="Z512" s="136"/>
      <c r="AA512" s="135"/>
      <c r="AB512" s="135"/>
      <c r="AC512" s="135"/>
      <c r="AD512" s="135"/>
      <c r="AE512" s="135"/>
      <c r="AF512" s="135"/>
      <c r="AG512" s="135"/>
      <c r="AH512" s="135"/>
      <c r="AI512" s="135"/>
      <c r="AJ512" s="135"/>
    </row>
    <row r="513" spans="2:36" s="132" customFormat="1" ht="20.149999999999999" customHeight="1">
      <c r="B513" s="137"/>
      <c r="C513" s="128"/>
      <c r="D513" s="135"/>
      <c r="E513" s="135"/>
      <c r="F513" s="135"/>
      <c r="G513" s="135"/>
      <c r="H513" s="136"/>
      <c r="I513" s="135"/>
      <c r="J513" s="135"/>
      <c r="K513" s="135"/>
      <c r="L513" s="135"/>
      <c r="M513" s="135"/>
      <c r="N513" s="135"/>
      <c r="O513" s="135"/>
      <c r="P513" s="135"/>
      <c r="Q513" s="135"/>
      <c r="R513" s="135"/>
      <c r="S513" s="135"/>
      <c r="T513" s="137"/>
      <c r="U513" s="128"/>
      <c r="V513" s="135"/>
      <c r="W513" s="135"/>
      <c r="X513" s="135"/>
      <c r="Y513" s="135"/>
      <c r="Z513" s="136"/>
      <c r="AA513" s="135"/>
      <c r="AB513" s="135"/>
      <c r="AC513" s="135"/>
      <c r="AD513" s="135"/>
      <c r="AE513" s="135"/>
      <c r="AF513" s="135"/>
      <c r="AG513" s="135"/>
      <c r="AH513" s="135"/>
      <c r="AI513" s="135"/>
      <c r="AJ513" s="135"/>
    </row>
    <row r="514" spans="2:36" s="132" customFormat="1" ht="20.149999999999999" customHeight="1">
      <c r="B514" s="137"/>
      <c r="C514" s="128"/>
      <c r="D514" s="135"/>
      <c r="E514" s="135"/>
      <c r="F514" s="135"/>
      <c r="G514" s="135"/>
      <c r="H514" s="136"/>
      <c r="I514" s="135"/>
      <c r="J514" s="135"/>
      <c r="K514" s="135"/>
      <c r="L514" s="135"/>
      <c r="M514" s="135"/>
      <c r="N514" s="135"/>
      <c r="O514" s="135"/>
      <c r="P514" s="135"/>
      <c r="Q514" s="135"/>
      <c r="R514" s="135"/>
      <c r="S514" s="135"/>
      <c r="T514" s="137"/>
      <c r="U514" s="128"/>
      <c r="V514" s="135"/>
      <c r="W514" s="135"/>
      <c r="X514" s="135"/>
      <c r="Y514" s="135"/>
      <c r="Z514" s="136"/>
      <c r="AA514" s="135"/>
      <c r="AB514" s="135"/>
      <c r="AC514" s="135"/>
      <c r="AD514" s="135"/>
      <c r="AE514" s="135"/>
      <c r="AF514" s="135"/>
      <c r="AG514" s="135"/>
      <c r="AH514" s="135"/>
      <c r="AI514" s="135"/>
      <c r="AJ514" s="135"/>
    </row>
    <row r="515" spans="2:36" s="132" customFormat="1" ht="20.149999999999999" customHeight="1">
      <c r="B515" s="137"/>
      <c r="C515" s="128"/>
      <c r="D515" s="135"/>
      <c r="E515" s="135"/>
      <c r="F515" s="135"/>
      <c r="G515" s="135"/>
      <c r="H515" s="136"/>
      <c r="I515" s="135"/>
      <c r="J515" s="135"/>
      <c r="K515" s="135"/>
      <c r="L515" s="135"/>
      <c r="M515" s="135"/>
      <c r="N515" s="135"/>
      <c r="O515" s="135"/>
      <c r="P515" s="135"/>
      <c r="Q515" s="135"/>
      <c r="R515" s="135"/>
      <c r="S515" s="135"/>
      <c r="T515" s="137"/>
      <c r="U515" s="128"/>
      <c r="V515" s="135"/>
      <c r="W515" s="135"/>
      <c r="X515" s="135"/>
      <c r="Y515" s="135"/>
      <c r="Z515" s="136"/>
      <c r="AA515" s="135"/>
      <c r="AB515" s="135"/>
      <c r="AC515" s="135"/>
      <c r="AD515" s="135"/>
      <c r="AE515" s="135"/>
      <c r="AF515" s="135"/>
      <c r="AG515" s="135"/>
      <c r="AH515" s="135"/>
      <c r="AI515" s="135"/>
      <c r="AJ515" s="135"/>
    </row>
    <row r="516" spans="2:36" s="132" customFormat="1" ht="20.149999999999999" customHeight="1">
      <c r="B516" s="137"/>
      <c r="C516" s="128"/>
      <c r="D516" s="135"/>
      <c r="E516" s="135"/>
      <c r="F516" s="135"/>
      <c r="G516" s="135"/>
      <c r="H516" s="136"/>
      <c r="I516" s="135"/>
      <c r="J516" s="135"/>
      <c r="K516" s="135"/>
      <c r="L516" s="135"/>
      <c r="M516" s="135"/>
      <c r="N516" s="135"/>
      <c r="O516" s="135"/>
      <c r="P516" s="135"/>
      <c r="Q516" s="135"/>
      <c r="R516" s="135"/>
      <c r="S516" s="135"/>
      <c r="T516" s="137"/>
      <c r="U516" s="128"/>
      <c r="V516" s="135"/>
      <c r="W516" s="135"/>
      <c r="X516" s="135"/>
      <c r="Y516" s="135"/>
      <c r="Z516" s="136"/>
      <c r="AA516" s="135"/>
      <c r="AB516" s="135"/>
      <c r="AC516" s="135"/>
      <c r="AD516" s="135"/>
      <c r="AE516" s="135"/>
      <c r="AF516" s="135"/>
      <c r="AG516" s="135"/>
      <c r="AH516" s="135"/>
      <c r="AI516" s="135"/>
      <c r="AJ516" s="135"/>
    </row>
    <row r="517" spans="2:36" s="132" customFormat="1" ht="20.149999999999999" customHeight="1">
      <c r="B517" s="137"/>
      <c r="C517" s="128"/>
      <c r="D517" s="135"/>
      <c r="E517" s="135"/>
      <c r="F517" s="135"/>
      <c r="G517" s="135"/>
      <c r="H517" s="136"/>
      <c r="I517" s="135"/>
      <c r="J517" s="135"/>
      <c r="K517" s="135"/>
      <c r="L517" s="135"/>
      <c r="M517" s="135"/>
      <c r="N517" s="135"/>
      <c r="O517" s="135"/>
      <c r="P517" s="135"/>
      <c r="Q517" s="135"/>
      <c r="R517" s="135"/>
      <c r="S517" s="135"/>
      <c r="T517" s="137"/>
      <c r="U517" s="128"/>
      <c r="V517" s="135"/>
      <c r="W517" s="135"/>
      <c r="X517" s="135"/>
      <c r="Y517" s="135"/>
      <c r="Z517" s="136"/>
      <c r="AA517" s="135"/>
      <c r="AB517" s="135"/>
      <c r="AC517" s="135"/>
      <c r="AD517" s="135"/>
      <c r="AE517" s="135"/>
      <c r="AF517" s="135"/>
      <c r="AG517" s="135"/>
      <c r="AH517" s="135"/>
      <c r="AI517" s="135"/>
      <c r="AJ517" s="135"/>
    </row>
    <row r="518" spans="2:36" s="132" customFormat="1" ht="20.149999999999999" customHeight="1">
      <c r="B518" s="137"/>
      <c r="C518" s="128"/>
      <c r="D518" s="135"/>
      <c r="E518" s="135"/>
      <c r="F518" s="135"/>
      <c r="G518" s="135"/>
      <c r="H518" s="136"/>
      <c r="I518" s="135"/>
      <c r="J518" s="135"/>
      <c r="K518" s="135"/>
      <c r="L518" s="135"/>
      <c r="M518" s="135"/>
      <c r="N518" s="135"/>
      <c r="O518" s="135"/>
      <c r="P518" s="135"/>
      <c r="Q518" s="135"/>
      <c r="R518" s="135"/>
      <c r="S518" s="135"/>
      <c r="T518" s="137"/>
      <c r="U518" s="128"/>
      <c r="V518" s="135"/>
      <c r="W518" s="135"/>
      <c r="X518" s="135"/>
      <c r="Y518" s="135"/>
      <c r="Z518" s="136"/>
      <c r="AA518" s="135"/>
      <c r="AB518" s="135"/>
      <c r="AC518" s="135"/>
      <c r="AD518" s="135"/>
      <c r="AE518" s="135"/>
      <c r="AF518" s="135"/>
      <c r="AG518" s="135"/>
      <c r="AH518" s="135"/>
      <c r="AI518" s="135"/>
      <c r="AJ518" s="135"/>
    </row>
    <row r="519" spans="2:36" s="132" customFormat="1" ht="20.149999999999999" customHeight="1">
      <c r="B519" s="137"/>
      <c r="C519" s="128"/>
      <c r="D519" s="135"/>
      <c r="E519" s="135"/>
      <c r="F519" s="135"/>
      <c r="G519" s="135"/>
      <c r="H519" s="136"/>
      <c r="I519" s="135"/>
      <c r="J519" s="135"/>
      <c r="K519" s="135"/>
      <c r="L519" s="135"/>
      <c r="M519" s="135"/>
      <c r="N519" s="135"/>
      <c r="O519" s="135"/>
      <c r="P519" s="135"/>
      <c r="Q519" s="135"/>
      <c r="R519" s="135"/>
      <c r="S519" s="135"/>
      <c r="T519" s="137"/>
      <c r="U519" s="128"/>
      <c r="V519" s="135"/>
      <c r="W519" s="135"/>
      <c r="X519" s="135"/>
      <c r="Y519" s="135"/>
      <c r="Z519" s="136"/>
      <c r="AA519" s="135"/>
      <c r="AB519" s="135"/>
      <c r="AC519" s="135"/>
      <c r="AD519" s="135"/>
      <c r="AE519" s="135"/>
      <c r="AF519" s="135"/>
      <c r="AG519" s="135"/>
      <c r="AH519" s="135"/>
      <c r="AI519" s="135"/>
      <c r="AJ519" s="135"/>
    </row>
    <row r="520" spans="2:36" s="132" customFormat="1" ht="20.149999999999999" customHeight="1">
      <c r="B520" s="137"/>
      <c r="C520" s="128"/>
      <c r="D520" s="135"/>
      <c r="E520" s="135"/>
      <c r="F520" s="135"/>
      <c r="G520" s="135"/>
      <c r="H520" s="136"/>
      <c r="I520" s="135"/>
      <c r="J520" s="135"/>
      <c r="K520" s="135"/>
      <c r="L520" s="135"/>
      <c r="M520" s="135"/>
      <c r="N520" s="135"/>
      <c r="O520" s="135"/>
      <c r="P520" s="135"/>
      <c r="Q520" s="135"/>
      <c r="R520" s="135"/>
      <c r="S520" s="135"/>
      <c r="T520" s="137"/>
      <c r="U520" s="128"/>
      <c r="V520" s="135"/>
      <c r="W520" s="135"/>
      <c r="X520" s="135"/>
      <c r="Y520" s="135"/>
      <c r="Z520" s="136"/>
      <c r="AA520" s="135"/>
      <c r="AB520" s="135"/>
      <c r="AC520" s="135"/>
      <c r="AD520" s="135"/>
      <c r="AE520" s="135"/>
      <c r="AF520" s="135"/>
      <c r="AG520" s="135"/>
      <c r="AH520" s="135"/>
      <c r="AI520" s="135"/>
      <c r="AJ520" s="135"/>
    </row>
    <row r="521" spans="2:36" s="132" customFormat="1" ht="20.149999999999999" customHeight="1">
      <c r="B521" s="137"/>
      <c r="C521" s="128"/>
      <c r="D521" s="135"/>
      <c r="E521" s="135"/>
      <c r="F521" s="135"/>
      <c r="G521" s="135"/>
      <c r="H521" s="136"/>
      <c r="I521" s="135"/>
      <c r="J521" s="135"/>
      <c r="K521" s="135"/>
      <c r="L521" s="135"/>
      <c r="M521" s="135"/>
      <c r="N521" s="135"/>
      <c r="O521" s="135"/>
      <c r="P521" s="135"/>
      <c r="Q521" s="135"/>
      <c r="R521" s="135"/>
      <c r="S521" s="135"/>
      <c r="T521" s="137"/>
      <c r="U521" s="128"/>
      <c r="V521" s="135"/>
      <c r="W521" s="135"/>
      <c r="X521" s="135"/>
      <c r="Y521" s="135"/>
      <c r="Z521" s="136"/>
      <c r="AA521" s="135"/>
      <c r="AB521" s="135"/>
      <c r="AC521" s="135"/>
      <c r="AD521" s="135"/>
      <c r="AE521" s="135"/>
      <c r="AF521" s="135"/>
      <c r="AG521" s="135"/>
      <c r="AH521" s="135"/>
      <c r="AI521" s="135"/>
      <c r="AJ521" s="135"/>
    </row>
    <row r="522" spans="2:36" s="132" customFormat="1" ht="20.149999999999999" customHeight="1">
      <c r="B522" s="137"/>
      <c r="C522" s="128"/>
      <c r="D522" s="135"/>
      <c r="E522" s="135"/>
      <c r="F522" s="135"/>
      <c r="G522" s="135"/>
      <c r="H522" s="136"/>
      <c r="I522" s="135"/>
      <c r="J522" s="135"/>
      <c r="K522" s="135"/>
      <c r="L522" s="135"/>
      <c r="M522" s="135"/>
      <c r="N522" s="135"/>
      <c r="O522" s="135"/>
      <c r="P522" s="135"/>
      <c r="Q522" s="135"/>
      <c r="R522" s="135"/>
      <c r="S522" s="135"/>
      <c r="T522" s="137"/>
      <c r="U522" s="128"/>
      <c r="V522" s="135"/>
      <c r="W522" s="135"/>
      <c r="X522" s="135"/>
      <c r="Y522" s="135"/>
      <c r="Z522" s="136"/>
      <c r="AA522" s="135"/>
      <c r="AB522" s="135"/>
      <c r="AC522" s="135"/>
      <c r="AD522" s="135"/>
      <c r="AE522" s="135"/>
      <c r="AF522" s="135"/>
      <c r="AG522" s="135"/>
      <c r="AH522" s="135"/>
      <c r="AI522" s="135"/>
      <c r="AJ522" s="135"/>
    </row>
    <row r="523" spans="2:36" s="132" customFormat="1" ht="20.149999999999999" customHeight="1">
      <c r="B523" s="137"/>
      <c r="C523" s="128"/>
      <c r="D523" s="135"/>
      <c r="E523" s="135"/>
      <c r="F523" s="135"/>
      <c r="G523" s="135"/>
      <c r="H523" s="136"/>
      <c r="I523" s="135"/>
      <c r="J523" s="135"/>
      <c r="K523" s="135"/>
      <c r="L523" s="135"/>
      <c r="M523" s="135"/>
      <c r="N523" s="135"/>
      <c r="O523" s="135"/>
      <c r="P523" s="135"/>
      <c r="Q523" s="135"/>
      <c r="R523" s="135"/>
      <c r="S523" s="135"/>
      <c r="T523" s="137"/>
      <c r="U523" s="128"/>
      <c r="V523" s="135"/>
      <c r="W523" s="135"/>
      <c r="X523" s="135"/>
      <c r="Y523" s="135"/>
      <c r="Z523" s="136"/>
      <c r="AA523" s="135"/>
      <c r="AB523" s="135"/>
      <c r="AC523" s="135"/>
      <c r="AD523" s="135"/>
      <c r="AE523" s="135"/>
      <c r="AF523" s="135"/>
      <c r="AG523" s="135"/>
      <c r="AH523" s="135"/>
      <c r="AI523" s="135"/>
      <c r="AJ523" s="135"/>
    </row>
    <row r="524" spans="2:36" s="132" customFormat="1" ht="20.149999999999999" customHeight="1">
      <c r="B524" s="137"/>
      <c r="C524" s="128"/>
      <c r="D524" s="135"/>
      <c r="E524" s="135"/>
      <c r="F524" s="135"/>
      <c r="G524" s="135"/>
      <c r="H524" s="136"/>
      <c r="I524" s="135"/>
      <c r="J524" s="135"/>
      <c r="K524" s="135"/>
      <c r="L524" s="135"/>
      <c r="M524" s="135"/>
      <c r="N524" s="135"/>
      <c r="O524" s="135"/>
      <c r="P524" s="135"/>
      <c r="Q524" s="135"/>
      <c r="R524" s="135"/>
      <c r="S524" s="135"/>
      <c r="T524" s="137"/>
      <c r="U524" s="128"/>
      <c r="V524" s="135"/>
      <c r="W524" s="135"/>
      <c r="X524" s="135"/>
      <c r="Y524" s="135"/>
      <c r="Z524" s="136"/>
      <c r="AA524" s="135"/>
      <c r="AB524" s="135"/>
      <c r="AC524" s="135"/>
      <c r="AD524" s="135"/>
      <c r="AE524" s="135"/>
      <c r="AF524" s="135"/>
      <c r="AG524" s="135"/>
      <c r="AH524" s="135"/>
      <c r="AI524" s="135"/>
      <c r="AJ524" s="135"/>
    </row>
    <row r="525" spans="2:36" s="132" customFormat="1" ht="20.149999999999999" customHeight="1">
      <c r="B525" s="137"/>
      <c r="C525" s="128"/>
      <c r="D525" s="135"/>
      <c r="E525" s="135"/>
      <c r="F525" s="135"/>
      <c r="G525" s="135"/>
      <c r="H525" s="136"/>
      <c r="I525" s="135"/>
      <c r="J525" s="135"/>
      <c r="K525" s="135"/>
      <c r="L525" s="135"/>
      <c r="M525" s="135"/>
      <c r="N525" s="135"/>
      <c r="O525" s="135"/>
      <c r="P525" s="135"/>
      <c r="Q525" s="135"/>
      <c r="R525" s="135"/>
      <c r="S525" s="135"/>
      <c r="T525" s="137"/>
      <c r="U525" s="128"/>
      <c r="V525" s="135"/>
      <c r="W525" s="135"/>
      <c r="X525" s="135"/>
      <c r="Y525" s="135"/>
      <c r="Z525" s="136"/>
      <c r="AA525" s="135"/>
      <c r="AB525" s="135"/>
      <c r="AC525" s="135"/>
      <c r="AD525" s="135"/>
      <c r="AE525" s="135"/>
      <c r="AF525" s="135"/>
      <c r="AG525" s="135"/>
      <c r="AH525" s="135"/>
      <c r="AI525" s="135"/>
      <c r="AJ525" s="135"/>
    </row>
    <row r="526" spans="2:36" s="132" customFormat="1" ht="20.149999999999999" customHeight="1">
      <c r="B526" s="137"/>
      <c r="C526" s="128"/>
      <c r="D526" s="135"/>
      <c r="E526" s="135"/>
      <c r="F526" s="135"/>
      <c r="G526" s="135"/>
      <c r="H526" s="136"/>
      <c r="I526" s="135"/>
      <c r="J526" s="135"/>
      <c r="K526" s="135"/>
      <c r="L526" s="135"/>
      <c r="M526" s="135"/>
      <c r="N526" s="135"/>
      <c r="O526" s="135"/>
      <c r="P526" s="135"/>
      <c r="Q526" s="135"/>
      <c r="R526" s="135"/>
      <c r="S526" s="135"/>
      <c r="T526" s="137"/>
      <c r="U526" s="128"/>
      <c r="V526" s="135"/>
      <c r="W526" s="135"/>
      <c r="X526" s="135"/>
      <c r="Y526" s="135"/>
      <c r="Z526" s="136"/>
      <c r="AA526" s="135"/>
      <c r="AB526" s="135"/>
      <c r="AC526" s="135"/>
      <c r="AD526" s="135"/>
      <c r="AE526" s="135"/>
      <c r="AF526" s="135"/>
      <c r="AG526" s="135"/>
      <c r="AH526" s="135"/>
      <c r="AI526" s="135"/>
      <c r="AJ526" s="135"/>
    </row>
    <row r="527" spans="2:36" s="132" customFormat="1" ht="20.149999999999999" customHeight="1">
      <c r="B527" s="137"/>
      <c r="C527" s="128"/>
      <c r="D527" s="135"/>
      <c r="E527" s="135"/>
      <c r="F527" s="135"/>
      <c r="G527" s="135"/>
      <c r="H527" s="136"/>
      <c r="I527" s="135"/>
      <c r="J527" s="135"/>
      <c r="K527" s="135"/>
      <c r="L527" s="135"/>
      <c r="M527" s="135"/>
      <c r="N527" s="135"/>
      <c r="O527" s="135"/>
      <c r="P527" s="135"/>
      <c r="Q527" s="135"/>
      <c r="R527" s="135"/>
      <c r="S527" s="135"/>
      <c r="T527" s="137"/>
      <c r="U527" s="128"/>
      <c r="V527" s="135"/>
      <c r="W527" s="135"/>
      <c r="X527" s="135"/>
      <c r="Y527" s="135"/>
      <c r="Z527" s="136"/>
      <c r="AA527" s="135"/>
      <c r="AB527" s="135"/>
      <c r="AC527" s="135"/>
      <c r="AD527" s="135"/>
      <c r="AE527" s="135"/>
      <c r="AF527" s="135"/>
      <c r="AG527" s="135"/>
      <c r="AH527" s="135"/>
      <c r="AI527" s="135"/>
      <c r="AJ527" s="135"/>
    </row>
    <row r="528" spans="2:36" s="132" customFormat="1" ht="20.149999999999999" customHeight="1">
      <c r="B528" s="137"/>
      <c r="C528" s="128"/>
      <c r="D528" s="135"/>
      <c r="E528" s="135"/>
      <c r="F528" s="135"/>
      <c r="G528" s="135"/>
      <c r="H528" s="136"/>
      <c r="I528" s="135"/>
      <c r="J528" s="135"/>
      <c r="K528" s="135"/>
      <c r="L528" s="135"/>
      <c r="M528" s="135"/>
      <c r="N528" s="135"/>
      <c r="O528" s="135"/>
      <c r="P528" s="135"/>
      <c r="Q528" s="135"/>
      <c r="R528" s="135"/>
      <c r="S528" s="135"/>
      <c r="T528" s="137"/>
      <c r="U528" s="128"/>
      <c r="V528" s="135"/>
      <c r="W528" s="135"/>
      <c r="X528" s="135"/>
      <c r="Y528" s="135"/>
      <c r="Z528" s="136"/>
      <c r="AA528" s="135"/>
      <c r="AB528" s="135"/>
      <c r="AC528" s="135"/>
      <c r="AD528" s="135"/>
      <c r="AE528" s="135"/>
      <c r="AF528" s="135"/>
      <c r="AG528" s="135"/>
      <c r="AH528" s="135"/>
      <c r="AI528" s="135"/>
      <c r="AJ528" s="135"/>
    </row>
    <row r="529" spans="2:36" s="132" customFormat="1" ht="20.149999999999999" customHeight="1">
      <c r="B529" s="137"/>
      <c r="C529" s="128"/>
      <c r="D529" s="135"/>
      <c r="E529" s="135"/>
      <c r="F529" s="135"/>
      <c r="G529" s="135"/>
      <c r="H529" s="136"/>
      <c r="I529" s="135"/>
      <c r="J529" s="135"/>
      <c r="K529" s="135"/>
      <c r="L529" s="135"/>
      <c r="M529" s="135"/>
      <c r="N529" s="135"/>
      <c r="O529" s="135"/>
      <c r="P529" s="135"/>
      <c r="Q529" s="135"/>
      <c r="R529" s="135"/>
      <c r="S529" s="135"/>
      <c r="T529" s="137"/>
      <c r="U529" s="128"/>
      <c r="V529" s="135"/>
      <c r="W529" s="135"/>
      <c r="X529" s="135"/>
      <c r="Y529" s="135"/>
      <c r="Z529" s="136"/>
      <c r="AA529" s="135"/>
      <c r="AB529" s="135"/>
      <c r="AC529" s="135"/>
      <c r="AD529" s="135"/>
      <c r="AE529" s="135"/>
      <c r="AF529" s="135"/>
      <c r="AG529" s="135"/>
      <c r="AH529" s="135"/>
      <c r="AI529" s="135"/>
      <c r="AJ529" s="135"/>
    </row>
    <row r="530" spans="2:36" s="132" customFormat="1" ht="20.149999999999999" customHeight="1">
      <c r="B530" s="137"/>
      <c r="C530" s="128"/>
      <c r="D530" s="135"/>
      <c r="E530" s="135"/>
      <c r="F530" s="135"/>
      <c r="G530" s="135"/>
      <c r="H530" s="136"/>
      <c r="I530" s="135"/>
      <c r="J530" s="135"/>
      <c r="K530" s="135"/>
      <c r="L530" s="135"/>
      <c r="M530" s="135"/>
      <c r="N530" s="135"/>
      <c r="O530" s="135"/>
      <c r="P530" s="135"/>
      <c r="Q530" s="135"/>
      <c r="R530" s="135"/>
      <c r="S530" s="135"/>
      <c r="T530" s="137"/>
      <c r="U530" s="128"/>
      <c r="V530" s="135"/>
      <c r="W530" s="135"/>
      <c r="X530" s="135"/>
      <c r="Y530" s="135"/>
      <c r="Z530" s="136"/>
      <c r="AA530" s="135"/>
      <c r="AB530" s="135"/>
      <c r="AC530" s="135"/>
      <c r="AD530" s="135"/>
      <c r="AE530" s="135"/>
      <c r="AF530" s="135"/>
      <c r="AG530" s="135"/>
      <c r="AH530" s="135"/>
      <c r="AI530" s="135"/>
      <c r="AJ530" s="135"/>
    </row>
    <row r="531" spans="2:36" s="132" customFormat="1" ht="20.149999999999999" customHeight="1">
      <c r="B531" s="137"/>
      <c r="C531" s="128"/>
      <c r="D531" s="135"/>
      <c r="E531" s="135"/>
      <c r="F531" s="135"/>
      <c r="G531" s="135"/>
      <c r="H531" s="136"/>
      <c r="I531" s="135"/>
      <c r="J531" s="135"/>
      <c r="K531" s="135"/>
      <c r="L531" s="135"/>
      <c r="M531" s="135"/>
      <c r="N531" s="135"/>
      <c r="O531" s="135"/>
      <c r="P531" s="135"/>
      <c r="Q531" s="135"/>
      <c r="R531" s="135"/>
      <c r="S531" s="135"/>
      <c r="T531" s="137"/>
      <c r="U531" s="128"/>
      <c r="V531" s="135"/>
      <c r="W531" s="135"/>
      <c r="X531" s="135"/>
      <c r="Y531" s="135"/>
      <c r="Z531" s="136"/>
      <c r="AA531" s="135"/>
      <c r="AB531" s="135"/>
      <c r="AC531" s="135"/>
      <c r="AD531" s="135"/>
      <c r="AE531" s="135"/>
      <c r="AF531" s="135"/>
      <c r="AG531" s="135"/>
      <c r="AH531" s="135"/>
      <c r="AI531" s="135"/>
      <c r="AJ531" s="135"/>
    </row>
    <row r="532" spans="2:36" s="132" customFormat="1" ht="20.149999999999999" customHeight="1">
      <c r="B532" s="137"/>
      <c r="C532" s="128"/>
      <c r="D532" s="135"/>
      <c r="E532" s="135"/>
      <c r="F532" s="135"/>
      <c r="G532" s="135"/>
      <c r="H532" s="136"/>
      <c r="I532" s="135"/>
      <c r="J532" s="135"/>
      <c r="K532" s="135"/>
      <c r="L532" s="135"/>
      <c r="M532" s="135"/>
      <c r="N532" s="135"/>
      <c r="O532" s="135"/>
      <c r="P532" s="135"/>
      <c r="Q532" s="135"/>
      <c r="R532" s="135"/>
      <c r="S532" s="135"/>
      <c r="T532" s="137"/>
      <c r="U532" s="128"/>
      <c r="V532" s="135"/>
      <c r="W532" s="135"/>
      <c r="X532" s="135"/>
      <c r="Y532" s="135"/>
      <c r="Z532" s="136"/>
      <c r="AA532" s="135"/>
      <c r="AB532" s="135"/>
      <c r="AC532" s="135"/>
      <c r="AD532" s="135"/>
      <c r="AE532" s="135"/>
      <c r="AF532" s="135"/>
      <c r="AG532" s="135"/>
      <c r="AH532" s="135"/>
      <c r="AI532" s="135"/>
      <c r="AJ532" s="135"/>
    </row>
    <row r="533" spans="2:36" s="132" customFormat="1" ht="20.149999999999999" customHeight="1">
      <c r="B533" s="137"/>
      <c r="C533" s="128"/>
      <c r="D533" s="135"/>
      <c r="E533" s="135"/>
      <c r="F533" s="135"/>
      <c r="G533" s="135"/>
      <c r="H533" s="136"/>
      <c r="I533" s="135"/>
      <c r="J533" s="135"/>
      <c r="K533" s="135"/>
      <c r="L533" s="135"/>
      <c r="M533" s="135"/>
      <c r="N533" s="135"/>
      <c r="O533" s="135"/>
      <c r="P533" s="135"/>
      <c r="Q533" s="135"/>
      <c r="R533" s="135"/>
      <c r="S533" s="135"/>
      <c r="T533" s="137"/>
      <c r="U533" s="128"/>
      <c r="V533" s="135"/>
      <c r="W533" s="135"/>
      <c r="X533" s="135"/>
      <c r="Y533" s="135"/>
      <c r="Z533" s="136"/>
      <c r="AA533" s="135"/>
      <c r="AB533" s="135"/>
      <c r="AC533" s="135"/>
      <c r="AD533" s="135"/>
      <c r="AE533" s="135"/>
      <c r="AF533" s="135"/>
      <c r="AG533" s="135"/>
      <c r="AH533" s="135"/>
      <c r="AI533" s="135"/>
      <c r="AJ533" s="135"/>
    </row>
    <row r="534" spans="2:36" s="132" customFormat="1" ht="20.149999999999999" customHeight="1">
      <c r="B534" s="137"/>
      <c r="C534" s="128"/>
      <c r="D534" s="135"/>
      <c r="E534" s="135"/>
      <c r="F534" s="135"/>
      <c r="G534" s="135"/>
      <c r="H534" s="136"/>
      <c r="I534" s="135"/>
      <c r="J534" s="135"/>
      <c r="K534" s="135"/>
      <c r="L534" s="135"/>
      <c r="M534" s="135"/>
      <c r="N534" s="135"/>
      <c r="O534" s="135"/>
      <c r="P534" s="135"/>
      <c r="Q534" s="135"/>
      <c r="R534" s="135"/>
      <c r="S534" s="135"/>
      <c r="T534" s="137"/>
      <c r="U534" s="128"/>
      <c r="V534" s="135"/>
      <c r="W534" s="135"/>
      <c r="X534" s="135"/>
      <c r="Y534" s="135"/>
      <c r="Z534" s="136"/>
      <c r="AA534" s="135"/>
      <c r="AB534" s="135"/>
      <c r="AC534" s="135"/>
      <c r="AD534" s="135"/>
      <c r="AE534" s="135"/>
      <c r="AF534" s="135"/>
      <c r="AG534" s="135"/>
      <c r="AH534" s="135"/>
      <c r="AI534" s="135"/>
      <c r="AJ534" s="135"/>
    </row>
    <row r="535" spans="2:36" s="132" customFormat="1" ht="20.149999999999999" customHeight="1">
      <c r="B535" s="137"/>
      <c r="C535" s="128"/>
      <c r="D535" s="135"/>
      <c r="E535" s="135"/>
      <c r="F535" s="135"/>
      <c r="G535" s="135"/>
      <c r="H535" s="136"/>
      <c r="I535" s="135"/>
      <c r="J535" s="135"/>
      <c r="K535" s="135"/>
      <c r="L535" s="135"/>
      <c r="M535" s="135"/>
      <c r="N535" s="135"/>
      <c r="O535" s="135"/>
      <c r="P535" s="135"/>
      <c r="Q535" s="135"/>
      <c r="R535" s="135"/>
      <c r="S535" s="135"/>
      <c r="T535" s="137"/>
      <c r="U535" s="128"/>
      <c r="V535" s="135"/>
      <c r="W535" s="135"/>
      <c r="X535" s="135"/>
      <c r="Y535" s="135"/>
      <c r="Z535" s="136"/>
      <c r="AA535" s="135"/>
      <c r="AB535" s="135"/>
      <c r="AC535" s="135"/>
      <c r="AD535" s="135"/>
      <c r="AE535" s="135"/>
      <c r="AF535" s="135"/>
      <c r="AG535" s="135"/>
      <c r="AH535" s="135"/>
      <c r="AI535" s="135"/>
      <c r="AJ535" s="135"/>
    </row>
    <row r="536" spans="2:36" s="132" customFormat="1" ht="20.149999999999999" customHeight="1">
      <c r="B536" s="137"/>
      <c r="C536" s="128"/>
      <c r="D536" s="135"/>
      <c r="E536" s="135"/>
      <c r="F536" s="135"/>
      <c r="G536" s="135"/>
      <c r="H536" s="136"/>
      <c r="I536" s="135"/>
      <c r="J536" s="135"/>
      <c r="K536" s="135"/>
      <c r="L536" s="135"/>
      <c r="M536" s="135"/>
      <c r="N536" s="135"/>
      <c r="O536" s="135"/>
      <c r="P536" s="135"/>
      <c r="Q536" s="135"/>
      <c r="R536" s="135"/>
      <c r="S536" s="135"/>
      <c r="T536" s="137"/>
      <c r="U536" s="128"/>
      <c r="V536" s="135"/>
      <c r="W536" s="135"/>
      <c r="X536" s="135"/>
      <c r="Y536" s="135"/>
      <c r="Z536" s="136"/>
      <c r="AA536" s="135"/>
      <c r="AB536" s="135"/>
      <c r="AC536" s="135"/>
      <c r="AD536" s="135"/>
      <c r="AE536" s="135"/>
      <c r="AF536" s="135"/>
      <c r="AG536" s="135"/>
      <c r="AH536" s="135"/>
      <c r="AI536" s="135"/>
      <c r="AJ536" s="135"/>
    </row>
    <row r="537" spans="2:36" s="132" customFormat="1" ht="20.149999999999999" customHeight="1">
      <c r="B537" s="137"/>
      <c r="C537" s="128"/>
      <c r="D537" s="135"/>
      <c r="E537" s="135"/>
      <c r="F537" s="135"/>
      <c r="G537" s="135"/>
      <c r="H537" s="136"/>
      <c r="I537" s="135"/>
      <c r="J537" s="135"/>
      <c r="K537" s="135"/>
      <c r="L537" s="135"/>
      <c r="M537" s="135"/>
      <c r="N537" s="135"/>
      <c r="O537" s="135"/>
      <c r="P537" s="135"/>
      <c r="Q537" s="135"/>
      <c r="R537" s="135"/>
      <c r="S537" s="135"/>
      <c r="T537" s="137"/>
      <c r="U537" s="128"/>
      <c r="V537" s="135"/>
      <c r="W537" s="135"/>
      <c r="X537" s="135"/>
      <c r="Y537" s="135"/>
      <c r="Z537" s="136"/>
      <c r="AA537" s="135"/>
      <c r="AB537" s="135"/>
      <c r="AC537" s="135"/>
      <c r="AD537" s="135"/>
      <c r="AE537" s="135"/>
      <c r="AF537" s="135"/>
      <c r="AG537" s="135"/>
      <c r="AH537" s="135"/>
      <c r="AI537" s="135"/>
      <c r="AJ537" s="135"/>
    </row>
    <row r="538" spans="2:36" s="132" customFormat="1" ht="20.149999999999999" customHeight="1">
      <c r="B538" s="137"/>
      <c r="C538" s="128"/>
      <c r="D538" s="135"/>
      <c r="E538" s="135"/>
      <c r="F538" s="135"/>
      <c r="G538" s="135"/>
      <c r="H538" s="136"/>
      <c r="I538" s="135"/>
      <c r="J538" s="135"/>
      <c r="K538" s="135"/>
      <c r="L538" s="135"/>
      <c r="M538" s="135"/>
      <c r="N538" s="135"/>
      <c r="O538" s="135"/>
      <c r="P538" s="135"/>
      <c r="Q538" s="135"/>
      <c r="R538" s="135"/>
      <c r="S538" s="135"/>
      <c r="T538" s="137"/>
      <c r="U538" s="128"/>
      <c r="V538" s="135"/>
      <c r="W538" s="135"/>
      <c r="X538" s="135"/>
      <c r="Y538" s="135"/>
      <c r="Z538" s="136"/>
      <c r="AA538" s="135"/>
      <c r="AB538" s="135"/>
      <c r="AC538" s="135"/>
      <c r="AD538" s="135"/>
      <c r="AE538" s="135"/>
      <c r="AF538" s="135"/>
      <c r="AG538" s="135"/>
      <c r="AH538" s="135"/>
      <c r="AI538" s="135"/>
      <c r="AJ538" s="135"/>
    </row>
    <row r="539" spans="2:36" s="132" customFormat="1" ht="20.149999999999999" customHeight="1">
      <c r="B539" s="137"/>
      <c r="C539" s="128"/>
      <c r="D539" s="135"/>
      <c r="E539" s="135"/>
      <c r="F539" s="135"/>
      <c r="G539" s="135"/>
      <c r="H539" s="136"/>
      <c r="I539" s="135"/>
      <c r="J539" s="135"/>
      <c r="K539" s="135"/>
      <c r="L539" s="135"/>
      <c r="M539" s="135"/>
      <c r="N539" s="135"/>
      <c r="O539" s="135"/>
      <c r="P539" s="135"/>
      <c r="Q539" s="135"/>
      <c r="R539" s="135"/>
      <c r="S539" s="135"/>
      <c r="T539" s="137"/>
      <c r="U539" s="128"/>
      <c r="V539" s="135"/>
      <c r="W539" s="135"/>
      <c r="X539" s="135"/>
      <c r="Y539" s="135"/>
      <c r="Z539" s="136"/>
      <c r="AA539" s="135"/>
      <c r="AB539" s="135"/>
      <c r="AC539" s="135"/>
      <c r="AD539" s="135"/>
      <c r="AE539" s="135"/>
      <c r="AF539" s="135"/>
      <c r="AG539" s="135"/>
      <c r="AH539" s="135"/>
      <c r="AI539" s="135"/>
      <c r="AJ539" s="135"/>
    </row>
    <row r="540" spans="2:36" s="132" customFormat="1" ht="20.149999999999999" customHeight="1">
      <c r="B540" s="137"/>
      <c r="C540" s="128"/>
      <c r="D540" s="135"/>
      <c r="E540" s="135"/>
      <c r="F540" s="135"/>
      <c r="G540" s="135"/>
      <c r="H540" s="136"/>
      <c r="I540" s="135"/>
      <c r="J540" s="135"/>
      <c r="K540" s="135"/>
      <c r="L540" s="135"/>
      <c r="M540" s="135"/>
      <c r="N540" s="135"/>
      <c r="O540" s="135"/>
      <c r="P540" s="135"/>
      <c r="Q540" s="135"/>
      <c r="R540" s="135"/>
      <c r="S540" s="135"/>
      <c r="T540" s="137"/>
      <c r="U540" s="128"/>
      <c r="V540" s="135"/>
      <c r="W540" s="135"/>
      <c r="X540" s="135"/>
      <c r="Y540" s="135"/>
      <c r="Z540" s="136"/>
      <c r="AA540" s="135"/>
      <c r="AB540" s="135"/>
      <c r="AC540" s="135"/>
      <c r="AD540" s="135"/>
      <c r="AE540" s="135"/>
      <c r="AF540" s="135"/>
      <c r="AG540" s="135"/>
      <c r="AH540" s="135"/>
      <c r="AI540" s="135"/>
      <c r="AJ540" s="135"/>
    </row>
  </sheetData>
  <sheetProtection sheet="1" objects="1" scenarios="1"/>
  <mergeCells count="792">
    <mergeCell ref="C11:Q11"/>
    <mergeCell ref="U11:AI11"/>
    <mergeCell ref="C12:E12"/>
    <mergeCell ref="F12:I12"/>
    <mergeCell ref="J12:L12"/>
    <mergeCell ref="M12:Q12"/>
    <mergeCell ref="U12:W12"/>
    <mergeCell ref="X12:AA12"/>
    <mergeCell ref="AB12:AD12"/>
    <mergeCell ref="AE12:AI12"/>
    <mergeCell ref="C13:E13"/>
    <mergeCell ref="F13:I13"/>
    <mergeCell ref="J13:L13"/>
    <mergeCell ref="M13:Q13"/>
    <mergeCell ref="U13:W13"/>
    <mergeCell ref="X13:AA13"/>
    <mergeCell ref="AB13:AD13"/>
    <mergeCell ref="AE13:AI13"/>
    <mergeCell ref="C14:E14"/>
    <mergeCell ref="F14:I14"/>
    <mergeCell ref="J14:L14"/>
    <mergeCell ref="M14:Q14"/>
    <mergeCell ref="U14:W14"/>
    <mergeCell ref="X14:AA14"/>
    <mergeCell ref="AB14:AD14"/>
    <mergeCell ref="AE14:AI14"/>
    <mergeCell ref="C15:E15"/>
    <mergeCell ref="F15:I15"/>
    <mergeCell ref="J15:L15"/>
    <mergeCell ref="M15:Q15"/>
    <mergeCell ref="U15:W15"/>
    <mergeCell ref="X15:AA15"/>
    <mergeCell ref="AB15:AD15"/>
    <mergeCell ref="AE15:AI15"/>
    <mergeCell ref="C16:E16"/>
    <mergeCell ref="F16:I16"/>
    <mergeCell ref="J16:L16"/>
    <mergeCell ref="U16:W16"/>
    <mergeCell ref="X16:AA16"/>
    <mergeCell ref="AB16:AD16"/>
    <mergeCell ref="C17:E17"/>
    <mergeCell ref="F17:I17"/>
    <mergeCell ref="J17:L17"/>
    <mergeCell ref="U17:W17"/>
    <mergeCell ref="X17:AA17"/>
    <mergeCell ref="AB17:AD17"/>
    <mergeCell ref="C22:E22"/>
    <mergeCell ref="F22:I22"/>
    <mergeCell ref="J22:L22"/>
    <mergeCell ref="M22:Q22"/>
    <mergeCell ref="U22:W22"/>
    <mergeCell ref="X22:AA22"/>
    <mergeCell ref="AB22:AD22"/>
    <mergeCell ref="AE22:AI22"/>
    <mergeCell ref="C23:E23"/>
    <mergeCell ref="F23:Q23"/>
    <mergeCell ref="U23:W23"/>
    <mergeCell ref="X23:AI23"/>
    <mergeCell ref="C24:E24"/>
    <mergeCell ref="F24:Q24"/>
    <mergeCell ref="U24:W24"/>
    <mergeCell ref="X24:AI24"/>
    <mergeCell ref="F36:Q36"/>
    <mergeCell ref="U36:W36"/>
    <mergeCell ref="X36:AI36"/>
    <mergeCell ref="C27:E27"/>
    <mergeCell ref="F27:I27"/>
    <mergeCell ref="J27:L27"/>
    <mergeCell ref="M27:Q27"/>
    <mergeCell ref="U27:W27"/>
    <mergeCell ref="X27:AA27"/>
    <mergeCell ref="AB27:AD27"/>
    <mergeCell ref="AE27:AI27"/>
    <mergeCell ref="C28:E28"/>
    <mergeCell ref="F28:I28"/>
    <mergeCell ref="J28:L28"/>
    <mergeCell ref="M28:Q28"/>
    <mergeCell ref="U28:W28"/>
    <mergeCell ref="X28:AA28"/>
    <mergeCell ref="AB28:AD28"/>
    <mergeCell ref="AE28:AI28"/>
    <mergeCell ref="C39:E39"/>
    <mergeCell ref="F39:Q39"/>
    <mergeCell ref="U39:W39"/>
    <mergeCell ref="X39:AI39"/>
    <mergeCell ref="C40:E40"/>
    <mergeCell ref="F40:Q40"/>
    <mergeCell ref="U40:W40"/>
    <mergeCell ref="X40:AI40"/>
    <mergeCell ref="C41:Q41"/>
    <mergeCell ref="U41:AI41"/>
    <mergeCell ref="C42:E42"/>
    <mergeCell ref="F42:G42"/>
    <mergeCell ref="H42:I42"/>
    <mergeCell ref="J42:K42"/>
    <mergeCell ref="U42:W42"/>
    <mergeCell ref="X42:Y42"/>
    <mergeCell ref="Z42:AA42"/>
    <mergeCell ref="AB42:AC42"/>
    <mergeCell ref="C43:E43"/>
    <mergeCell ref="F43:G43"/>
    <mergeCell ref="H43:I43"/>
    <mergeCell ref="J43:K43"/>
    <mergeCell ref="L43:Q43"/>
    <mergeCell ref="U43:W43"/>
    <mergeCell ref="X43:Y43"/>
    <mergeCell ref="Z43:AA43"/>
    <mergeCell ref="AB43:AC43"/>
    <mergeCell ref="AD43:AI43"/>
    <mergeCell ref="C44:E44"/>
    <mergeCell ref="F44:G44"/>
    <mergeCell ref="H44:I44"/>
    <mergeCell ref="J44:K44"/>
    <mergeCell ref="L44:Q44"/>
    <mergeCell ref="U44:W44"/>
    <mergeCell ref="X44:Y44"/>
    <mergeCell ref="Z44:AA44"/>
    <mergeCell ref="AB44:AC44"/>
    <mergeCell ref="AD44:AF44"/>
    <mergeCell ref="AG44:AI44"/>
    <mergeCell ref="C45:E45"/>
    <mergeCell ref="F45:G45"/>
    <mergeCell ref="H45:I45"/>
    <mergeCell ref="J45:K45"/>
    <mergeCell ref="U45:W45"/>
    <mergeCell ref="X45:Y45"/>
    <mergeCell ref="Z45:AA45"/>
    <mergeCell ref="AB45:AC45"/>
    <mergeCell ref="C46:E46"/>
    <mergeCell ref="F46:G46"/>
    <mergeCell ref="H46:I46"/>
    <mergeCell ref="J46:K46"/>
    <mergeCell ref="U46:W46"/>
    <mergeCell ref="X46:Y46"/>
    <mergeCell ref="Z46:AA46"/>
    <mergeCell ref="AB46:AC46"/>
    <mergeCell ref="C47:K47"/>
    <mergeCell ref="U47:AC47"/>
    <mergeCell ref="C48:E48"/>
    <mergeCell ref="F48:G48"/>
    <mergeCell ref="H48:I48"/>
    <mergeCell ref="J48:K48"/>
    <mergeCell ref="U48:W48"/>
    <mergeCell ref="X48:Y48"/>
    <mergeCell ref="Z48:AA48"/>
    <mergeCell ref="AB48:AC48"/>
    <mergeCell ref="C49:E49"/>
    <mergeCell ref="F49:G49"/>
    <mergeCell ref="H49:I49"/>
    <mergeCell ref="J49:K49"/>
    <mergeCell ref="U49:W49"/>
    <mergeCell ref="X49:Y49"/>
    <mergeCell ref="Z49:AA49"/>
    <mergeCell ref="AB49:AC49"/>
    <mergeCell ref="C50:E50"/>
    <mergeCell ref="F50:G50"/>
    <mergeCell ref="H50:I50"/>
    <mergeCell ref="J50:K50"/>
    <mergeCell ref="U50:W50"/>
    <mergeCell ref="X50:Y50"/>
    <mergeCell ref="Z50:AA50"/>
    <mergeCell ref="AB50:AC50"/>
    <mergeCell ref="C51:K51"/>
    <mergeCell ref="U51:AC51"/>
    <mergeCell ref="C52:I52"/>
    <mergeCell ref="J52:K52"/>
    <mergeCell ref="U52:AA52"/>
    <mergeCell ref="AB52:AC52"/>
    <mergeCell ref="C53:I53"/>
    <mergeCell ref="U53:AA53"/>
    <mergeCell ref="C54:E54"/>
    <mergeCell ref="F54:H54"/>
    <mergeCell ref="I54:K54"/>
    <mergeCell ref="L54:N54"/>
    <mergeCell ref="O54:Q54"/>
    <mergeCell ref="U54:W54"/>
    <mergeCell ref="X54:Z54"/>
    <mergeCell ref="AA54:AC54"/>
    <mergeCell ref="AD54:AF54"/>
    <mergeCell ref="AG54:AI54"/>
    <mergeCell ref="C60:E60"/>
    <mergeCell ref="F60:Q60"/>
    <mergeCell ref="U60:W60"/>
    <mergeCell ref="X60:AI60"/>
    <mergeCell ref="C61:E61"/>
    <mergeCell ref="F61:Q61"/>
    <mergeCell ref="U61:W61"/>
    <mergeCell ref="X61:AI61"/>
    <mergeCell ref="AA57:AC58"/>
    <mergeCell ref="AD57:AF58"/>
    <mergeCell ref="AG57:AI58"/>
    <mergeCell ref="C78:E78"/>
    <mergeCell ref="F78:Q78"/>
    <mergeCell ref="U78:W78"/>
    <mergeCell ref="X78:AI78"/>
    <mergeCell ref="C79:E79"/>
    <mergeCell ref="F79:Q79"/>
    <mergeCell ref="U79:W79"/>
    <mergeCell ref="X79:AI79"/>
    <mergeCell ref="C80:E80"/>
    <mergeCell ref="F80:Q80"/>
    <mergeCell ref="U80:W80"/>
    <mergeCell ref="X80:AI80"/>
    <mergeCell ref="C81:E81"/>
    <mergeCell ref="F81:Q81"/>
    <mergeCell ref="U81:W81"/>
    <mergeCell ref="X81:AI81"/>
    <mergeCell ref="D170:P170"/>
    <mergeCell ref="V170:AH170"/>
    <mergeCell ref="D171:H171"/>
    <mergeCell ref="I171:P171"/>
    <mergeCell ref="V171:Z171"/>
    <mergeCell ref="AA171:AH171"/>
    <mergeCell ref="D172:H172"/>
    <mergeCell ref="I172:P172"/>
    <mergeCell ref="V172:Z172"/>
    <mergeCell ref="AA172:AH172"/>
    <mergeCell ref="D173:H173"/>
    <mergeCell ref="I173:P173"/>
    <mergeCell ref="V173:Z173"/>
    <mergeCell ref="AA173:AH173"/>
    <mergeCell ref="D174:H174"/>
    <mergeCell ref="I174:P174"/>
    <mergeCell ref="V174:Z174"/>
    <mergeCell ref="AA174:AH174"/>
    <mergeCell ref="D175:H175"/>
    <mergeCell ref="I175:P175"/>
    <mergeCell ref="V175:Z175"/>
    <mergeCell ref="AA175:AH175"/>
    <mergeCell ref="D180:P180"/>
    <mergeCell ref="V180:AH180"/>
    <mergeCell ref="D189:P189"/>
    <mergeCell ref="V189:AH189"/>
    <mergeCell ref="AO192:AQ192"/>
    <mergeCell ref="D181:D182"/>
    <mergeCell ref="D183:D184"/>
    <mergeCell ref="D185:D186"/>
    <mergeCell ref="D187:D188"/>
    <mergeCell ref="D190:D191"/>
    <mergeCell ref="D192:D193"/>
    <mergeCell ref="D176:H179"/>
    <mergeCell ref="I176:P179"/>
    <mergeCell ref="E181:P182"/>
    <mergeCell ref="E183:P184"/>
    <mergeCell ref="E185:P186"/>
    <mergeCell ref="E187:P188"/>
    <mergeCell ref="E190:P191"/>
    <mergeCell ref="E192:P193"/>
    <mergeCell ref="V181:V182"/>
    <mergeCell ref="AL194:AT194"/>
    <mergeCell ref="D198:I198"/>
    <mergeCell ref="J198:P198"/>
    <mergeCell ref="V198:AA198"/>
    <mergeCell ref="AB198:AH198"/>
    <mergeCell ref="D199:I199"/>
    <mergeCell ref="J199:P199"/>
    <mergeCell ref="V199:AA199"/>
    <mergeCell ref="AB199:AH199"/>
    <mergeCell ref="D194:D195"/>
    <mergeCell ref="D196:D197"/>
    <mergeCell ref="E194:P195"/>
    <mergeCell ref="E196:P197"/>
    <mergeCell ref="W196:AH197"/>
    <mergeCell ref="D200:I200"/>
    <mergeCell ref="J200:P200"/>
    <mergeCell ref="V200:AA200"/>
    <mergeCell ref="AB200:AH200"/>
    <mergeCell ref="D201:I201"/>
    <mergeCell ref="J201:P201"/>
    <mergeCell ref="V201:AA201"/>
    <mergeCell ref="AB201:AH201"/>
    <mergeCell ref="D202:I202"/>
    <mergeCell ref="J202:P202"/>
    <mergeCell ref="V202:AA202"/>
    <mergeCell ref="AB202:AH202"/>
    <mergeCell ref="D203:I203"/>
    <mergeCell ref="J203:P203"/>
    <mergeCell ref="V203:AA203"/>
    <mergeCell ref="AB203:AH203"/>
    <mergeCell ref="D204:I204"/>
    <mergeCell ref="J204:P204"/>
    <mergeCell ref="V204:AA204"/>
    <mergeCell ref="AB204:AH204"/>
    <mergeCell ref="D205:I205"/>
    <mergeCell ref="J205:P205"/>
    <mergeCell ref="V205:AA205"/>
    <mergeCell ref="AB205:AH205"/>
    <mergeCell ref="D206:I206"/>
    <mergeCell ref="J206:P206"/>
    <mergeCell ref="V206:AA206"/>
    <mergeCell ref="AB206:AH206"/>
    <mergeCell ref="D207:I207"/>
    <mergeCell ref="J207:P207"/>
    <mergeCell ref="V207:AA207"/>
    <mergeCell ref="AB207:AH207"/>
    <mergeCell ref="D208:I208"/>
    <mergeCell ref="J208:P208"/>
    <mergeCell ref="V208:AA208"/>
    <mergeCell ref="AB208:AH208"/>
    <mergeCell ref="AO208:AQ208"/>
    <mergeCell ref="AL209:AT209"/>
    <mergeCell ref="D216:I216"/>
    <mergeCell ref="J216:P216"/>
    <mergeCell ref="V216:AA216"/>
    <mergeCell ref="AB216:AH216"/>
    <mergeCell ref="J217:P217"/>
    <mergeCell ref="AB217:AH217"/>
    <mergeCell ref="J218:P218"/>
    <mergeCell ref="AB218:AH218"/>
    <mergeCell ref="D211:I213"/>
    <mergeCell ref="D214:I215"/>
    <mergeCell ref="AB209:AH210"/>
    <mergeCell ref="AB211:AH213"/>
    <mergeCell ref="AB214:AH215"/>
    <mergeCell ref="J209:P210"/>
    <mergeCell ref="J211:P213"/>
    <mergeCell ref="J214:P215"/>
    <mergeCell ref="V214:AA215"/>
    <mergeCell ref="D219:I219"/>
    <mergeCell ref="J219:P219"/>
    <mergeCell ref="V219:AA219"/>
    <mergeCell ref="AB219:AH219"/>
    <mergeCell ref="C234:Q234"/>
    <mergeCell ref="U234:AI234"/>
    <mergeCell ref="AO280:AQ280"/>
    <mergeCell ref="AL283:AT283"/>
    <mergeCell ref="AO329:AQ329"/>
    <mergeCell ref="D299:D301"/>
    <mergeCell ref="D302:D304"/>
    <mergeCell ref="D305:D307"/>
    <mergeCell ref="F235:F240"/>
    <mergeCell ref="F241:F243"/>
    <mergeCell ref="F244:F246"/>
    <mergeCell ref="F247:F249"/>
    <mergeCell ref="F250:F252"/>
    <mergeCell ref="F253:F255"/>
    <mergeCell ref="F256:F258"/>
    <mergeCell ref="F259:F261"/>
    <mergeCell ref="F262:F264"/>
    <mergeCell ref="F265:F267"/>
    <mergeCell ref="F268:F270"/>
    <mergeCell ref="F271:F273"/>
    <mergeCell ref="AL330:AT330"/>
    <mergeCell ref="C222:C227"/>
    <mergeCell ref="C228:C230"/>
    <mergeCell ref="C231:C233"/>
    <mergeCell ref="C235:C240"/>
    <mergeCell ref="C241:C243"/>
    <mergeCell ref="C244:C246"/>
    <mergeCell ref="C247:C249"/>
    <mergeCell ref="C250:C252"/>
    <mergeCell ref="C253:C255"/>
    <mergeCell ref="C256:C258"/>
    <mergeCell ref="C259:C261"/>
    <mergeCell ref="C262:C264"/>
    <mergeCell ref="C265:C267"/>
    <mergeCell ref="C268:C270"/>
    <mergeCell ref="C271:C273"/>
    <mergeCell ref="C274:C276"/>
    <mergeCell ref="C277:C279"/>
    <mergeCell ref="C280:C282"/>
    <mergeCell ref="C283:C285"/>
    <mergeCell ref="C286:C288"/>
    <mergeCell ref="C289:C291"/>
    <mergeCell ref="D293:D295"/>
    <mergeCell ref="D296:D298"/>
    <mergeCell ref="F274:F276"/>
    <mergeCell ref="F277:F279"/>
    <mergeCell ref="F280:F282"/>
    <mergeCell ref="F283:F285"/>
    <mergeCell ref="F286:F288"/>
    <mergeCell ref="F289:F291"/>
    <mergeCell ref="G222:G227"/>
    <mergeCell ref="G228:G230"/>
    <mergeCell ref="G231:G233"/>
    <mergeCell ref="D228:F230"/>
    <mergeCell ref="D231:F233"/>
    <mergeCell ref="G244:H246"/>
    <mergeCell ref="G241:H243"/>
    <mergeCell ref="G235:H240"/>
    <mergeCell ref="G268:H270"/>
    <mergeCell ref="G265:H267"/>
    <mergeCell ref="G271:H273"/>
    <mergeCell ref="D274:E276"/>
    <mergeCell ref="D271:E273"/>
    <mergeCell ref="D268:E270"/>
    <mergeCell ref="D265:E267"/>
    <mergeCell ref="D262:E264"/>
    <mergeCell ref="D241:E243"/>
    <mergeCell ref="D244:E246"/>
    <mergeCell ref="V183:V184"/>
    <mergeCell ref="V185:V186"/>
    <mergeCell ref="V187:V188"/>
    <mergeCell ref="V190:V191"/>
    <mergeCell ref="V192:V193"/>
    <mergeCell ref="V194:V195"/>
    <mergeCell ref="V196:V197"/>
    <mergeCell ref="V211:AA213"/>
    <mergeCell ref="V293:V295"/>
    <mergeCell ref="V268:W270"/>
    <mergeCell ref="V265:W267"/>
    <mergeCell ref="V262:W264"/>
    <mergeCell ref="V241:W243"/>
    <mergeCell ref="V244:W246"/>
    <mergeCell ref="Y289:Z291"/>
    <mergeCell ref="AA289:AB291"/>
    <mergeCell ref="Y250:Z252"/>
    <mergeCell ref="AA250:AB252"/>
    <mergeCell ref="Y283:Z285"/>
    <mergeCell ref="AA283:AB285"/>
    <mergeCell ref="Y277:Z279"/>
    <mergeCell ref="AA277:AB279"/>
    <mergeCell ref="V296:V298"/>
    <mergeCell ref="V299:V301"/>
    <mergeCell ref="V302:V304"/>
    <mergeCell ref="V305:V307"/>
    <mergeCell ref="X235:X240"/>
    <mergeCell ref="X241:X243"/>
    <mergeCell ref="X244:X246"/>
    <mergeCell ref="X247:X249"/>
    <mergeCell ref="X250:X252"/>
    <mergeCell ref="X253:X255"/>
    <mergeCell ref="X256:X258"/>
    <mergeCell ref="X259:X261"/>
    <mergeCell ref="X262:X264"/>
    <mergeCell ref="X265:X267"/>
    <mergeCell ref="X268:X270"/>
    <mergeCell ref="X271:X273"/>
    <mergeCell ref="X274:X276"/>
    <mergeCell ref="X277:X279"/>
    <mergeCell ref="X280:X282"/>
    <mergeCell ref="X283:X285"/>
    <mergeCell ref="X286:X288"/>
    <mergeCell ref="X289:X291"/>
    <mergeCell ref="V247:W249"/>
    <mergeCell ref="V271:W273"/>
    <mergeCell ref="D259:E261"/>
    <mergeCell ref="V259:W261"/>
    <mergeCell ref="D256:E258"/>
    <mergeCell ref="V256:W258"/>
    <mergeCell ref="D253:E255"/>
    <mergeCell ref="V253:W255"/>
    <mergeCell ref="D250:E252"/>
    <mergeCell ref="V250:W252"/>
    <mergeCell ref="D247:E249"/>
    <mergeCell ref="K250:L252"/>
    <mergeCell ref="M250:N252"/>
    <mergeCell ref="O259:Q261"/>
    <mergeCell ref="U256:U258"/>
    <mergeCell ref="U259:U261"/>
    <mergeCell ref="U247:U249"/>
    <mergeCell ref="U250:U252"/>
    <mergeCell ref="U253:U255"/>
    <mergeCell ref="D286:E288"/>
    <mergeCell ref="V286:W288"/>
    <mergeCell ref="D283:E285"/>
    <mergeCell ref="V283:W285"/>
    <mergeCell ref="D280:E282"/>
    <mergeCell ref="V280:W282"/>
    <mergeCell ref="D277:E279"/>
    <mergeCell ref="V277:W279"/>
    <mergeCell ref="G289:H291"/>
    <mergeCell ref="I289:J291"/>
    <mergeCell ref="K289:L291"/>
    <mergeCell ref="M289:N291"/>
    <mergeCell ref="U283:U285"/>
    <mergeCell ref="U286:U288"/>
    <mergeCell ref="U289:U291"/>
    <mergeCell ref="U277:U279"/>
    <mergeCell ref="U280:U282"/>
    <mergeCell ref="G283:H285"/>
    <mergeCell ref="I283:J285"/>
    <mergeCell ref="K283:L285"/>
    <mergeCell ref="M283:N285"/>
    <mergeCell ref="AC289:AD291"/>
    <mergeCell ref="AE289:AF291"/>
    <mergeCell ref="G286:H288"/>
    <mergeCell ref="I286:J288"/>
    <mergeCell ref="K286:L288"/>
    <mergeCell ref="M286:N288"/>
    <mergeCell ref="Y286:Z288"/>
    <mergeCell ref="AA286:AB288"/>
    <mergeCell ref="AC286:AD288"/>
    <mergeCell ref="AE286:AF288"/>
    <mergeCell ref="V289:W291"/>
    <mergeCell ref="O289:Q291"/>
    <mergeCell ref="C37:E38"/>
    <mergeCell ref="U37:W38"/>
    <mergeCell ref="X34:AI35"/>
    <mergeCell ref="C25:E26"/>
    <mergeCell ref="U25:W26"/>
    <mergeCell ref="C29:E31"/>
    <mergeCell ref="U29:W31"/>
    <mergeCell ref="C34:E35"/>
    <mergeCell ref="U34:W35"/>
    <mergeCell ref="X25:AI26"/>
    <mergeCell ref="F25:Q26"/>
    <mergeCell ref="F29:I31"/>
    <mergeCell ref="M29:Q30"/>
    <mergeCell ref="M31:Q32"/>
    <mergeCell ref="F34:Q35"/>
    <mergeCell ref="C32:E32"/>
    <mergeCell ref="F32:I32"/>
    <mergeCell ref="U32:W32"/>
    <mergeCell ref="X32:AA32"/>
    <mergeCell ref="C33:E33"/>
    <mergeCell ref="F33:Q33"/>
    <mergeCell ref="U33:W33"/>
    <mergeCell ref="X33:AI33"/>
    <mergeCell ref="C36:E36"/>
    <mergeCell ref="F62:Q74"/>
    <mergeCell ref="F75:Q77"/>
    <mergeCell ref="D235:E240"/>
    <mergeCell ref="V235:W240"/>
    <mergeCell ref="U5:AI10"/>
    <mergeCell ref="AE16:AI17"/>
    <mergeCell ref="AE29:AI30"/>
    <mergeCell ref="AE31:AI32"/>
    <mergeCell ref="X29:AA31"/>
    <mergeCell ref="J29:L30"/>
    <mergeCell ref="AB29:AD30"/>
    <mergeCell ref="J31:L32"/>
    <mergeCell ref="AB31:AD32"/>
    <mergeCell ref="C5:Q10"/>
    <mergeCell ref="M16:Q17"/>
    <mergeCell ref="C18:E19"/>
    <mergeCell ref="U18:W19"/>
    <mergeCell ref="X18:AI19"/>
    <mergeCell ref="C20:E21"/>
    <mergeCell ref="U20:W21"/>
    <mergeCell ref="X20:AI21"/>
    <mergeCell ref="F18:Q19"/>
    <mergeCell ref="F20:Q21"/>
    <mergeCell ref="X62:AI74"/>
    <mergeCell ref="C62:E74"/>
    <mergeCell ref="U62:W74"/>
    <mergeCell ref="C75:E77"/>
    <mergeCell ref="U75:W77"/>
    <mergeCell ref="X75:AI77"/>
    <mergeCell ref="F37:Q38"/>
    <mergeCell ref="X37:AI38"/>
    <mergeCell ref="C55:E56"/>
    <mergeCell ref="F55:H56"/>
    <mergeCell ref="I55:K56"/>
    <mergeCell ref="L55:N56"/>
    <mergeCell ref="O55:Q56"/>
    <mergeCell ref="U55:W56"/>
    <mergeCell ref="X55:Z56"/>
    <mergeCell ref="AA55:AC56"/>
    <mergeCell ref="AD55:AF56"/>
    <mergeCell ref="AG55:AI56"/>
    <mergeCell ref="C57:E58"/>
    <mergeCell ref="F57:H58"/>
    <mergeCell ref="I57:K58"/>
    <mergeCell ref="L57:N58"/>
    <mergeCell ref="O57:Q58"/>
    <mergeCell ref="U57:W58"/>
    <mergeCell ref="X57:Z58"/>
    <mergeCell ref="E296:I298"/>
    <mergeCell ref="J296:M298"/>
    <mergeCell ref="N296:P298"/>
    <mergeCell ref="AF296:AH298"/>
    <mergeCell ref="W296:AA298"/>
    <mergeCell ref="AB296:AE298"/>
    <mergeCell ref="V176:Z179"/>
    <mergeCell ref="AA176:AH179"/>
    <mergeCell ref="D209:I210"/>
    <mergeCell ref="V209:AA210"/>
    <mergeCell ref="E293:I295"/>
    <mergeCell ref="J293:M295"/>
    <mergeCell ref="N293:P295"/>
    <mergeCell ref="AF293:AH295"/>
    <mergeCell ref="W293:AA295"/>
    <mergeCell ref="AB293:AE295"/>
    <mergeCell ref="W181:AH182"/>
    <mergeCell ref="W183:AH184"/>
    <mergeCell ref="W185:AH186"/>
    <mergeCell ref="W187:AH188"/>
    <mergeCell ref="W190:AH191"/>
    <mergeCell ref="W192:AH193"/>
    <mergeCell ref="W194:AH195"/>
    <mergeCell ref="D289:E291"/>
    <mergeCell ref="E305:I307"/>
    <mergeCell ref="J305:M307"/>
    <mergeCell ref="N305:P307"/>
    <mergeCell ref="AF305:AH307"/>
    <mergeCell ref="W305:AA307"/>
    <mergeCell ref="AB305:AE307"/>
    <mergeCell ref="E299:I301"/>
    <mergeCell ref="J299:M301"/>
    <mergeCell ref="N299:P301"/>
    <mergeCell ref="AF299:AH301"/>
    <mergeCell ref="W299:AA301"/>
    <mergeCell ref="AB299:AE301"/>
    <mergeCell ref="E302:I304"/>
    <mergeCell ref="J302:M304"/>
    <mergeCell ref="N302:P304"/>
    <mergeCell ref="AF302:AH304"/>
    <mergeCell ref="W302:AA304"/>
    <mergeCell ref="AB302:AE304"/>
    <mergeCell ref="H228:I230"/>
    <mergeCell ref="J228:K230"/>
    <mergeCell ref="L228:M230"/>
    <mergeCell ref="N228:O230"/>
    <mergeCell ref="P228:Q230"/>
    <mergeCell ref="Z228:AA230"/>
    <mergeCell ref="AB228:AC230"/>
    <mergeCell ref="AD228:AE230"/>
    <mergeCell ref="AF228:AG230"/>
    <mergeCell ref="V228:X230"/>
    <mergeCell ref="Y228:Y230"/>
    <mergeCell ref="U228:U230"/>
    <mergeCell ref="H231:I233"/>
    <mergeCell ref="J231:K233"/>
    <mergeCell ref="L231:M233"/>
    <mergeCell ref="N231:O233"/>
    <mergeCell ref="P231:Q233"/>
    <mergeCell ref="Z231:AA233"/>
    <mergeCell ref="AB231:AC233"/>
    <mergeCell ref="AD231:AE233"/>
    <mergeCell ref="AF231:AG233"/>
    <mergeCell ref="V231:X233"/>
    <mergeCell ref="Y231:Y233"/>
    <mergeCell ref="U231:U233"/>
    <mergeCell ref="H222:I227"/>
    <mergeCell ref="J222:K227"/>
    <mergeCell ref="L222:M227"/>
    <mergeCell ref="N222:O227"/>
    <mergeCell ref="P222:Q227"/>
    <mergeCell ref="Z222:AA227"/>
    <mergeCell ref="AB222:AC227"/>
    <mergeCell ref="AD222:AE227"/>
    <mergeCell ref="AF222:AG227"/>
    <mergeCell ref="Y222:Y227"/>
    <mergeCell ref="U222:U227"/>
    <mergeCell ref="AH222:AI227"/>
    <mergeCell ref="AH228:AI233"/>
    <mergeCell ref="G256:H258"/>
    <mergeCell ref="I256:J258"/>
    <mergeCell ref="K256:L258"/>
    <mergeCell ref="M256:N258"/>
    <mergeCell ref="Y256:Z258"/>
    <mergeCell ref="AA256:AB258"/>
    <mergeCell ref="AC256:AD258"/>
    <mergeCell ref="AE256:AF258"/>
    <mergeCell ref="O256:Q258"/>
    <mergeCell ref="AG256:AI258"/>
    <mergeCell ref="G253:H255"/>
    <mergeCell ref="I253:J255"/>
    <mergeCell ref="K253:L255"/>
    <mergeCell ref="M253:N255"/>
    <mergeCell ref="Y253:Z255"/>
    <mergeCell ref="AA253:AB255"/>
    <mergeCell ref="AC253:AD255"/>
    <mergeCell ref="AE253:AF255"/>
    <mergeCell ref="O253:Q255"/>
    <mergeCell ref="AG253:AI255"/>
    <mergeCell ref="G250:H252"/>
    <mergeCell ref="I250:J252"/>
    <mergeCell ref="AC250:AD252"/>
    <mergeCell ref="AE250:AF252"/>
    <mergeCell ref="O250:Q252"/>
    <mergeCell ref="AG250:AI252"/>
    <mergeCell ref="G247:H249"/>
    <mergeCell ref="I247:J249"/>
    <mergeCell ref="K247:L249"/>
    <mergeCell ref="M247:N249"/>
    <mergeCell ref="Y247:Z249"/>
    <mergeCell ref="AA247:AB249"/>
    <mergeCell ref="AC247:AD249"/>
    <mergeCell ref="AE247:AF249"/>
    <mergeCell ref="O247:Q249"/>
    <mergeCell ref="AG247:AI249"/>
    <mergeCell ref="I244:J246"/>
    <mergeCell ref="K244:L246"/>
    <mergeCell ref="M244:N246"/>
    <mergeCell ref="Y244:Z246"/>
    <mergeCell ref="AA244:AB246"/>
    <mergeCell ref="AC244:AD246"/>
    <mergeCell ref="AE244:AF246"/>
    <mergeCell ref="O244:Q246"/>
    <mergeCell ref="AG244:AI246"/>
    <mergeCell ref="U244:U246"/>
    <mergeCell ref="I241:J243"/>
    <mergeCell ref="K241:L243"/>
    <mergeCell ref="M241:N243"/>
    <mergeCell ref="Y241:Z243"/>
    <mergeCell ref="AA241:AB243"/>
    <mergeCell ref="AC241:AD243"/>
    <mergeCell ref="AE241:AF243"/>
    <mergeCell ref="O241:Q243"/>
    <mergeCell ref="AG241:AI243"/>
    <mergeCell ref="U241:U243"/>
    <mergeCell ref="I235:J240"/>
    <mergeCell ref="K235:L240"/>
    <mergeCell ref="M235:N240"/>
    <mergeCell ref="Y235:Z240"/>
    <mergeCell ref="AA235:AB240"/>
    <mergeCell ref="AC235:AD240"/>
    <mergeCell ref="AE235:AF240"/>
    <mergeCell ref="O235:Q240"/>
    <mergeCell ref="AG235:AI240"/>
    <mergeCell ref="U235:U240"/>
    <mergeCell ref="I268:J270"/>
    <mergeCell ref="K268:L270"/>
    <mergeCell ref="M268:N270"/>
    <mergeCell ref="Y268:Z270"/>
    <mergeCell ref="AA268:AB270"/>
    <mergeCell ref="AC268:AD270"/>
    <mergeCell ref="AE268:AF270"/>
    <mergeCell ref="O268:Q270"/>
    <mergeCell ref="AG268:AI270"/>
    <mergeCell ref="U268:U270"/>
    <mergeCell ref="I265:J267"/>
    <mergeCell ref="K265:L267"/>
    <mergeCell ref="M265:N267"/>
    <mergeCell ref="Y265:Z267"/>
    <mergeCell ref="AA265:AB267"/>
    <mergeCell ref="AC265:AD267"/>
    <mergeCell ref="AE265:AF267"/>
    <mergeCell ref="O265:Q267"/>
    <mergeCell ref="AG265:AI267"/>
    <mergeCell ref="U265:U267"/>
    <mergeCell ref="AG259:AI261"/>
    <mergeCell ref="G262:H264"/>
    <mergeCell ref="I262:J264"/>
    <mergeCell ref="K262:L264"/>
    <mergeCell ref="M262:N264"/>
    <mergeCell ref="Y262:Z264"/>
    <mergeCell ref="AA262:AB264"/>
    <mergeCell ref="AC262:AD264"/>
    <mergeCell ref="AE262:AF264"/>
    <mergeCell ref="O262:Q264"/>
    <mergeCell ref="AG262:AI264"/>
    <mergeCell ref="G259:H261"/>
    <mergeCell ref="I259:J261"/>
    <mergeCell ref="K259:L261"/>
    <mergeCell ref="M259:N261"/>
    <mergeCell ref="Y259:Z261"/>
    <mergeCell ref="AA259:AB261"/>
    <mergeCell ref="AC259:AD261"/>
    <mergeCell ref="AE259:AF261"/>
    <mergeCell ref="U262:U264"/>
    <mergeCell ref="AC283:AD285"/>
    <mergeCell ref="AE283:AF285"/>
    <mergeCell ref="G280:H282"/>
    <mergeCell ref="I280:J282"/>
    <mergeCell ref="K280:L282"/>
    <mergeCell ref="M280:N282"/>
    <mergeCell ref="Y280:Z282"/>
    <mergeCell ref="AA280:AB282"/>
    <mergeCell ref="AC280:AD282"/>
    <mergeCell ref="AE280:AF282"/>
    <mergeCell ref="O280:Q282"/>
    <mergeCell ref="AC277:AD279"/>
    <mergeCell ref="AE277:AF279"/>
    <mergeCell ref="O277:Q279"/>
    <mergeCell ref="AG277:AI279"/>
    <mergeCell ref="V274:W276"/>
    <mergeCell ref="I271:J273"/>
    <mergeCell ref="K271:L273"/>
    <mergeCell ref="M271:N273"/>
    <mergeCell ref="Y271:Z273"/>
    <mergeCell ref="AA271:AB273"/>
    <mergeCell ref="AC271:AD273"/>
    <mergeCell ref="AE271:AF273"/>
    <mergeCell ref="U271:U273"/>
    <mergeCell ref="U274:U276"/>
    <mergeCell ref="AG289:AI291"/>
    <mergeCell ref="O283:Q285"/>
    <mergeCell ref="AG283:AI285"/>
    <mergeCell ref="O286:Q288"/>
    <mergeCell ref="AG286:AI288"/>
    <mergeCell ref="O271:Q273"/>
    <mergeCell ref="AG271:AI273"/>
    <mergeCell ref="D222:F227"/>
    <mergeCell ref="V222:X227"/>
    <mergeCell ref="AG280:AI282"/>
    <mergeCell ref="G274:H276"/>
    <mergeCell ref="I274:J276"/>
    <mergeCell ref="K274:L276"/>
    <mergeCell ref="M274:N276"/>
    <mergeCell ref="Y274:Z276"/>
    <mergeCell ref="AA274:AB276"/>
    <mergeCell ref="AC274:AD276"/>
    <mergeCell ref="AE274:AF276"/>
    <mergeCell ref="O274:Q276"/>
    <mergeCell ref="AG274:AI276"/>
    <mergeCell ref="G277:H279"/>
    <mergeCell ref="I277:J279"/>
    <mergeCell ref="K277:L279"/>
    <mergeCell ref="M277:N279"/>
  </mergeCells>
  <conditionalFormatting sqref="AE241:AF243">
    <cfRule type="cellIs" dxfId="2" priority="3" operator="equal">
      <formula>"Applicable"</formula>
    </cfRule>
  </conditionalFormatting>
  <conditionalFormatting sqref="AE247:AF249">
    <cfRule type="cellIs" dxfId="1" priority="2" operator="equal">
      <formula>"Applicable"</formula>
    </cfRule>
  </conditionalFormatting>
  <conditionalFormatting sqref="AE259:AF261">
    <cfRule type="cellIs" dxfId="0" priority="1" operator="equal">
      <formula>"applicable"</formula>
    </cfRule>
  </conditionalFormatting>
  <hyperlinks>
    <hyperlink ref="AC247" r:id="rId1" xr:uid="{00000000-0004-0000-0700-000000000000}"/>
    <hyperlink ref="AC244" r:id="rId2" xr:uid="{00000000-0004-0000-0700-000001000000}"/>
    <hyperlink ref="AC250" r:id="rId3" xr:uid="{00000000-0004-0000-0700-000002000000}"/>
    <hyperlink ref="AC256" r:id="rId4" location="main-map" xr:uid="{00000000-0004-0000-0700-000003000000}"/>
    <hyperlink ref="AC253" r:id="rId5" xr:uid="{00000000-0004-0000-0700-000004000000}"/>
    <hyperlink ref="AC259" r:id="rId6" xr:uid="{00000000-0004-0000-0700-000005000000}"/>
    <hyperlink ref="AC262" r:id="rId7" xr:uid="{00000000-0004-0000-0700-000006000000}"/>
    <hyperlink ref="AC265" r:id="rId8" xr:uid="{00000000-0004-0000-0700-000007000000}"/>
    <hyperlink ref="AC274" r:id="rId9" xr:uid="{00000000-0004-0000-0700-000008000000}"/>
    <hyperlink ref="AC271" r:id="rId10" xr:uid="{00000000-0004-0000-0700-000009000000}"/>
    <hyperlink ref="AC241" r:id="rId11" xr:uid="{00000000-0004-0000-0700-00000A000000}"/>
    <hyperlink ref="AC283" r:id="rId12" xr:uid="{00000000-0004-0000-0700-00000B000000}"/>
    <hyperlink ref="AC286" r:id="rId13" xr:uid="{00000000-0004-0000-0700-00000C000000}"/>
    <hyperlink ref="K247" r:id="rId14" xr:uid="{00000000-0004-0000-0700-00000D000000}"/>
    <hyperlink ref="K244" r:id="rId15" xr:uid="{00000000-0004-0000-0700-00000E000000}"/>
    <hyperlink ref="K250" r:id="rId16" xr:uid="{00000000-0004-0000-0700-00000F000000}"/>
    <hyperlink ref="K256" r:id="rId17" location="main-map" xr:uid="{00000000-0004-0000-0700-000010000000}"/>
    <hyperlink ref="K253" r:id="rId18" xr:uid="{00000000-0004-0000-0700-000011000000}"/>
    <hyperlink ref="K259" r:id="rId19" xr:uid="{00000000-0004-0000-0700-000012000000}"/>
    <hyperlink ref="K262" r:id="rId20" xr:uid="{00000000-0004-0000-0700-000013000000}"/>
    <hyperlink ref="K265" r:id="rId21" xr:uid="{00000000-0004-0000-0700-000014000000}"/>
    <hyperlink ref="K274" r:id="rId22" xr:uid="{00000000-0004-0000-0700-000015000000}"/>
    <hyperlink ref="K271" r:id="rId23" xr:uid="{00000000-0004-0000-0700-000016000000}"/>
    <hyperlink ref="K241" r:id="rId24" xr:uid="{00000000-0004-0000-0700-000017000000}"/>
    <hyperlink ref="K283" r:id="rId25" xr:uid="{00000000-0004-0000-0700-000018000000}"/>
    <hyperlink ref="K286" r:id="rId26" xr:uid="{00000000-0004-0000-0700-000019000000}"/>
  </hyperlinks>
  <printOptions horizontalCentered="1"/>
  <pageMargins left="0.39370078740157499" right="0.39370078740157499" top="0.39370078740157499" bottom="0.39370078740157499" header="0.196850393700787" footer="0.196850393700787"/>
  <pageSetup paperSize="8" fitToWidth="0" fitToHeight="0" orientation="portrait"/>
  <rowBreaks count="5" manualBreakCount="5">
    <brk id="59" max="16383" man="1"/>
    <brk id="113" max="16383" man="1"/>
    <brk id="168" max="16383" man="1"/>
    <brk id="221" max="16383" man="1"/>
    <brk id="274" max="16383" man="1"/>
  </rowBreaks>
  <ignoredErrors>
    <ignoredError sqref="X32:X34 X25 X28:X29 X36:X37 X39:X40 AE28:AE29 AE31" emptyCellReference="1"/>
  </ignoredErrors>
  <drawing r:id="rId27"/>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0000000}">
          <x14:formula1>
            <xm:f>AVMDropdown!$K$2:$K$5</xm:f>
          </x14:formula1>
          <xm:sqref>F22:I22</xm:sqref>
        </x14:dataValidation>
        <x14:dataValidation type="list" allowBlank="1" showInputMessage="1" showErrorMessage="1" xr:uid="{00000000-0002-0000-0700-000001000000}">
          <x14:formula1>
            <xm:f>AVMDropdown!$L$2:$L$4</xm:f>
          </x14:formula1>
          <xm:sqref>M22:Q22</xm:sqref>
        </x14:dataValidation>
        <x14:dataValidation type="list" allowBlank="1" showInputMessage="1" showErrorMessage="1" xr:uid="{00000000-0002-0000-0700-000002000000}">
          <x14:formula1>
            <xm:f>AVMDropdown!$M$2:$M$4</xm:f>
          </x14:formula1>
          <xm:sqref>F23:Q23</xm:sqref>
        </x14:dataValidation>
        <x14:dataValidation type="list" allowBlank="1" showInputMessage="1" showErrorMessage="1" xr:uid="{00000000-0002-0000-0700-000003000000}">
          <x14:formula1>
            <xm:f>AVMDropdown!$N$2:$N$15</xm:f>
          </x14:formula1>
          <xm:sqref>M27:Q27</xm:sqref>
        </x14:dataValidation>
        <x14:dataValidation type="list" allowBlank="1" showInputMessage="1" showErrorMessage="1" xr:uid="{00000000-0002-0000-0700-000004000000}">
          <x14:formula1>
            <xm:f>AVMDropdown!$O$2:$O$6</xm:f>
          </x14:formula1>
          <xm:sqref>F28:I28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I6:R50"/>
  <sheetViews>
    <sheetView topLeftCell="A17" workbookViewId="0">
      <selection activeCell="N45" sqref="N45:R45"/>
    </sheetView>
  </sheetViews>
  <sheetFormatPr defaultColWidth="8.7265625" defaultRowHeight="15.5"/>
  <cols>
    <col min="1" max="12" width="8.7265625" style="126"/>
    <col min="13" max="13" width="8.7265625" style="126" customWidth="1"/>
    <col min="14" max="16384" width="8.7265625" style="126"/>
  </cols>
  <sheetData>
    <row r="6" spans="9:18">
      <c r="I6" s="427" t="s">
        <v>535</v>
      </c>
      <c r="J6" s="427"/>
      <c r="K6" s="427"/>
      <c r="L6" s="427"/>
      <c r="M6" s="427"/>
      <c r="N6" s="427"/>
      <c r="O6" s="427"/>
      <c r="P6" s="427"/>
      <c r="Q6" s="427"/>
      <c r="R6" s="427"/>
    </row>
    <row r="7" spans="9:18">
      <c r="I7" s="425" t="s">
        <v>536</v>
      </c>
      <c r="J7" s="425"/>
      <c r="K7" s="425"/>
      <c r="L7" s="425"/>
      <c r="M7" s="425"/>
      <c r="N7" s="422"/>
      <c r="O7" s="422"/>
      <c r="P7" s="422"/>
      <c r="Q7" s="422"/>
      <c r="R7" s="422"/>
    </row>
    <row r="8" spans="9:18">
      <c r="I8" s="421" t="s">
        <v>537</v>
      </c>
      <c r="J8" s="421"/>
      <c r="K8" s="421"/>
      <c r="L8" s="421"/>
      <c r="M8" s="421"/>
      <c r="N8" s="422" t="s">
        <v>538</v>
      </c>
      <c r="O8" s="422"/>
      <c r="P8" s="422"/>
      <c r="Q8" s="422"/>
      <c r="R8" s="422"/>
    </row>
    <row r="9" spans="9:18">
      <c r="I9" s="421" t="s">
        <v>539</v>
      </c>
      <c r="J9" s="421"/>
      <c r="K9" s="421"/>
      <c r="L9" s="421"/>
      <c r="M9" s="421"/>
      <c r="N9" s="422" t="s">
        <v>491</v>
      </c>
      <c r="O9" s="422"/>
      <c r="P9" s="422"/>
      <c r="Q9" s="422"/>
      <c r="R9" s="422"/>
    </row>
    <row r="10" spans="9:18">
      <c r="I10" s="421" t="s">
        <v>541</v>
      </c>
      <c r="J10" s="421"/>
      <c r="K10" s="421"/>
      <c r="L10" s="421"/>
      <c r="M10" s="421"/>
      <c r="N10" s="422" t="s">
        <v>491</v>
      </c>
      <c r="O10" s="422"/>
      <c r="P10" s="422"/>
      <c r="Q10" s="422"/>
      <c r="R10" s="422"/>
    </row>
    <row r="11" spans="9:18">
      <c r="I11" s="421" t="s">
        <v>542</v>
      </c>
      <c r="J11" s="421"/>
      <c r="K11" s="421"/>
      <c r="L11" s="421"/>
      <c r="M11" s="421"/>
      <c r="N11" s="422" t="s">
        <v>540</v>
      </c>
      <c r="O11" s="422"/>
      <c r="P11" s="422"/>
      <c r="Q11" s="422"/>
      <c r="R11" s="422"/>
    </row>
    <row r="12" spans="9:18">
      <c r="I12" s="423" t="s">
        <v>543</v>
      </c>
      <c r="J12" s="423"/>
      <c r="K12" s="423"/>
      <c r="L12" s="423"/>
      <c r="M12" s="423"/>
      <c r="N12" s="422" t="s">
        <v>1566</v>
      </c>
      <c r="O12" s="422"/>
      <c r="P12" s="422"/>
      <c r="Q12" s="422"/>
      <c r="R12" s="422"/>
    </row>
    <row r="13" spans="9:18">
      <c r="I13" s="423"/>
      <c r="J13" s="423"/>
      <c r="K13" s="423"/>
      <c r="L13" s="423"/>
      <c r="M13" s="423"/>
      <c r="N13" s="422"/>
      <c r="O13" s="422"/>
      <c r="P13" s="422"/>
      <c r="Q13" s="422"/>
      <c r="R13" s="422"/>
    </row>
    <row r="14" spans="9:18">
      <c r="I14" s="425" t="s">
        <v>545</v>
      </c>
      <c r="J14" s="425"/>
      <c r="K14" s="425"/>
      <c r="L14" s="425"/>
      <c r="M14" s="425"/>
      <c r="N14" s="422"/>
      <c r="O14" s="422"/>
      <c r="P14" s="422"/>
      <c r="Q14" s="422"/>
      <c r="R14" s="422"/>
    </row>
    <row r="15" spans="9:18">
      <c r="I15" s="423" t="s">
        <v>91</v>
      </c>
      <c r="J15" s="423"/>
      <c r="K15" s="423"/>
      <c r="L15" s="423"/>
      <c r="M15" s="423"/>
      <c r="N15" s="422" t="s">
        <v>1567</v>
      </c>
      <c r="O15" s="422"/>
      <c r="P15" s="422"/>
      <c r="Q15" s="422"/>
      <c r="R15" s="422"/>
    </row>
    <row r="16" spans="9:18">
      <c r="I16" s="423"/>
      <c r="J16" s="423"/>
      <c r="K16" s="423"/>
      <c r="L16" s="423"/>
      <c r="M16" s="423"/>
      <c r="N16" s="422"/>
      <c r="O16" s="422"/>
      <c r="P16" s="422"/>
      <c r="Q16" s="422"/>
      <c r="R16" s="422"/>
    </row>
    <row r="17" spans="9:18">
      <c r="I17" s="423" t="s">
        <v>97</v>
      </c>
      <c r="J17" s="423"/>
      <c r="K17" s="423"/>
      <c r="L17" s="423"/>
      <c r="M17" s="423"/>
      <c r="N17" s="422" t="s">
        <v>1568</v>
      </c>
      <c r="O17" s="422"/>
      <c r="P17" s="422"/>
      <c r="Q17" s="422"/>
      <c r="R17" s="422"/>
    </row>
    <row r="18" spans="9:18">
      <c r="I18" s="423"/>
      <c r="J18" s="423"/>
      <c r="K18" s="423"/>
      <c r="L18" s="423"/>
      <c r="M18" s="423"/>
      <c r="N18" s="422"/>
      <c r="O18" s="422"/>
      <c r="P18" s="422"/>
      <c r="Q18" s="422"/>
      <c r="R18" s="422"/>
    </row>
    <row r="19" spans="9:18">
      <c r="I19" s="423" t="s">
        <v>94</v>
      </c>
      <c r="J19" s="423"/>
      <c r="K19" s="423"/>
      <c r="L19" s="423"/>
      <c r="M19" s="423"/>
      <c r="N19" s="422" t="s">
        <v>1569</v>
      </c>
      <c r="O19" s="422"/>
      <c r="P19" s="422"/>
      <c r="Q19" s="422"/>
      <c r="R19" s="422"/>
    </row>
    <row r="20" spans="9:18">
      <c r="I20" s="423"/>
      <c r="J20" s="423"/>
      <c r="K20" s="423"/>
      <c r="L20" s="423"/>
      <c r="M20" s="423"/>
      <c r="N20" s="422"/>
      <c r="O20" s="422"/>
      <c r="P20" s="422"/>
      <c r="Q20" s="422"/>
      <c r="R20" s="422"/>
    </row>
    <row r="21" spans="9:18">
      <c r="I21" s="423" t="s">
        <v>100</v>
      </c>
      <c r="J21" s="423"/>
      <c r="K21" s="423"/>
      <c r="L21" s="423"/>
      <c r="M21" s="423"/>
      <c r="N21" s="422" t="s">
        <v>1570</v>
      </c>
      <c r="O21" s="422"/>
      <c r="P21" s="422"/>
      <c r="Q21" s="422"/>
      <c r="R21" s="422"/>
    </row>
    <row r="22" spans="9:18">
      <c r="I22" s="423"/>
      <c r="J22" s="423"/>
      <c r="K22" s="423"/>
      <c r="L22" s="423"/>
      <c r="M22" s="423"/>
      <c r="N22" s="422"/>
      <c r="O22" s="422"/>
      <c r="P22" s="422"/>
      <c r="Q22" s="422"/>
      <c r="R22" s="422"/>
    </row>
    <row r="23" spans="9:18">
      <c r="I23" s="425" t="s">
        <v>546</v>
      </c>
      <c r="J23" s="425"/>
      <c r="K23" s="425"/>
      <c r="L23" s="425"/>
      <c r="M23" s="425"/>
      <c r="N23" s="422"/>
      <c r="O23" s="422"/>
      <c r="P23" s="422"/>
      <c r="Q23" s="422"/>
      <c r="R23" s="422"/>
    </row>
    <row r="24" spans="9:18">
      <c r="I24" s="423" t="s">
        <v>91</v>
      </c>
      <c r="J24" s="423"/>
      <c r="K24" s="423"/>
      <c r="L24" s="423"/>
      <c r="M24" s="423"/>
      <c r="N24" s="422" t="s">
        <v>1567</v>
      </c>
      <c r="O24" s="422"/>
      <c r="P24" s="422"/>
      <c r="Q24" s="422"/>
      <c r="R24" s="422"/>
    </row>
    <row r="25" spans="9:18">
      <c r="I25" s="423"/>
      <c r="J25" s="423"/>
      <c r="K25" s="423"/>
      <c r="L25" s="423"/>
      <c r="M25" s="423"/>
      <c r="N25" s="422"/>
      <c r="O25" s="422"/>
      <c r="P25" s="422"/>
      <c r="Q25" s="422"/>
      <c r="R25" s="422"/>
    </row>
    <row r="26" spans="9:18">
      <c r="I26" s="423" t="s">
        <v>97</v>
      </c>
      <c r="J26" s="423"/>
      <c r="K26" s="423"/>
      <c r="L26" s="423"/>
      <c r="M26" s="423"/>
      <c r="N26" s="422" t="s">
        <v>1568</v>
      </c>
      <c r="O26" s="422"/>
      <c r="P26" s="422"/>
      <c r="Q26" s="422"/>
      <c r="R26" s="422"/>
    </row>
    <row r="27" spans="9:18">
      <c r="I27" s="423"/>
      <c r="J27" s="423"/>
      <c r="K27" s="423"/>
      <c r="L27" s="423"/>
      <c r="M27" s="423"/>
      <c r="N27" s="422"/>
      <c r="O27" s="422"/>
      <c r="P27" s="422"/>
      <c r="Q27" s="422"/>
      <c r="R27" s="422"/>
    </row>
    <row r="28" spans="9:18">
      <c r="I28" s="423" t="s">
        <v>94</v>
      </c>
      <c r="J28" s="423"/>
      <c r="K28" s="423"/>
      <c r="L28" s="423"/>
      <c r="M28" s="423"/>
      <c r="N28" s="422" t="s">
        <v>1569</v>
      </c>
      <c r="O28" s="422"/>
      <c r="P28" s="422"/>
      <c r="Q28" s="422"/>
      <c r="R28" s="422"/>
    </row>
    <row r="29" spans="9:18">
      <c r="I29" s="423"/>
      <c r="J29" s="423"/>
      <c r="K29" s="423"/>
      <c r="L29" s="423"/>
      <c r="M29" s="423"/>
      <c r="N29" s="422"/>
      <c r="O29" s="422"/>
      <c r="P29" s="422"/>
      <c r="Q29" s="422"/>
      <c r="R29" s="422"/>
    </row>
    <row r="30" spans="9:18">
      <c r="I30" s="423" t="s">
        <v>100</v>
      </c>
      <c r="J30" s="423"/>
      <c r="K30" s="423"/>
      <c r="L30" s="423"/>
      <c r="M30" s="423"/>
      <c r="N30" s="422" t="s">
        <v>1570</v>
      </c>
      <c r="O30" s="422"/>
      <c r="P30" s="422"/>
      <c r="Q30" s="422"/>
      <c r="R30" s="422"/>
    </row>
    <row r="31" spans="9:18">
      <c r="I31" s="423"/>
      <c r="J31" s="423"/>
      <c r="K31" s="423"/>
      <c r="L31" s="423"/>
      <c r="M31" s="423"/>
      <c r="N31" s="422"/>
      <c r="O31" s="422"/>
      <c r="P31" s="422"/>
      <c r="Q31" s="422"/>
      <c r="R31" s="422"/>
    </row>
    <row r="32" spans="9:18">
      <c r="I32" s="425" t="s">
        <v>547</v>
      </c>
      <c r="J32" s="425"/>
      <c r="K32" s="425"/>
      <c r="L32" s="425"/>
      <c r="M32" s="425"/>
      <c r="N32" s="422"/>
      <c r="O32" s="422"/>
      <c r="P32" s="422"/>
      <c r="Q32" s="422"/>
      <c r="R32" s="422"/>
    </row>
    <row r="33" spans="9:18">
      <c r="I33" s="423" t="s">
        <v>549</v>
      </c>
      <c r="J33" s="423"/>
      <c r="K33" s="423"/>
      <c r="L33" s="423"/>
      <c r="M33" s="423"/>
      <c r="N33" s="426" t="s">
        <v>1571</v>
      </c>
      <c r="O33" s="426"/>
      <c r="P33" s="426"/>
      <c r="Q33" s="426"/>
      <c r="R33" s="426"/>
    </row>
    <row r="34" spans="9:18">
      <c r="I34" s="421" t="s">
        <v>551</v>
      </c>
      <c r="J34" s="421"/>
      <c r="K34" s="421"/>
      <c r="L34" s="421"/>
      <c r="M34" s="421"/>
      <c r="N34" s="422" t="s">
        <v>212</v>
      </c>
      <c r="O34" s="422"/>
      <c r="P34" s="422"/>
      <c r="Q34" s="422"/>
      <c r="R34" s="422"/>
    </row>
    <row r="35" spans="9:18">
      <c r="I35" s="421" t="s">
        <v>552</v>
      </c>
      <c r="J35" s="421"/>
      <c r="K35" s="421"/>
      <c r="L35" s="421"/>
      <c r="M35" s="421"/>
      <c r="N35" s="422" t="s">
        <v>540</v>
      </c>
      <c r="O35" s="422"/>
      <c r="P35" s="422"/>
      <c r="Q35" s="422"/>
      <c r="R35" s="422"/>
    </row>
    <row r="36" spans="9:18">
      <c r="I36" s="421" t="s">
        <v>553</v>
      </c>
      <c r="J36" s="421"/>
      <c r="K36" s="421"/>
      <c r="L36" s="421"/>
      <c r="M36" s="421"/>
      <c r="N36" s="422" t="s">
        <v>554</v>
      </c>
      <c r="O36" s="422"/>
      <c r="P36" s="422"/>
      <c r="Q36" s="422"/>
      <c r="R36" s="422"/>
    </row>
    <row r="37" spans="9:18">
      <c r="I37" s="425" t="s">
        <v>555</v>
      </c>
      <c r="J37" s="425"/>
      <c r="K37" s="425"/>
      <c r="L37" s="425"/>
      <c r="M37" s="425"/>
      <c r="N37" s="422"/>
      <c r="O37" s="422"/>
      <c r="P37" s="422"/>
      <c r="Q37" s="422"/>
      <c r="R37" s="422"/>
    </row>
    <row r="38" spans="9:18">
      <c r="I38" s="421" t="s">
        <v>556</v>
      </c>
      <c r="J38" s="421"/>
      <c r="K38" s="421"/>
      <c r="L38" s="421"/>
      <c r="M38" s="421"/>
      <c r="N38" s="422" t="s">
        <v>1568</v>
      </c>
      <c r="O38" s="422"/>
      <c r="P38" s="422"/>
      <c r="Q38" s="422"/>
      <c r="R38" s="422"/>
    </row>
    <row r="39" spans="9:18">
      <c r="I39" s="421" t="s">
        <v>558</v>
      </c>
      <c r="J39" s="421"/>
      <c r="K39" s="421"/>
      <c r="L39" s="421"/>
      <c r="M39" s="421"/>
      <c r="N39" s="422" t="s">
        <v>1572</v>
      </c>
      <c r="O39" s="422"/>
      <c r="P39" s="422"/>
      <c r="Q39" s="422"/>
      <c r="R39" s="422"/>
    </row>
    <row r="40" spans="9:18">
      <c r="I40" s="421" t="s">
        <v>560</v>
      </c>
      <c r="J40" s="421"/>
      <c r="K40" s="421"/>
      <c r="L40" s="421"/>
      <c r="M40" s="421"/>
      <c r="N40" s="422" t="s">
        <v>561</v>
      </c>
      <c r="O40" s="422"/>
      <c r="P40" s="422"/>
      <c r="Q40" s="422"/>
      <c r="R40" s="422"/>
    </row>
    <row r="41" spans="9:18">
      <c r="I41" s="421" t="s">
        <v>562</v>
      </c>
      <c r="J41" s="421"/>
      <c r="K41" s="421"/>
      <c r="L41" s="421"/>
      <c r="M41" s="421"/>
      <c r="N41" s="422" t="s">
        <v>1573</v>
      </c>
      <c r="O41" s="422"/>
      <c r="P41" s="422"/>
      <c r="Q41" s="422"/>
      <c r="R41" s="422"/>
    </row>
    <row r="42" spans="9:18">
      <c r="I42" s="421" t="s">
        <v>564</v>
      </c>
      <c r="J42" s="421"/>
      <c r="K42" s="421"/>
      <c r="L42" s="421"/>
      <c r="M42" s="421"/>
      <c r="N42" s="422" t="s">
        <v>554</v>
      </c>
      <c r="O42" s="422"/>
      <c r="P42" s="422"/>
      <c r="Q42" s="422"/>
      <c r="R42" s="422"/>
    </row>
    <row r="43" spans="9:18">
      <c r="I43" s="424" t="s">
        <v>565</v>
      </c>
      <c r="J43" s="424"/>
      <c r="K43" s="424"/>
      <c r="L43" s="424"/>
      <c r="M43" s="424"/>
      <c r="N43" s="422" t="s">
        <v>491</v>
      </c>
      <c r="O43" s="422"/>
      <c r="P43" s="422"/>
      <c r="Q43" s="422"/>
      <c r="R43" s="422"/>
    </row>
    <row r="44" spans="9:18">
      <c r="I44" s="424"/>
      <c r="J44" s="424"/>
      <c r="K44" s="424"/>
      <c r="L44" s="424"/>
      <c r="M44" s="424"/>
      <c r="N44" s="422"/>
      <c r="O44" s="422"/>
      <c r="P44" s="422"/>
      <c r="Q44" s="422"/>
      <c r="R44" s="422"/>
    </row>
    <row r="45" spans="9:18">
      <c r="I45" s="421" t="s">
        <v>566</v>
      </c>
      <c r="J45" s="421"/>
      <c r="K45" s="421"/>
      <c r="L45" s="421"/>
      <c r="M45" s="421"/>
      <c r="N45" s="422" t="s">
        <v>1574</v>
      </c>
      <c r="O45" s="422"/>
      <c r="P45" s="422"/>
      <c r="Q45" s="422"/>
      <c r="R45" s="422"/>
    </row>
    <row r="46" spans="9:18">
      <c r="I46" s="421" t="s">
        <v>568</v>
      </c>
      <c r="J46" s="421"/>
      <c r="K46" s="421"/>
      <c r="L46" s="421"/>
      <c r="M46" s="421"/>
      <c r="N46" s="422" t="s">
        <v>212</v>
      </c>
      <c r="O46" s="422"/>
      <c r="P46" s="422"/>
      <c r="Q46" s="422"/>
      <c r="R46" s="422"/>
    </row>
    <row r="47" spans="9:18">
      <c r="I47" s="421" t="s">
        <v>569</v>
      </c>
      <c r="J47" s="421"/>
      <c r="K47" s="421"/>
      <c r="L47" s="421"/>
      <c r="M47" s="421"/>
      <c r="N47" s="422" t="s">
        <v>212</v>
      </c>
      <c r="O47" s="422"/>
      <c r="P47" s="422"/>
      <c r="Q47" s="422"/>
      <c r="R47" s="422"/>
    </row>
    <row r="48" spans="9:18">
      <c r="I48" s="421" t="s">
        <v>570</v>
      </c>
      <c r="J48" s="421"/>
      <c r="K48" s="421"/>
      <c r="L48" s="421"/>
      <c r="M48" s="421"/>
      <c r="N48" s="422" t="s">
        <v>497</v>
      </c>
      <c r="O48" s="422"/>
      <c r="P48" s="422"/>
      <c r="Q48" s="422"/>
      <c r="R48" s="422"/>
    </row>
    <row r="49" spans="9:18">
      <c r="I49" s="421" t="s">
        <v>572</v>
      </c>
      <c r="J49" s="421"/>
      <c r="K49" s="421"/>
      <c r="L49" s="421"/>
      <c r="M49" s="421"/>
      <c r="N49" s="422" t="s">
        <v>573</v>
      </c>
      <c r="O49" s="422"/>
      <c r="P49" s="422"/>
      <c r="Q49" s="422"/>
      <c r="R49" s="422"/>
    </row>
    <row r="50" spans="9:18">
      <c r="I50" s="421" t="s">
        <v>574</v>
      </c>
      <c r="J50" s="421"/>
      <c r="K50" s="421"/>
      <c r="L50" s="421"/>
      <c r="M50" s="421"/>
      <c r="N50" s="422" t="s">
        <v>573</v>
      </c>
      <c r="O50" s="422"/>
      <c r="P50" s="422"/>
      <c r="Q50" s="422"/>
      <c r="R50" s="422"/>
    </row>
  </sheetData>
  <mergeCells count="69">
    <mergeCell ref="I6:R6"/>
    <mergeCell ref="I7:M7"/>
    <mergeCell ref="N7:R7"/>
    <mergeCell ref="I8:M8"/>
    <mergeCell ref="N8:R8"/>
    <mergeCell ref="I9:M9"/>
    <mergeCell ref="N9:R9"/>
    <mergeCell ref="I10:M10"/>
    <mergeCell ref="N10:R10"/>
    <mergeCell ref="I11:M11"/>
    <mergeCell ref="N11:R11"/>
    <mergeCell ref="I14:M14"/>
    <mergeCell ref="N14:R14"/>
    <mergeCell ref="I23:M23"/>
    <mergeCell ref="N23:R23"/>
    <mergeCell ref="I32:M32"/>
    <mergeCell ref="N32:R32"/>
    <mergeCell ref="I28:M29"/>
    <mergeCell ref="N28:R29"/>
    <mergeCell ref="I30:M31"/>
    <mergeCell ref="N30:R31"/>
    <mergeCell ref="I33:M33"/>
    <mergeCell ref="N33:R33"/>
    <mergeCell ref="I34:M34"/>
    <mergeCell ref="N34:R34"/>
    <mergeCell ref="I35:M35"/>
    <mergeCell ref="N35:R35"/>
    <mergeCell ref="I36:M36"/>
    <mergeCell ref="N36:R36"/>
    <mergeCell ref="I37:M37"/>
    <mergeCell ref="N37:R37"/>
    <mergeCell ref="I38:M38"/>
    <mergeCell ref="N38:R38"/>
    <mergeCell ref="I39:M39"/>
    <mergeCell ref="N39:R39"/>
    <mergeCell ref="I40:M40"/>
    <mergeCell ref="N40:R40"/>
    <mergeCell ref="I41:M41"/>
    <mergeCell ref="N41:R41"/>
    <mergeCell ref="I42:M42"/>
    <mergeCell ref="N42:R42"/>
    <mergeCell ref="I45:M45"/>
    <mergeCell ref="N45:R45"/>
    <mergeCell ref="I46:M46"/>
    <mergeCell ref="N46:R46"/>
    <mergeCell ref="I43:M44"/>
    <mergeCell ref="N43:R44"/>
    <mergeCell ref="I47:M47"/>
    <mergeCell ref="N47:R47"/>
    <mergeCell ref="I48:M48"/>
    <mergeCell ref="N48:R48"/>
    <mergeCell ref="I49:M49"/>
    <mergeCell ref="N49:R49"/>
    <mergeCell ref="I50:M50"/>
    <mergeCell ref="N50:R50"/>
    <mergeCell ref="I12:M13"/>
    <mergeCell ref="N12:R13"/>
    <mergeCell ref="I15:M16"/>
    <mergeCell ref="N15:R16"/>
    <mergeCell ref="I17:M18"/>
    <mergeCell ref="N17:R18"/>
    <mergeCell ref="I19:M20"/>
    <mergeCell ref="N19:R20"/>
    <mergeCell ref="I21:M22"/>
    <mergeCell ref="N21:R22"/>
    <mergeCell ref="I24:M25"/>
    <mergeCell ref="N24:R25"/>
    <mergeCell ref="I26:M27"/>
    <mergeCell ref="N26:R27"/>
  </mergeCells>
  <pageMargins left="1.8" right="1.8" top="1.9" bottom="1.9" header="0.8" footer="0.8"/>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0529" r:id="rId4" name="Button 1">
              <controlPr defaultSize="0" print="0" autoPict="0" macro="[0]!ButtonJPEGAnnexure_Click">
                <anchor moveWithCells="1" sizeWithCells="1">
                  <from>
                    <xdr:col>19</xdr:col>
                    <xdr:colOff>57150</xdr:colOff>
                    <xdr:row>14</xdr:row>
                    <xdr:rowOff>19050</xdr:rowOff>
                  </from>
                  <to>
                    <xdr:col>22</xdr:col>
                    <xdr:colOff>571500</xdr:colOff>
                    <xdr:row>17</xdr:row>
                    <xdr:rowOff>184150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3"/>
  <dimension ref="A1:AE202"/>
  <sheetViews>
    <sheetView topLeftCell="AC1" workbookViewId="0">
      <selection activeCell="AK21" sqref="AK21"/>
    </sheetView>
  </sheetViews>
  <sheetFormatPr defaultColWidth="20.54296875" defaultRowHeight="20.149999999999999" customHeight="1"/>
  <cols>
    <col min="1" max="16" width="20.54296875" style="20"/>
    <col min="17" max="17" width="20.54296875" style="123"/>
    <col min="18" max="29" width="20.54296875" style="20"/>
    <col min="30" max="30" width="20.54296875" style="123"/>
    <col min="31" max="16384" width="20.54296875" style="20"/>
  </cols>
  <sheetData>
    <row r="1" spans="1:31" ht="20.149999999999999" customHeight="1">
      <c r="A1" s="124" t="s">
        <v>31</v>
      </c>
      <c r="B1" s="20" t="str">
        <f>'02.GeneralFileDetails'!F11</f>
        <v>Thiruvananthapuram</v>
      </c>
    </row>
    <row r="3" spans="1:31" ht="20.149999999999999" customHeight="1">
      <c r="B3" s="19">
        <v>1</v>
      </c>
      <c r="C3" s="19">
        <v>2</v>
      </c>
      <c r="D3" s="19">
        <v>3</v>
      </c>
      <c r="E3" s="19">
        <v>4</v>
      </c>
      <c r="F3" s="19">
        <v>5</v>
      </c>
      <c r="G3" s="19">
        <v>6</v>
      </c>
      <c r="H3" s="19">
        <v>7</v>
      </c>
      <c r="I3" s="19">
        <v>8</v>
      </c>
      <c r="J3" s="19">
        <v>9</v>
      </c>
      <c r="K3" s="19">
        <v>10</v>
      </c>
      <c r="L3" s="19">
        <v>11</v>
      </c>
      <c r="M3" s="19">
        <v>12</v>
      </c>
      <c r="N3" s="19">
        <v>13</v>
      </c>
      <c r="O3" s="19">
        <v>14</v>
      </c>
      <c r="Q3" s="123">
        <v>1</v>
      </c>
      <c r="R3" s="20">
        <v>2</v>
      </c>
      <c r="S3" s="20">
        <v>3</v>
      </c>
      <c r="T3" s="20">
        <v>4</v>
      </c>
      <c r="U3" s="20">
        <v>5</v>
      </c>
      <c r="V3" s="20">
        <v>6</v>
      </c>
      <c r="W3" s="20">
        <v>7</v>
      </c>
      <c r="X3" s="20">
        <v>8</v>
      </c>
      <c r="Y3" s="20">
        <v>9</v>
      </c>
      <c r="Z3" s="20">
        <v>10</v>
      </c>
      <c r="AA3" s="20">
        <v>11</v>
      </c>
      <c r="AB3" s="20">
        <v>12</v>
      </c>
      <c r="AC3" s="20">
        <v>13</v>
      </c>
      <c r="AD3" s="123">
        <v>14</v>
      </c>
      <c r="AE3" s="20" t="s">
        <v>673</v>
      </c>
    </row>
    <row r="4" spans="1:31" ht="20.149999999999999" customHeight="1">
      <c r="B4" s="20" t="s">
        <v>674</v>
      </c>
      <c r="C4" s="20" t="s">
        <v>675</v>
      </c>
      <c r="D4" s="20" t="s">
        <v>676</v>
      </c>
      <c r="E4" s="20" t="s">
        <v>677</v>
      </c>
      <c r="F4" s="20" t="s">
        <v>678</v>
      </c>
      <c r="G4" s="20" t="s">
        <v>679</v>
      </c>
      <c r="H4" s="20" t="s">
        <v>680</v>
      </c>
      <c r="I4" s="20" t="s">
        <v>681</v>
      </c>
      <c r="J4" s="20" t="s">
        <v>682</v>
      </c>
      <c r="K4" s="20" t="s">
        <v>683</v>
      </c>
      <c r="L4" s="20" t="s">
        <v>684</v>
      </c>
      <c r="M4" s="20" t="s">
        <v>685</v>
      </c>
      <c r="N4" s="20" t="s">
        <v>32</v>
      </c>
      <c r="O4" s="20" t="s">
        <v>686</v>
      </c>
      <c r="Q4" s="23" t="str">
        <f>IF($B$1=B4,B4,"")</f>
        <v>Thiruvananthapuram</v>
      </c>
      <c r="R4" s="23" t="str">
        <f t="shared" ref="R4:AD4" si="0">IF($B$1=C4,C4,"")</f>
        <v/>
      </c>
      <c r="S4" s="23" t="str">
        <f t="shared" si="0"/>
        <v/>
      </c>
      <c r="T4" s="23" t="str">
        <f t="shared" si="0"/>
        <v/>
      </c>
      <c r="U4" s="23" t="str">
        <f t="shared" si="0"/>
        <v/>
      </c>
      <c r="V4" s="23" t="str">
        <f t="shared" si="0"/>
        <v/>
      </c>
      <c r="W4" s="23" t="str">
        <f t="shared" si="0"/>
        <v/>
      </c>
      <c r="X4" s="23" t="str">
        <f t="shared" si="0"/>
        <v/>
      </c>
      <c r="Y4" s="23" t="str">
        <f t="shared" si="0"/>
        <v/>
      </c>
      <c r="Z4" s="23" t="str">
        <f t="shared" si="0"/>
        <v/>
      </c>
      <c r="AA4" s="23" t="str">
        <f t="shared" si="0"/>
        <v/>
      </c>
      <c r="AB4" s="23" t="str">
        <f t="shared" si="0"/>
        <v/>
      </c>
      <c r="AC4" s="23" t="str">
        <f t="shared" si="0"/>
        <v/>
      </c>
      <c r="AD4" s="23" t="str">
        <f t="shared" si="0"/>
        <v/>
      </c>
      <c r="AE4" s="125" t="str">
        <f>CONCATENATE(Q4,R4,S4,T4,U4,V4,W4,X4,Y4,Z4,AA4,AB4,AC4,AD4)</f>
        <v>Thiruvananthapuram</v>
      </c>
    </row>
    <row r="5" spans="1:31" ht="20.149999999999999" customHeight="1">
      <c r="B5" s="20" t="s">
        <v>687</v>
      </c>
      <c r="C5" s="20" t="s">
        <v>688</v>
      </c>
      <c r="D5" s="20" t="s">
        <v>689</v>
      </c>
      <c r="E5" s="20" t="s">
        <v>690</v>
      </c>
      <c r="F5" s="20" t="s">
        <v>691</v>
      </c>
      <c r="G5" s="20" t="s">
        <v>692</v>
      </c>
      <c r="H5" s="20" t="s">
        <v>693</v>
      </c>
      <c r="I5" s="20" t="s">
        <v>694</v>
      </c>
      <c r="J5" s="20" t="s">
        <v>695</v>
      </c>
      <c r="K5" s="20" t="s">
        <v>696</v>
      </c>
      <c r="L5" s="20" t="s">
        <v>697</v>
      </c>
      <c r="M5" s="20" t="s">
        <v>698</v>
      </c>
      <c r="N5" s="20" t="s">
        <v>699</v>
      </c>
      <c r="O5" s="20" t="s">
        <v>700</v>
      </c>
      <c r="Q5" s="23" t="str">
        <f>IF(Q4="","",B5)</f>
        <v>Andoorkonam</v>
      </c>
      <c r="R5" s="23" t="str">
        <f t="shared" ref="R5:AD5" si="1">IF(R4="","",C5)</f>
        <v/>
      </c>
      <c r="S5" s="23" t="str">
        <f t="shared" si="1"/>
        <v/>
      </c>
      <c r="T5" s="23" t="str">
        <f t="shared" si="1"/>
        <v/>
      </c>
      <c r="U5" s="23" t="str">
        <f t="shared" si="1"/>
        <v/>
      </c>
      <c r="V5" s="23" t="str">
        <f t="shared" si="1"/>
        <v/>
      </c>
      <c r="W5" s="23" t="str">
        <f t="shared" si="1"/>
        <v/>
      </c>
      <c r="X5" s="23" t="str">
        <f t="shared" si="1"/>
        <v/>
      </c>
      <c r="Y5" s="23" t="str">
        <f t="shared" si="1"/>
        <v/>
      </c>
      <c r="Z5" s="23" t="str">
        <f t="shared" si="1"/>
        <v/>
      </c>
      <c r="AA5" s="23" t="str">
        <f t="shared" si="1"/>
        <v/>
      </c>
      <c r="AB5" s="23" t="str">
        <f t="shared" si="1"/>
        <v/>
      </c>
      <c r="AC5" s="23" t="str">
        <f t="shared" si="1"/>
        <v/>
      </c>
      <c r="AD5" s="23" t="str">
        <f t="shared" si="1"/>
        <v/>
      </c>
      <c r="AE5" s="20" t="str">
        <f t="shared" ref="AE5:AE68" si="2">CONCATENATE(Q5,R5,S5,T5,U5,V5,W5,X5,Y5,Z5,AA5,AB5,AC5,AD5)</f>
        <v>Andoorkonam</v>
      </c>
    </row>
    <row r="6" spans="1:31" ht="20.149999999999999" customHeight="1">
      <c r="B6" s="20" t="s">
        <v>701</v>
      </c>
      <c r="C6" s="20" t="s">
        <v>702</v>
      </c>
      <c r="D6" s="20" t="s">
        <v>703</v>
      </c>
      <c r="E6" s="20" t="s">
        <v>704</v>
      </c>
      <c r="F6" s="20" t="s">
        <v>705</v>
      </c>
      <c r="G6" s="20" t="s">
        <v>706</v>
      </c>
      <c r="H6" s="20" t="s">
        <v>707</v>
      </c>
      <c r="I6" s="20" t="s">
        <v>708</v>
      </c>
      <c r="J6" s="20" t="s">
        <v>709</v>
      </c>
      <c r="K6" s="20" t="s">
        <v>710</v>
      </c>
      <c r="L6" s="20" t="s">
        <v>711</v>
      </c>
      <c r="M6" s="20" t="s">
        <v>712</v>
      </c>
      <c r="N6" s="20" t="s">
        <v>713</v>
      </c>
      <c r="O6" s="20" t="s">
        <v>714</v>
      </c>
      <c r="Q6" s="23" t="str">
        <f t="shared" ref="Q6:Q69" si="3">IF(Q5="","",B6)</f>
        <v>Anjuthengu</v>
      </c>
      <c r="R6" s="23" t="str">
        <f t="shared" ref="R6:R69" si="4">IF(R5="","",C6)</f>
        <v/>
      </c>
      <c r="S6" s="23" t="str">
        <f t="shared" ref="S6:S69" si="5">IF(S5="","",D6)</f>
        <v/>
      </c>
      <c r="T6" s="23" t="str">
        <f t="shared" ref="T6:T69" si="6">IF(T5="","",E6)</f>
        <v/>
      </c>
      <c r="U6" s="23" t="str">
        <f t="shared" ref="U6:U69" si="7">IF(U5="","",F6)</f>
        <v/>
      </c>
      <c r="V6" s="23" t="str">
        <f t="shared" ref="V6:V69" si="8">IF(V5="","",G6)</f>
        <v/>
      </c>
      <c r="W6" s="23" t="str">
        <f t="shared" ref="W6:W69" si="9">IF(W5="","",H6)</f>
        <v/>
      </c>
      <c r="X6" s="23" t="str">
        <f t="shared" ref="X6:X69" si="10">IF(X5="","",I6)</f>
        <v/>
      </c>
      <c r="Y6" s="23" t="str">
        <f t="shared" ref="Y6:Y69" si="11">IF(Y5="","",J6)</f>
        <v/>
      </c>
      <c r="Z6" s="23" t="str">
        <f t="shared" ref="Z6:Z69" si="12">IF(Z5="","",K6)</f>
        <v/>
      </c>
      <c r="AA6" s="23" t="str">
        <f t="shared" ref="AA6:AA69" si="13">IF(AA5="","",L6)</f>
        <v/>
      </c>
      <c r="AB6" s="23" t="str">
        <f t="shared" ref="AB6:AB69" si="14">IF(AB5="","",M6)</f>
        <v/>
      </c>
      <c r="AC6" s="23" t="str">
        <f t="shared" ref="AC6:AC69" si="15">IF(AC5="","",N6)</f>
        <v/>
      </c>
      <c r="AD6" s="23" t="str">
        <f t="shared" ref="AD6:AD69" si="16">IF(AD5="","",O6)</f>
        <v/>
      </c>
      <c r="AE6" s="20" t="str">
        <f t="shared" si="2"/>
        <v>Anjuthengu</v>
      </c>
    </row>
    <row r="7" spans="1:31" ht="20.149999999999999" customHeight="1">
      <c r="B7" s="20" t="s">
        <v>715</v>
      </c>
      <c r="C7" s="20" t="s">
        <v>716</v>
      </c>
      <c r="D7" s="20" t="s">
        <v>717</v>
      </c>
      <c r="E7" s="20" t="s">
        <v>718</v>
      </c>
      <c r="F7" s="20" t="s">
        <v>719</v>
      </c>
      <c r="G7" s="20" t="s">
        <v>720</v>
      </c>
      <c r="H7" s="20" t="s">
        <v>721</v>
      </c>
      <c r="I7" s="20" t="s">
        <v>722</v>
      </c>
      <c r="J7" s="20" t="s">
        <v>723</v>
      </c>
      <c r="K7" s="20" t="s">
        <v>724</v>
      </c>
      <c r="L7" s="20" t="s">
        <v>725</v>
      </c>
      <c r="M7" s="20" t="s">
        <v>726</v>
      </c>
      <c r="N7" s="20" t="s">
        <v>727</v>
      </c>
      <c r="O7" s="20" t="s">
        <v>728</v>
      </c>
      <c r="Q7" s="23" t="str">
        <f t="shared" si="3"/>
        <v>Aruvikkara</v>
      </c>
      <c r="R7" s="23" t="str">
        <f t="shared" si="4"/>
        <v/>
      </c>
      <c r="S7" s="23" t="str">
        <f t="shared" si="5"/>
        <v/>
      </c>
      <c r="T7" s="23" t="str">
        <f t="shared" si="6"/>
        <v/>
      </c>
      <c r="U7" s="23" t="str">
        <f t="shared" si="7"/>
        <v/>
      </c>
      <c r="V7" s="23" t="str">
        <f t="shared" si="8"/>
        <v/>
      </c>
      <c r="W7" s="23" t="str">
        <f t="shared" si="9"/>
        <v/>
      </c>
      <c r="X7" s="23" t="str">
        <f t="shared" si="10"/>
        <v/>
      </c>
      <c r="Y7" s="23" t="str">
        <f t="shared" si="11"/>
        <v/>
      </c>
      <c r="Z7" s="23" t="str">
        <f t="shared" si="12"/>
        <v/>
      </c>
      <c r="AA7" s="23" t="str">
        <f t="shared" si="13"/>
        <v/>
      </c>
      <c r="AB7" s="23" t="str">
        <f t="shared" si="14"/>
        <v/>
      </c>
      <c r="AC7" s="23" t="str">
        <f t="shared" si="15"/>
        <v/>
      </c>
      <c r="AD7" s="23" t="str">
        <f t="shared" si="16"/>
        <v/>
      </c>
      <c r="AE7" s="20" t="str">
        <f t="shared" si="2"/>
        <v>Aruvikkara</v>
      </c>
    </row>
    <row r="8" spans="1:31" ht="20.149999999999999" customHeight="1">
      <c r="B8" s="20" t="s">
        <v>729</v>
      </c>
      <c r="C8" s="20" t="s">
        <v>730</v>
      </c>
      <c r="E8" s="20" t="s">
        <v>731</v>
      </c>
      <c r="F8" s="20" t="s">
        <v>732</v>
      </c>
      <c r="H8" s="20" t="s">
        <v>733</v>
      </c>
      <c r="I8" s="20" t="s">
        <v>734</v>
      </c>
      <c r="J8" s="20" t="s">
        <v>735</v>
      </c>
      <c r="K8" s="20" t="s">
        <v>736</v>
      </c>
      <c r="L8" s="20" t="s">
        <v>737</v>
      </c>
      <c r="M8" s="20" t="s">
        <v>738</v>
      </c>
      <c r="N8" s="20" t="s">
        <v>739</v>
      </c>
      <c r="O8" s="20" t="s">
        <v>740</v>
      </c>
      <c r="Q8" s="23" t="str">
        <f t="shared" si="3"/>
        <v>Athiyannoor</v>
      </c>
      <c r="R8" s="23" t="str">
        <f t="shared" si="4"/>
        <v/>
      </c>
      <c r="S8" s="23" t="str">
        <f t="shared" si="5"/>
        <v/>
      </c>
      <c r="T8" s="23" t="str">
        <f t="shared" si="6"/>
        <v/>
      </c>
      <c r="U8" s="23" t="str">
        <f t="shared" si="7"/>
        <v/>
      </c>
      <c r="V8" s="23" t="str">
        <f t="shared" si="8"/>
        <v/>
      </c>
      <c r="W8" s="23" t="str">
        <f t="shared" si="9"/>
        <v/>
      </c>
      <c r="X8" s="23" t="str">
        <f t="shared" si="10"/>
        <v/>
      </c>
      <c r="Y8" s="23" t="str">
        <f t="shared" si="11"/>
        <v/>
      </c>
      <c r="Z8" s="23" t="str">
        <f t="shared" si="12"/>
        <v/>
      </c>
      <c r="AA8" s="23" t="str">
        <f t="shared" si="13"/>
        <v/>
      </c>
      <c r="AB8" s="23" t="str">
        <f t="shared" si="14"/>
        <v/>
      </c>
      <c r="AC8" s="23" t="str">
        <f t="shared" si="15"/>
        <v/>
      </c>
      <c r="AD8" s="23" t="str">
        <f t="shared" si="16"/>
        <v/>
      </c>
      <c r="AE8" s="20" t="str">
        <f t="shared" si="2"/>
        <v>Athiyannoor</v>
      </c>
    </row>
    <row r="9" spans="1:31" ht="20.149999999999999" customHeight="1">
      <c r="B9" s="20" t="s">
        <v>741</v>
      </c>
      <c r="C9" s="20" t="s">
        <v>742</v>
      </c>
      <c r="E9" s="20" t="s">
        <v>743</v>
      </c>
      <c r="F9" s="20" t="s">
        <v>744</v>
      </c>
      <c r="H9" s="20" t="s">
        <v>745</v>
      </c>
      <c r="I9" s="20" t="s">
        <v>746</v>
      </c>
      <c r="J9" s="20" t="s">
        <v>747</v>
      </c>
      <c r="K9" s="20" t="s">
        <v>748</v>
      </c>
      <c r="L9" s="20" t="s">
        <v>749</v>
      </c>
      <c r="M9" s="20" t="s">
        <v>750</v>
      </c>
      <c r="N9" s="20" t="s">
        <v>751</v>
      </c>
      <c r="O9" s="20" t="s">
        <v>752</v>
      </c>
      <c r="Q9" s="23" t="str">
        <f t="shared" si="3"/>
        <v>Azhoor</v>
      </c>
      <c r="R9" s="23" t="str">
        <f t="shared" si="4"/>
        <v/>
      </c>
      <c r="S9" s="23" t="str">
        <f t="shared" si="5"/>
        <v/>
      </c>
      <c r="T9" s="23" t="str">
        <f t="shared" si="6"/>
        <v/>
      </c>
      <c r="U9" s="23" t="str">
        <f t="shared" si="7"/>
        <v/>
      </c>
      <c r="V9" s="23" t="str">
        <f t="shared" si="8"/>
        <v/>
      </c>
      <c r="W9" s="23" t="str">
        <f t="shared" si="9"/>
        <v/>
      </c>
      <c r="X9" s="23" t="str">
        <f t="shared" si="10"/>
        <v/>
      </c>
      <c r="Y9" s="23" t="str">
        <f t="shared" si="11"/>
        <v/>
      </c>
      <c r="Z9" s="23" t="str">
        <f t="shared" si="12"/>
        <v/>
      </c>
      <c r="AA9" s="23" t="str">
        <f t="shared" si="13"/>
        <v/>
      </c>
      <c r="AB9" s="23" t="str">
        <f t="shared" si="14"/>
        <v/>
      </c>
      <c r="AC9" s="23" t="str">
        <f t="shared" si="15"/>
        <v/>
      </c>
      <c r="AD9" s="23" t="str">
        <f t="shared" si="16"/>
        <v/>
      </c>
      <c r="AE9" s="20" t="str">
        <f t="shared" si="2"/>
        <v>Azhoor</v>
      </c>
    </row>
    <row r="10" spans="1:31" ht="20.149999999999999" customHeight="1">
      <c r="B10" s="20" t="s">
        <v>753</v>
      </c>
      <c r="C10" s="20" t="s">
        <v>754</v>
      </c>
      <c r="E10" s="20" t="s">
        <v>755</v>
      </c>
      <c r="F10" s="20" t="s">
        <v>756</v>
      </c>
      <c r="H10" s="20" t="s">
        <v>757</v>
      </c>
      <c r="I10" s="20" t="s">
        <v>758</v>
      </c>
      <c r="J10" s="20" t="s">
        <v>759</v>
      </c>
      <c r="K10" s="20" t="s">
        <v>760</v>
      </c>
      <c r="L10" s="20" t="s">
        <v>761</v>
      </c>
      <c r="M10" s="20" t="s">
        <v>762</v>
      </c>
      <c r="N10" s="20" t="s">
        <v>763</v>
      </c>
      <c r="O10" s="20" t="s">
        <v>764</v>
      </c>
      <c r="Q10" s="23" t="str">
        <f t="shared" si="3"/>
        <v>Balaramapuram</v>
      </c>
      <c r="R10" s="23" t="str">
        <f t="shared" si="4"/>
        <v/>
      </c>
      <c r="S10" s="23" t="str">
        <f t="shared" si="5"/>
        <v/>
      </c>
      <c r="T10" s="23" t="str">
        <f t="shared" si="6"/>
        <v/>
      </c>
      <c r="U10" s="23" t="str">
        <f t="shared" si="7"/>
        <v/>
      </c>
      <c r="V10" s="23" t="str">
        <f t="shared" si="8"/>
        <v/>
      </c>
      <c r="W10" s="23" t="str">
        <f t="shared" si="9"/>
        <v/>
      </c>
      <c r="X10" s="23" t="str">
        <f t="shared" si="10"/>
        <v/>
      </c>
      <c r="Y10" s="23" t="str">
        <f t="shared" si="11"/>
        <v/>
      </c>
      <c r="Z10" s="23" t="str">
        <f t="shared" si="12"/>
        <v/>
      </c>
      <c r="AA10" s="23" t="str">
        <f t="shared" si="13"/>
        <v/>
      </c>
      <c r="AB10" s="23" t="str">
        <f t="shared" si="14"/>
        <v/>
      </c>
      <c r="AC10" s="23" t="str">
        <f t="shared" si="15"/>
        <v/>
      </c>
      <c r="AD10" s="23" t="str">
        <f t="shared" si="16"/>
        <v/>
      </c>
      <c r="AE10" s="20" t="str">
        <f t="shared" si="2"/>
        <v>Balaramapuram</v>
      </c>
    </row>
    <row r="11" spans="1:31" ht="20.149999999999999" customHeight="1">
      <c r="B11" s="20" t="s">
        <v>765</v>
      </c>
      <c r="C11" s="20" t="s">
        <v>766</v>
      </c>
      <c r="E11" s="20" t="s">
        <v>767</v>
      </c>
      <c r="F11" s="20" t="s">
        <v>768</v>
      </c>
      <c r="H11" s="20" t="s">
        <v>769</v>
      </c>
      <c r="I11" s="20" t="s">
        <v>770</v>
      </c>
      <c r="J11" s="20" t="s">
        <v>771</v>
      </c>
      <c r="K11" s="20" t="s">
        <v>772</v>
      </c>
      <c r="L11" s="20" t="s">
        <v>773</v>
      </c>
      <c r="M11" s="20" t="s">
        <v>774</v>
      </c>
      <c r="N11" s="20" t="s">
        <v>775</v>
      </c>
      <c r="O11" s="20" t="s">
        <v>776</v>
      </c>
      <c r="Q11" s="23" t="str">
        <f t="shared" si="3"/>
        <v>Chenkal</v>
      </c>
      <c r="R11" s="23" t="str">
        <f t="shared" si="4"/>
        <v/>
      </c>
      <c r="S11" s="23" t="str">
        <f t="shared" si="5"/>
        <v/>
      </c>
      <c r="T11" s="23" t="str">
        <f t="shared" si="6"/>
        <v/>
      </c>
      <c r="U11" s="23" t="str">
        <f t="shared" si="7"/>
        <v/>
      </c>
      <c r="V11" s="23" t="str">
        <f t="shared" si="8"/>
        <v/>
      </c>
      <c r="W11" s="23" t="str">
        <f t="shared" si="9"/>
        <v/>
      </c>
      <c r="X11" s="23" t="str">
        <f t="shared" si="10"/>
        <v/>
      </c>
      <c r="Y11" s="23" t="str">
        <f t="shared" si="11"/>
        <v/>
      </c>
      <c r="Z11" s="23" t="str">
        <f t="shared" si="12"/>
        <v/>
      </c>
      <c r="AA11" s="23" t="str">
        <f t="shared" si="13"/>
        <v/>
      </c>
      <c r="AB11" s="23" t="str">
        <f t="shared" si="14"/>
        <v/>
      </c>
      <c r="AC11" s="23" t="str">
        <f t="shared" si="15"/>
        <v/>
      </c>
      <c r="AD11" s="23" t="str">
        <f t="shared" si="16"/>
        <v/>
      </c>
      <c r="AE11" s="20" t="str">
        <f t="shared" si="2"/>
        <v>Chenkal</v>
      </c>
    </row>
    <row r="12" spans="1:31" ht="20.149999999999999" customHeight="1">
      <c r="B12" s="20" t="s">
        <v>777</v>
      </c>
      <c r="C12" s="20" t="s">
        <v>778</v>
      </c>
      <c r="E12" s="20" t="s">
        <v>779</v>
      </c>
      <c r="F12" s="20" t="s">
        <v>780</v>
      </c>
      <c r="H12" s="20" t="s">
        <v>781</v>
      </c>
      <c r="I12" s="20" t="s">
        <v>782</v>
      </c>
      <c r="J12" s="20" t="s">
        <v>783</v>
      </c>
      <c r="K12" s="20" t="s">
        <v>784</v>
      </c>
      <c r="L12" s="20" t="s">
        <v>785</v>
      </c>
      <c r="N12" s="20" t="s">
        <v>786</v>
      </c>
      <c r="O12" s="20" t="s">
        <v>787</v>
      </c>
      <c r="Q12" s="23" t="str">
        <f t="shared" si="3"/>
        <v>Chirayinkeezhu</v>
      </c>
      <c r="R12" s="23" t="str">
        <f t="shared" si="4"/>
        <v/>
      </c>
      <c r="S12" s="23" t="str">
        <f t="shared" si="5"/>
        <v/>
      </c>
      <c r="T12" s="23" t="str">
        <f t="shared" si="6"/>
        <v/>
      </c>
      <c r="U12" s="23" t="str">
        <f t="shared" si="7"/>
        <v/>
      </c>
      <c r="V12" s="23" t="str">
        <f t="shared" si="8"/>
        <v/>
      </c>
      <c r="W12" s="23" t="str">
        <f t="shared" si="9"/>
        <v/>
      </c>
      <c r="X12" s="23" t="str">
        <f t="shared" si="10"/>
        <v/>
      </c>
      <c r="Y12" s="23" t="str">
        <f t="shared" si="11"/>
        <v/>
      </c>
      <c r="Z12" s="23" t="str">
        <f t="shared" si="12"/>
        <v/>
      </c>
      <c r="AA12" s="23" t="str">
        <f t="shared" si="13"/>
        <v/>
      </c>
      <c r="AB12" s="23" t="str">
        <f t="shared" si="14"/>
        <v/>
      </c>
      <c r="AC12" s="23" t="str">
        <f t="shared" si="15"/>
        <v/>
      </c>
      <c r="AD12" s="23" t="str">
        <f t="shared" si="16"/>
        <v/>
      </c>
      <c r="AE12" s="20" t="str">
        <f t="shared" si="2"/>
        <v>Chirayinkeezhu</v>
      </c>
    </row>
    <row r="13" spans="1:31" ht="20.149999999999999" customHeight="1">
      <c r="B13" s="20" t="s">
        <v>788</v>
      </c>
      <c r="C13" s="20" t="s">
        <v>789</v>
      </c>
      <c r="E13" s="20" t="s">
        <v>790</v>
      </c>
      <c r="F13" s="20" t="s">
        <v>791</v>
      </c>
      <c r="H13" s="20" t="s">
        <v>792</v>
      </c>
      <c r="I13" s="20" t="s">
        <v>793</v>
      </c>
      <c r="J13" s="20" t="s">
        <v>794</v>
      </c>
      <c r="K13" s="20" t="s">
        <v>795</v>
      </c>
      <c r="L13" s="20" t="s">
        <v>796</v>
      </c>
      <c r="N13" s="20" t="s">
        <v>797</v>
      </c>
      <c r="O13" s="20" t="s">
        <v>798</v>
      </c>
      <c r="Q13" s="23" t="str">
        <f t="shared" si="3"/>
        <v>Kadakkavoor</v>
      </c>
      <c r="R13" s="23" t="str">
        <f t="shared" si="4"/>
        <v/>
      </c>
      <c r="S13" s="23" t="str">
        <f t="shared" si="5"/>
        <v/>
      </c>
      <c r="T13" s="23" t="str">
        <f t="shared" si="6"/>
        <v/>
      </c>
      <c r="U13" s="23" t="str">
        <f t="shared" si="7"/>
        <v/>
      </c>
      <c r="V13" s="23" t="str">
        <f t="shared" si="8"/>
        <v/>
      </c>
      <c r="W13" s="23" t="str">
        <f t="shared" si="9"/>
        <v/>
      </c>
      <c r="X13" s="23" t="str">
        <f t="shared" si="10"/>
        <v/>
      </c>
      <c r="Y13" s="23" t="str">
        <f t="shared" si="11"/>
        <v/>
      </c>
      <c r="Z13" s="23" t="str">
        <f t="shared" si="12"/>
        <v/>
      </c>
      <c r="AA13" s="23" t="str">
        <f t="shared" si="13"/>
        <v/>
      </c>
      <c r="AB13" s="23" t="str">
        <f t="shared" si="14"/>
        <v/>
      </c>
      <c r="AC13" s="23" t="str">
        <f t="shared" si="15"/>
        <v/>
      </c>
      <c r="AD13" s="23" t="str">
        <f t="shared" si="16"/>
        <v/>
      </c>
      <c r="AE13" s="20" t="str">
        <f t="shared" si="2"/>
        <v>Kadakkavoor</v>
      </c>
    </row>
    <row r="14" spans="1:31" ht="20.149999999999999" customHeight="1">
      <c r="B14" s="20" t="s">
        <v>799</v>
      </c>
      <c r="C14" s="20" t="s">
        <v>800</v>
      </c>
      <c r="E14" s="20" t="s">
        <v>801</v>
      </c>
      <c r="F14" s="20" t="s">
        <v>802</v>
      </c>
      <c r="H14" s="20" t="s">
        <v>803</v>
      </c>
      <c r="I14" s="20" t="s">
        <v>804</v>
      </c>
      <c r="J14" s="20" t="s">
        <v>805</v>
      </c>
      <c r="K14" s="20" t="s">
        <v>806</v>
      </c>
      <c r="L14" s="20" t="s">
        <v>807</v>
      </c>
      <c r="N14" s="20" t="s">
        <v>808</v>
      </c>
      <c r="O14" s="20" t="s">
        <v>809</v>
      </c>
      <c r="Q14" s="23" t="str">
        <f t="shared" si="3"/>
        <v>Kalliyoor</v>
      </c>
      <c r="R14" s="23" t="str">
        <f t="shared" si="4"/>
        <v/>
      </c>
      <c r="S14" s="23" t="str">
        <f t="shared" si="5"/>
        <v/>
      </c>
      <c r="T14" s="23" t="str">
        <f t="shared" si="6"/>
        <v/>
      </c>
      <c r="U14" s="23" t="str">
        <f t="shared" si="7"/>
        <v/>
      </c>
      <c r="V14" s="23" t="str">
        <f t="shared" si="8"/>
        <v/>
      </c>
      <c r="W14" s="23" t="str">
        <f t="shared" si="9"/>
        <v/>
      </c>
      <c r="X14" s="23" t="str">
        <f t="shared" si="10"/>
        <v/>
      </c>
      <c r="Y14" s="23" t="str">
        <f t="shared" si="11"/>
        <v/>
      </c>
      <c r="Z14" s="23" t="str">
        <f t="shared" si="12"/>
        <v/>
      </c>
      <c r="AA14" s="23" t="str">
        <f t="shared" si="13"/>
        <v/>
      </c>
      <c r="AB14" s="23" t="str">
        <f t="shared" si="14"/>
        <v/>
      </c>
      <c r="AC14" s="23" t="str">
        <f t="shared" si="15"/>
        <v/>
      </c>
      <c r="AD14" s="23" t="str">
        <f t="shared" si="16"/>
        <v/>
      </c>
      <c r="AE14" s="20" t="str">
        <f t="shared" si="2"/>
        <v>Kalliyoor</v>
      </c>
    </row>
    <row r="15" spans="1:31" ht="20.149999999999999" customHeight="1">
      <c r="B15" s="20" t="s">
        <v>810</v>
      </c>
      <c r="C15" s="20" t="s">
        <v>811</v>
      </c>
      <c r="E15" s="20" t="s">
        <v>812</v>
      </c>
      <c r="F15" s="20" t="s">
        <v>813</v>
      </c>
      <c r="H15" s="20" t="s">
        <v>814</v>
      </c>
      <c r="I15" s="20" t="s">
        <v>815</v>
      </c>
      <c r="J15" s="20" t="s">
        <v>816</v>
      </c>
      <c r="K15" s="20" t="s">
        <v>817</v>
      </c>
      <c r="L15" s="20" t="s">
        <v>818</v>
      </c>
      <c r="N15" s="20" t="s">
        <v>819</v>
      </c>
      <c r="O15" s="20" t="s">
        <v>820</v>
      </c>
      <c r="Q15" s="23" t="str">
        <f t="shared" si="3"/>
        <v>Kanjiramkulam</v>
      </c>
      <c r="R15" s="23" t="str">
        <f t="shared" si="4"/>
        <v/>
      </c>
      <c r="S15" s="23" t="str">
        <f t="shared" si="5"/>
        <v/>
      </c>
      <c r="T15" s="23" t="str">
        <f t="shared" si="6"/>
        <v/>
      </c>
      <c r="U15" s="23" t="str">
        <f t="shared" si="7"/>
        <v/>
      </c>
      <c r="V15" s="23" t="str">
        <f t="shared" si="8"/>
        <v/>
      </c>
      <c r="W15" s="23" t="str">
        <f t="shared" si="9"/>
        <v/>
      </c>
      <c r="X15" s="23" t="str">
        <f t="shared" si="10"/>
        <v/>
      </c>
      <c r="Y15" s="23" t="str">
        <f t="shared" si="11"/>
        <v/>
      </c>
      <c r="Z15" s="23" t="str">
        <f t="shared" si="12"/>
        <v/>
      </c>
      <c r="AA15" s="23" t="str">
        <f t="shared" si="13"/>
        <v/>
      </c>
      <c r="AB15" s="23" t="str">
        <f t="shared" si="14"/>
        <v/>
      </c>
      <c r="AC15" s="23" t="str">
        <f t="shared" si="15"/>
        <v/>
      </c>
      <c r="AD15" s="23" t="str">
        <f t="shared" si="16"/>
        <v/>
      </c>
      <c r="AE15" s="20" t="str">
        <f t="shared" si="2"/>
        <v>Kanjiramkulam</v>
      </c>
    </row>
    <row r="16" spans="1:31" ht="20.149999999999999" customHeight="1">
      <c r="B16" s="20" t="s">
        <v>821</v>
      </c>
      <c r="C16" s="20" t="s">
        <v>822</v>
      </c>
      <c r="E16" s="20" t="s">
        <v>823</v>
      </c>
      <c r="F16" s="20" t="s">
        <v>824</v>
      </c>
      <c r="H16" s="20" t="s">
        <v>825</v>
      </c>
      <c r="I16" s="20" t="s">
        <v>826</v>
      </c>
      <c r="J16" s="20" t="s">
        <v>827</v>
      </c>
      <c r="K16" s="20" t="s">
        <v>828</v>
      </c>
      <c r="L16" s="20" t="s">
        <v>829</v>
      </c>
      <c r="N16" s="20" t="s">
        <v>830</v>
      </c>
      <c r="O16" s="20" t="s">
        <v>831</v>
      </c>
      <c r="Q16" s="23" t="str">
        <f t="shared" si="3"/>
        <v>Karakulam</v>
      </c>
      <c r="R16" s="23" t="str">
        <f t="shared" si="4"/>
        <v/>
      </c>
      <c r="S16" s="23" t="str">
        <f t="shared" si="5"/>
        <v/>
      </c>
      <c r="T16" s="23" t="str">
        <f t="shared" si="6"/>
        <v/>
      </c>
      <c r="U16" s="23" t="str">
        <f t="shared" si="7"/>
        <v/>
      </c>
      <c r="V16" s="23" t="str">
        <f t="shared" si="8"/>
        <v/>
      </c>
      <c r="W16" s="23" t="str">
        <f t="shared" si="9"/>
        <v/>
      </c>
      <c r="X16" s="23" t="str">
        <f t="shared" si="10"/>
        <v/>
      </c>
      <c r="Y16" s="23" t="str">
        <f t="shared" si="11"/>
        <v/>
      </c>
      <c r="Z16" s="23" t="str">
        <f t="shared" si="12"/>
        <v/>
      </c>
      <c r="AA16" s="23" t="str">
        <f t="shared" si="13"/>
        <v/>
      </c>
      <c r="AB16" s="23" t="str">
        <f t="shared" si="14"/>
        <v/>
      </c>
      <c r="AC16" s="23" t="str">
        <f t="shared" si="15"/>
        <v/>
      </c>
      <c r="AD16" s="23" t="str">
        <f t="shared" si="16"/>
        <v/>
      </c>
      <c r="AE16" s="20" t="str">
        <f t="shared" si="2"/>
        <v>Karakulam</v>
      </c>
    </row>
    <row r="17" spans="2:31" ht="20.149999999999999" customHeight="1">
      <c r="B17" s="20" t="s">
        <v>832</v>
      </c>
      <c r="C17" s="20" t="s">
        <v>833</v>
      </c>
      <c r="E17" s="20" t="s">
        <v>834</v>
      </c>
      <c r="F17" s="20" t="s">
        <v>835</v>
      </c>
      <c r="H17" s="20" t="s">
        <v>836</v>
      </c>
      <c r="I17" s="20" t="s">
        <v>837</v>
      </c>
      <c r="J17" s="20" t="s">
        <v>838</v>
      </c>
      <c r="K17" s="20" t="s">
        <v>839</v>
      </c>
      <c r="L17" s="20" t="s">
        <v>840</v>
      </c>
      <c r="N17" s="20" t="s">
        <v>841</v>
      </c>
      <c r="O17" s="20" t="s">
        <v>842</v>
      </c>
      <c r="Q17" s="23" t="str">
        <f t="shared" si="3"/>
        <v>Karavaram</v>
      </c>
      <c r="R17" s="23" t="str">
        <f t="shared" si="4"/>
        <v/>
      </c>
      <c r="S17" s="23" t="str">
        <f t="shared" si="5"/>
        <v/>
      </c>
      <c r="T17" s="23" t="str">
        <f t="shared" si="6"/>
        <v/>
      </c>
      <c r="U17" s="23" t="str">
        <f t="shared" si="7"/>
        <v/>
      </c>
      <c r="V17" s="23" t="str">
        <f t="shared" si="8"/>
        <v/>
      </c>
      <c r="W17" s="23" t="str">
        <f t="shared" si="9"/>
        <v/>
      </c>
      <c r="X17" s="23" t="str">
        <f t="shared" si="10"/>
        <v/>
      </c>
      <c r="Y17" s="23" t="str">
        <f t="shared" si="11"/>
        <v/>
      </c>
      <c r="Z17" s="23" t="str">
        <f t="shared" si="12"/>
        <v/>
      </c>
      <c r="AA17" s="23" t="str">
        <f t="shared" si="13"/>
        <v/>
      </c>
      <c r="AB17" s="23" t="str">
        <f t="shared" si="14"/>
        <v/>
      </c>
      <c r="AC17" s="23" t="str">
        <f t="shared" si="15"/>
        <v/>
      </c>
      <c r="AD17" s="23" t="str">
        <f t="shared" si="16"/>
        <v/>
      </c>
      <c r="AE17" s="20" t="str">
        <f t="shared" si="2"/>
        <v>Karavaram</v>
      </c>
    </row>
    <row r="18" spans="2:31" ht="20.149999999999999" customHeight="1">
      <c r="B18" s="20" t="s">
        <v>843</v>
      </c>
      <c r="C18" s="20" t="s">
        <v>844</v>
      </c>
      <c r="E18" s="20" t="s">
        <v>845</v>
      </c>
      <c r="F18" s="20" t="s">
        <v>846</v>
      </c>
      <c r="H18" s="20" t="s">
        <v>847</v>
      </c>
      <c r="I18" s="20" t="s">
        <v>848</v>
      </c>
      <c r="J18" s="20" t="s">
        <v>849</v>
      </c>
      <c r="K18" s="20" t="s">
        <v>850</v>
      </c>
      <c r="L18" s="20" t="s">
        <v>851</v>
      </c>
      <c r="N18" s="20" t="s">
        <v>852</v>
      </c>
      <c r="O18" s="20" t="s">
        <v>853</v>
      </c>
      <c r="Q18" s="23" t="str">
        <f t="shared" si="3"/>
        <v>Karumkulam</v>
      </c>
      <c r="R18" s="23" t="str">
        <f t="shared" si="4"/>
        <v/>
      </c>
      <c r="S18" s="23" t="str">
        <f t="shared" si="5"/>
        <v/>
      </c>
      <c r="T18" s="23" t="str">
        <f t="shared" si="6"/>
        <v/>
      </c>
      <c r="U18" s="23" t="str">
        <f t="shared" si="7"/>
        <v/>
      </c>
      <c r="V18" s="23" t="str">
        <f t="shared" si="8"/>
        <v/>
      </c>
      <c r="W18" s="23" t="str">
        <f t="shared" si="9"/>
        <v/>
      </c>
      <c r="X18" s="23" t="str">
        <f t="shared" si="10"/>
        <v/>
      </c>
      <c r="Y18" s="23" t="str">
        <f t="shared" si="11"/>
        <v/>
      </c>
      <c r="Z18" s="23" t="str">
        <f t="shared" si="12"/>
        <v/>
      </c>
      <c r="AA18" s="23" t="str">
        <f t="shared" si="13"/>
        <v/>
      </c>
      <c r="AB18" s="23" t="str">
        <f t="shared" si="14"/>
        <v/>
      </c>
      <c r="AC18" s="23" t="str">
        <f t="shared" si="15"/>
        <v/>
      </c>
      <c r="AD18" s="23" t="str">
        <f t="shared" si="16"/>
        <v/>
      </c>
      <c r="AE18" s="20" t="str">
        <f t="shared" si="2"/>
        <v>Karumkulam</v>
      </c>
    </row>
    <row r="19" spans="2:31" ht="20.149999999999999" customHeight="1">
      <c r="B19" s="20" t="s">
        <v>854</v>
      </c>
      <c r="C19" s="20" t="s">
        <v>855</v>
      </c>
      <c r="E19" s="20" t="s">
        <v>856</v>
      </c>
      <c r="F19" s="20" t="s">
        <v>857</v>
      </c>
      <c r="H19" s="20" t="s">
        <v>817</v>
      </c>
      <c r="I19" s="20" t="s">
        <v>858</v>
      </c>
      <c r="J19" s="20" t="s">
        <v>859</v>
      </c>
      <c r="K19" s="20" t="s">
        <v>860</v>
      </c>
      <c r="L19" s="20" t="s">
        <v>861</v>
      </c>
      <c r="N19" s="20" t="s">
        <v>862</v>
      </c>
      <c r="Q19" s="23" t="str">
        <f t="shared" si="3"/>
        <v>Kattakkada</v>
      </c>
      <c r="R19" s="23" t="str">
        <f t="shared" si="4"/>
        <v/>
      </c>
      <c r="S19" s="23" t="str">
        <f t="shared" si="5"/>
        <v/>
      </c>
      <c r="T19" s="23" t="str">
        <f t="shared" si="6"/>
        <v/>
      </c>
      <c r="U19" s="23" t="str">
        <f t="shared" si="7"/>
        <v/>
      </c>
      <c r="V19" s="23" t="str">
        <f t="shared" si="8"/>
        <v/>
      </c>
      <c r="W19" s="23" t="str">
        <f t="shared" si="9"/>
        <v/>
      </c>
      <c r="X19" s="23" t="str">
        <f t="shared" si="10"/>
        <v/>
      </c>
      <c r="Y19" s="23" t="str">
        <f t="shared" si="11"/>
        <v/>
      </c>
      <c r="Z19" s="23" t="str">
        <f t="shared" si="12"/>
        <v/>
      </c>
      <c r="AA19" s="23" t="str">
        <f t="shared" si="13"/>
        <v/>
      </c>
      <c r="AB19" s="23" t="str">
        <f t="shared" si="14"/>
        <v/>
      </c>
      <c r="AC19" s="23" t="str">
        <f t="shared" si="15"/>
        <v/>
      </c>
      <c r="AD19" s="23" t="str">
        <f t="shared" si="16"/>
        <v/>
      </c>
      <c r="AE19" s="20" t="str">
        <f t="shared" si="2"/>
        <v>Kattakkada</v>
      </c>
    </row>
    <row r="20" spans="2:31" ht="20.149999999999999" customHeight="1">
      <c r="B20" s="20" t="s">
        <v>863</v>
      </c>
      <c r="C20" s="20" t="s">
        <v>864</v>
      </c>
      <c r="E20" s="20" t="s">
        <v>865</v>
      </c>
      <c r="F20" s="20" t="s">
        <v>866</v>
      </c>
      <c r="H20" s="20" t="s">
        <v>867</v>
      </c>
      <c r="I20" s="20" t="s">
        <v>868</v>
      </c>
      <c r="J20" s="20" t="s">
        <v>869</v>
      </c>
      <c r="K20" s="20" t="s">
        <v>870</v>
      </c>
      <c r="L20" s="20" t="s">
        <v>871</v>
      </c>
      <c r="N20" s="20" t="s">
        <v>872</v>
      </c>
      <c r="Q20" s="23" t="str">
        <f t="shared" si="3"/>
        <v>Kizhuvalam</v>
      </c>
      <c r="R20" s="23" t="str">
        <f t="shared" si="4"/>
        <v/>
      </c>
      <c r="S20" s="23" t="str">
        <f t="shared" si="5"/>
        <v/>
      </c>
      <c r="T20" s="23" t="str">
        <f t="shared" si="6"/>
        <v/>
      </c>
      <c r="U20" s="23" t="str">
        <f t="shared" si="7"/>
        <v/>
      </c>
      <c r="V20" s="23" t="str">
        <f t="shared" si="8"/>
        <v/>
      </c>
      <c r="W20" s="23" t="str">
        <f t="shared" si="9"/>
        <v/>
      </c>
      <c r="X20" s="23" t="str">
        <f t="shared" si="10"/>
        <v/>
      </c>
      <c r="Y20" s="23" t="str">
        <f t="shared" si="11"/>
        <v/>
      </c>
      <c r="Z20" s="23" t="str">
        <f t="shared" si="12"/>
        <v/>
      </c>
      <c r="AA20" s="23" t="str">
        <f t="shared" si="13"/>
        <v/>
      </c>
      <c r="AB20" s="23" t="str">
        <f t="shared" si="14"/>
        <v/>
      </c>
      <c r="AC20" s="23" t="str">
        <f t="shared" si="15"/>
        <v/>
      </c>
      <c r="AD20" s="23" t="str">
        <f t="shared" si="16"/>
        <v/>
      </c>
      <c r="AE20" s="20" t="str">
        <f t="shared" si="2"/>
        <v>Kizhuvalam</v>
      </c>
    </row>
    <row r="21" spans="2:31" ht="20.149999999999999" customHeight="1">
      <c r="B21" s="20" t="s">
        <v>873</v>
      </c>
      <c r="C21" s="20" t="s">
        <v>874</v>
      </c>
      <c r="E21" s="20" t="s">
        <v>875</v>
      </c>
      <c r="F21" s="20" t="s">
        <v>876</v>
      </c>
      <c r="H21" s="20" t="s">
        <v>877</v>
      </c>
      <c r="I21" s="20" t="s">
        <v>878</v>
      </c>
      <c r="J21" s="20" t="s">
        <v>879</v>
      </c>
      <c r="K21" s="20" t="s">
        <v>880</v>
      </c>
      <c r="L21" s="20" t="s">
        <v>881</v>
      </c>
      <c r="N21" s="20" t="s">
        <v>882</v>
      </c>
      <c r="Q21" s="23" t="str">
        <f t="shared" si="3"/>
        <v>Kottukal</v>
      </c>
      <c r="R21" s="23" t="str">
        <f t="shared" si="4"/>
        <v/>
      </c>
      <c r="S21" s="23" t="str">
        <f t="shared" si="5"/>
        <v/>
      </c>
      <c r="T21" s="23" t="str">
        <f t="shared" si="6"/>
        <v/>
      </c>
      <c r="U21" s="23" t="str">
        <f t="shared" si="7"/>
        <v/>
      </c>
      <c r="V21" s="23" t="str">
        <f t="shared" si="8"/>
        <v/>
      </c>
      <c r="W21" s="23" t="str">
        <f t="shared" si="9"/>
        <v/>
      </c>
      <c r="X21" s="23" t="str">
        <f t="shared" si="10"/>
        <v/>
      </c>
      <c r="Y21" s="23" t="str">
        <f t="shared" si="11"/>
        <v/>
      </c>
      <c r="Z21" s="23" t="str">
        <f t="shared" si="12"/>
        <v/>
      </c>
      <c r="AA21" s="23" t="str">
        <f t="shared" si="13"/>
        <v/>
      </c>
      <c r="AB21" s="23" t="str">
        <f t="shared" si="14"/>
        <v/>
      </c>
      <c r="AC21" s="23" t="str">
        <f t="shared" si="15"/>
        <v/>
      </c>
      <c r="AD21" s="23" t="str">
        <f t="shared" si="16"/>
        <v/>
      </c>
      <c r="AE21" s="20" t="str">
        <f t="shared" si="2"/>
        <v>Kottukal</v>
      </c>
    </row>
    <row r="22" spans="2:31" ht="20.149999999999999" customHeight="1">
      <c r="B22" s="20" t="s">
        <v>883</v>
      </c>
      <c r="C22" s="20" t="s">
        <v>884</v>
      </c>
      <c r="E22" s="20" t="s">
        <v>885</v>
      </c>
      <c r="F22" s="20" t="s">
        <v>886</v>
      </c>
      <c r="H22" s="20" t="s">
        <v>887</v>
      </c>
      <c r="I22" s="20" t="s">
        <v>888</v>
      </c>
      <c r="J22" s="20" t="s">
        <v>889</v>
      </c>
      <c r="K22" s="20" t="s">
        <v>890</v>
      </c>
      <c r="L22" s="20" t="s">
        <v>891</v>
      </c>
      <c r="N22" s="20" t="s">
        <v>892</v>
      </c>
      <c r="Q22" s="23" t="str">
        <f t="shared" si="3"/>
        <v>Malayinkeezhu</v>
      </c>
      <c r="R22" s="23" t="str">
        <f t="shared" si="4"/>
        <v/>
      </c>
      <c r="S22" s="23" t="str">
        <f t="shared" si="5"/>
        <v/>
      </c>
      <c r="T22" s="23" t="str">
        <f t="shared" si="6"/>
        <v/>
      </c>
      <c r="U22" s="23" t="str">
        <f t="shared" si="7"/>
        <v/>
      </c>
      <c r="V22" s="23" t="str">
        <f t="shared" si="8"/>
        <v/>
      </c>
      <c r="W22" s="23" t="str">
        <f t="shared" si="9"/>
        <v/>
      </c>
      <c r="X22" s="23" t="str">
        <f t="shared" si="10"/>
        <v/>
      </c>
      <c r="Y22" s="23" t="str">
        <f t="shared" si="11"/>
        <v/>
      </c>
      <c r="Z22" s="23" t="str">
        <f t="shared" si="12"/>
        <v/>
      </c>
      <c r="AA22" s="23" t="str">
        <f t="shared" si="13"/>
        <v/>
      </c>
      <c r="AB22" s="23" t="str">
        <f t="shared" si="14"/>
        <v/>
      </c>
      <c r="AC22" s="23" t="str">
        <f t="shared" si="15"/>
        <v/>
      </c>
      <c r="AD22" s="23" t="str">
        <f t="shared" si="16"/>
        <v/>
      </c>
      <c r="AE22" s="20" t="str">
        <f t="shared" si="2"/>
        <v>Malayinkeezhu</v>
      </c>
    </row>
    <row r="23" spans="2:31" ht="20.149999999999999" customHeight="1">
      <c r="B23" s="20" t="s">
        <v>68</v>
      </c>
      <c r="C23" s="20" t="s">
        <v>893</v>
      </c>
      <c r="E23" s="20" t="s">
        <v>894</v>
      </c>
      <c r="F23" s="20" t="s">
        <v>895</v>
      </c>
      <c r="H23" s="20" t="s">
        <v>896</v>
      </c>
      <c r="I23" s="20" t="s">
        <v>897</v>
      </c>
      <c r="J23" s="20" t="s">
        <v>898</v>
      </c>
      <c r="K23" s="20" t="s">
        <v>899</v>
      </c>
      <c r="L23" s="20" t="s">
        <v>900</v>
      </c>
      <c r="N23" s="20" t="s">
        <v>901</v>
      </c>
      <c r="Q23" s="23" t="str">
        <f t="shared" si="3"/>
        <v>Mangalapuram</v>
      </c>
      <c r="R23" s="23" t="str">
        <f t="shared" si="4"/>
        <v/>
      </c>
      <c r="S23" s="23" t="str">
        <f t="shared" si="5"/>
        <v/>
      </c>
      <c r="T23" s="23" t="str">
        <f t="shared" si="6"/>
        <v/>
      </c>
      <c r="U23" s="23" t="str">
        <f t="shared" si="7"/>
        <v/>
      </c>
      <c r="V23" s="23" t="str">
        <f t="shared" si="8"/>
        <v/>
      </c>
      <c r="W23" s="23" t="str">
        <f t="shared" si="9"/>
        <v/>
      </c>
      <c r="X23" s="23" t="str">
        <f t="shared" si="10"/>
        <v/>
      </c>
      <c r="Y23" s="23" t="str">
        <f t="shared" si="11"/>
        <v/>
      </c>
      <c r="Z23" s="23" t="str">
        <f t="shared" si="12"/>
        <v/>
      </c>
      <c r="AA23" s="23" t="str">
        <f t="shared" si="13"/>
        <v/>
      </c>
      <c r="AB23" s="23" t="str">
        <f t="shared" si="14"/>
        <v/>
      </c>
      <c r="AC23" s="23" t="str">
        <f t="shared" si="15"/>
        <v/>
      </c>
      <c r="AD23" s="23" t="str">
        <f t="shared" si="16"/>
        <v/>
      </c>
      <c r="AE23" s="20" t="str">
        <f t="shared" si="2"/>
        <v>Mangalapuram</v>
      </c>
    </row>
    <row r="24" spans="2:31" ht="20.149999999999999" customHeight="1">
      <c r="B24" s="20" t="s">
        <v>902</v>
      </c>
      <c r="E24" s="20" t="s">
        <v>903</v>
      </c>
      <c r="F24" s="20" t="s">
        <v>904</v>
      </c>
      <c r="H24" s="20" t="s">
        <v>905</v>
      </c>
      <c r="I24" s="20" t="s">
        <v>906</v>
      </c>
      <c r="K24" s="20" t="s">
        <v>907</v>
      </c>
      <c r="L24" s="20" t="s">
        <v>908</v>
      </c>
      <c r="N24" s="20" t="s">
        <v>909</v>
      </c>
      <c r="Q24" s="23" t="str">
        <f t="shared" si="3"/>
        <v>Manikkal</v>
      </c>
      <c r="R24" s="23" t="str">
        <f t="shared" si="4"/>
        <v/>
      </c>
      <c r="S24" s="23" t="str">
        <f t="shared" si="5"/>
        <v/>
      </c>
      <c r="T24" s="23" t="str">
        <f t="shared" si="6"/>
        <v/>
      </c>
      <c r="U24" s="23" t="str">
        <f t="shared" si="7"/>
        <v/>
      </c>
      <c r="V24" s="23" t="str">
        <f t="shared" si="8"/>
        <v/>
      </c>
      <c r="W24" s="23" t="str">
        <f t="shared" si="9"/>
        <v/>
      </c>
      <c r="X24" s="23" t="str">
        <f t="shared" si="10"/>
        <v/>
      </c>
      <c r="Y24" s="23" t="str">
        <f t="shared" si="11"/>
        <v/>
      </c>
      <c r="Z24" s="23" t="str">
        <f t="shared" si="12"/>
        <v/>
      </c>
      <c r="AA24" s="23" t="str">
        <f t="shared" si="13"/>
        <v/>
      </c>
      <c r="AB24" s="23" t="str">
        <f t="shared" si="14"/>
        <v/>
      </c>
      <c r="AC24" s="23" t="str">
        <f t="shared" si="15"/>
        <v/>
      </c>
      <c r="AD24" s="23" t="str">
        <f t="shared" si="16"/>
        <v/>
      </c>
      <c r="AE24" s="20" t="str">
        <f t="shared" si="2"/>
        <v>Manikkal</v>
      </c>
    </row>
    <row r="25" spans="2:31" ht="20.149999999999999" customHeight="1">
      <c r="B25" s="20" t="s">
        <v>910</v>
      </c>
      <c r="E25" s="20" t="s">
        <v>911</v>
      </c>
      <c r="F25" s="20" t="s">
        <v>912</v>
      </c>
      <c r="H25" s="20" t="s">
        <v>913</v>
      </c>
      <c r="I25" s="20" t="s">
        <v>914</v>
      </c>
      <c r="K25" s="20" t="s">
        <v>915</v>
      </c>
      <c r="L25" s="20" t="s">
        <v>916</v>
      </c>
      <c r="N25" s="20" t="s">
        <v>917</v>
      </c>
      <c r="Q25" s="23" t="str">
        <f t="shared" si="3"/>
        <v>Maranalloor</v>
      </c>
      <c r="R25" s="23" t="str">
        <f t="shared" si="4"/>
        <v/>
      </c>
      <c r="S25" s="23" t="str">
        <f t="shared" si="5"/>
        <v/>
      </c>
      <c r="T25" s="23" t="str">
        <f t="shared" si="6"/>
        <v/>
      </c>
      <c r="U25" s="23" t="str">
        <f t="shared" si="7"/>
        <v/>
      </c>
      <c r="V25" s="23" t="str">
        <f t="shared" si="8"/>
        <v/>
      </c>
      <c r="W25" s="23" t="str">
        <f t="shared" si="9"/>
        <v/>
      </c>
      <c r="X25" s="23" t="str">
        <f t="shared" si="10"/>
        <v/>
      </c>
      <c r="Y25" s="23" t="str">
        <f t="shared" si="11"/>
        <v/>
      </c>
      <c r="Z25" s="23" t="str">
        <f t="shared" si="12"/>
        <v/>
      </c>
      <c r="AA25" s="23" t="str">
        <f t="shared" si="13"/>
        <v/>
      </c>
      <c r="AB25" s="23" t="str">
        <f t="shared" si="14"/>
        <v/>
      </c>
      <c r="AC25" s="23" t="str">
        <f t="shared" si="15"/>
        <v/>
      </c>
      <c r="AD25" s="23" t="str">
        <f t="shared" si="16"/>
        <v/>
      </c>
      <c r="AE25" s="20" t="str">
        <f t="shared" si="2"/>
        <v>Maranalloor</v>
      </c>
    </row>
    <row r="26" spans="2:31" ht="20.149999999999999" customHeight="1">
      <c r="B26" s="20" t="s">
        <v>918</v>
      </c>
      <c r="E26" s="20" t="s">
        <v>919</v>
      </c>
      <c r="F26" s="20" t="s">
        <v>920</v>
      </c>
      <c r="H26" s="20" t="s">
        <v>921</v>
      </c>
      <c r="I26" s="20" t="s">
        <v>922</v>
      </c>
      <c r="K26" s="20" t="s">
        <v>923</v>
      </c>
      <c r="L26" s="20" t="s">
        <v>924</v>
      </c>
      <c r="N26" s="20" t="s">
        <v>925</v>
      </c>
      <c r="Q26" s="23" t="str">
        <f t="shared" si="3"/>
        <v>Mudakkal</v>
      </c>
      <c r="R26" s="23" t="str">
        <f t="shared" si="4"/>
        <v/>
      </c>
      <c r="S26" s="23" t="str">
        <f t="shared" si="5"/>
        <v/>
      </c>
      <c r="T26" s="23" t="str">
        <f t="shared" si="6"/>
        <v/>
      </c>
      <c r="U26" s="23" t="str">
        <f t="shared" si="7"/>
        <v/>
      </c>
      <c r="V26" s="23" t="str">
        <f t="shared" si="8"/>
        <v/>
      </c>
      <c r="W26" s="23" t="str">
        <f t="shared" si="9"/>
        <v/>
      </c>
      <c r="X26" s="23" t="str">
        <f t="shared" si="10"/>
        <v/>
      </c>
      <c r="Y26" s="23" t="str">
        <f t="shared" si="11"/>
        <v/>
      </c>
      <c r="Z26" s="23" t="str">
        <f t="shared" si="12"/>
        <v/>
      </c>
      <c r="AA26" s="23" t="str">
        <f t="shared" si="13"/>
        <v/>
      </c>
      <c r="AB26" s="23" t="str">
        <f t="shared" si="14"/>
        <v/>
      </c>
      <c r="AC26" s="23" t="str">
        <f t="shared" si="15"/>
        <v/>
      </c>
      <c r="AD26" s="23" t="str">
        <f t="shared" si="16"/>
        <v/>
      </c>
      <c r="AE26" s="20" t="str">
        <f t="shared" si="2"/>
        <v>Mudakkal</v>
      </c>
    </row>
    <row r="27" spans="2:31" ht="20.149999999999999" customHeight="1">
      <c r="B27" s="20" t="s">
        <v>926</v>
      </c>
      <c r="E27" s="20" t="s">
        <v>927</v>
      </c>
      <c r="H27" s="20" t="s">
        <v>928</v>
      </c>
      <c r="I27" s="20" t="s">
        <v>929</v>
      </c>
      <c r="K27" s="20" t="s">
        <v>930</v>
      </c>
      <c r="L27" s="20" t="s">
        <v>931</v>
      </c>
      <c r="N27" s="20" t="s">
        <v>932</v>
      </c>
      <c r="Q27" s="23" t="str">
        <f t="shared" si="3"/>
        <v>Pallichal</v>
      </c>
      <c r="R27" s="23" t="str">
        <f t="shared" si="4"/>
        <v/>
      </c>
      <c r="S27" s="23" t="str">
        <f t="shared" si="5"/>
        <v/>
      </c>
      <c r="T27" s="23" t="str">
        <f t="shared" si="6"/>
        <v/>
      </c>
      <c r="U27" s="23" t="str">
        <f t="shared" si="7"/>
        <v/>
      </c>
      <c r="V27" s="23" t="str">
        <f t="shared" si="8"/>
        <v/>
      </c>
      <c r="W27" s="23" t="str">
        <f t="shared" si="9"/>
        <v/>
      </c>
      <c r="X27" s="23" t="str">
        <f t="shared" si="10"/>
        <v/>
      </c>
      <c r="Y27" s="23" t="str">
        <f t="shared" si="11"/>
        <v/>
      </c>
      <c r="Z27" s="23" t="str">
        <f t="shared" si="12"/>
        <v/>
      </c>
      <c r="AA27" s="23" t="str">
        <f t="shared" si="13"/>
        <v/>
      </c>
      <c r="AB27" s="23" t="str">
        <f t="shared" si="14"/>
        <v/>
      </c>
      <c r="AC27" s="23" t="str">
        <f t="shared" si="15"/>
        <v/>
      </c>
      <c r="AD27" s="23" t="str">
        <f t="shared" si="16"/>
        <v/>
      </c>
      <c r="AE27" s="20" t="str">
        <f t="shared" si="2"/>
        <v>Pallichal</v>
      </c>
    </row>
    <row r="28" spans="2:31" ht="20.149999999999999" customHeight="1">
      <c r="B28" s="20" t="s">
        <v>933</v>
      </c>
      <c r="E28" s="20" t="s">
        <v>934</v>
      </c>
      <c r="H28" s="20" t="s">
        <v>935</v>
      </c>
      <c r="I28" s="20" t="s">
        <v>936</v>
      </c>
      <c r="K28" s="20" t="s">
        <v>937</v>
      </c>
      <c r="L28" s="20" t="s">
        <v>938</v>
      </c>
      <c r="N28" s="20" t="s">
        <v>939</v>
      </c>
      <c r="Q28" s="23" t="str">
        <f t="shared" si="3"/>
        <v>Parassala</v>
      </c>
      <c r="R28" s="23" t="str">
        <f t="shared" si="4"/>
        <v/>
      </c>
      <c r="S28" s="23" t="str">
        <f t="shared" si="5"/>
        <v/>
      </c>
      <c r="T28" s="23" t="str">
        <f t="shared" si="6"/>
        <v/>
      </c>
      <c r="U28" s="23" t="str">
        <f t="shared" si="7"/>
        <v/>
      </c>
      <c r="V28" s="23" t="str">
        <f t="shared" si="8"/>
        <v/>
      </c>
      <c r="W28" s="23" t="str">
        <f t="shared" si="9"/>
        <v/>
      </c>
      <c r="X28" s="23" t="str">
        <f t="shared" si="10"/>
        <v/>
      </c>
      <c r="Y28" s="23" t="str">
        <f t="shared" si="11"/>
        <v/>
      </c>
      <c r="Z28" s="23" t="str">
        <f t="shared" si="12"/>
        <v/>
      </c>
      <c r="AA28" s="23" t="str">
        <f t="shared" si="13"/>
        <v/>
      </c>
      <c r="AB28" s="23" t="str">
        <f t="shared" si="14"/>
        <v/>
      </c>
      <c r="AC28" s="23" t="str">
        <f t="shared" si="15"/>
        <v/>
      </c>
      <c r="AD28" s="23" t="str">
        <f t="shared" si="16"/>
        <v/>
      </c>
      <c r="AE28" s="20" t="str">
        <f t="shared" si="2"/>
        <v>Parassala</v>
      </c>
    </row>
    <row r="29" spans="2:31" ht="20.149999999999999" customHeight="1">
      <c r="B29" s="20" t="s">
        <v>940</v>
      </c>
      <c r="E29" s="20" t="s">
        <v>941</v>
      </c>
      <c r="H29" s="20" t="s">
        <v>942</v>
      </c>
      <c r="I29" s="20" t="s">
        <v>943</v>
      </c>
      <c r="K29" s="20" t="s">
        <v>944</v>
      </c>
      <c r="L29" s="20" t="s">
        <v>945</v>
      </c>
      <c r="N29" s="20" t="s">
        <v>946</v>
      </c>
      <c r="Q29" s="23" t="str">
        <f t="shared" si="3"/>
        <v>Pothencode</v>
      </c>
      <c r="R29" s="23" t="str">
        <f t="shared" si="4"/>
        <v/>
      </c>
      <c r="S29" s="23" t="str">
        <f t="shared" si="5"/>
        <v/>
      </c>
      <c r="T29" s="23" t="str">
        <f t="shared" si="6"/>
        <v/>
      </c>
      <c r="U29" s="23" t="str">
        <f t="shared" si="7"/>
        <v/>
      </c>
      <c r="V29" s="23" t="str">
        <f t="shared" si="8"/>
        <v/>
      </c>
      <c r="W29" s="23" t="str">
        <f t="shared" si="9"/>
        <v/>
      </c>
      <c r="X29" s="23" t="str">
        <f t="shared" si="10"/>
        <v/>
      </c>
      <c r="Y29" s="23" t="str">
        <f t="shared" si="11"/>
        <v/>
      </c>
      <c r="Z29" s="23" t="str">
        <f t="shared" si="12"/>
        <v/>
      </c>
      <c r="AA29" s="23" t="str">
        <f t="shared" si="13"/>
        <v/>
      </c>
      <c r="AB29" s="23" t="str">
        <f t="shared" si="14"/>
        <v/>
      </c>
      <c r="AC29" s="23" t="str">
        <f t="shared" si="15"/>
        <v/>
      </c>
      <c r="AD29" s="23" t="str">
        <f t="shared" si="16"/>
        <v/>
      </c>
      <c r="AE29" s="20" t="str">
        <f t="shared" si="2"/>
        <v>Pothencode</v>
      </c>
    </row>
    <row r="30" spans="2:31" ht="20.149999999999999" customHeight="1">
      <c r="B30" s="20" t="s">
        <v>947</v>
      </c>
      <c r="E30" s="20" t="s">
        <v>948</v>
      </c>
      <c r="H30" s="20" t="s">
        <v>949</v>
      </c>
      <c r="I30" s="20" t="s">
        <v>950</v>
      </c>
      <c r="K30" s="20" t="s">
        <v>951</v>
      </c>
      <c r="L30" s="20" t="s">
        <v>952</v>
      </c>
      <c r="N30" s="20" t="s">
        <v>953</v>
      </c>
      <c r="Q30" s="23" t="str">
        <f t="shared" si="3"/>
        <v>Thirupuram</v>
      </c>
      <c r="R30" s="23" t="str">
        <f t="shared" si="4"/>
        <v/>
      </c>
      <c r="S30" s="23" t="str">
        <f t="shared" si="5"/>
        <v/>
      </c>
      <c r="T30" s="23" t="str">
        <f t="shared" si="6"/>
        <v/>
      </c>
      <c r="U30" s="23" t="str">
        <f t="shared" si="7"/>
        <v/>
      </c>
      <c r="V30" s="23" t="str">
        <f t="shared" si="8"/>
        <v/>
      </c>
      <c r="W30" s="23" t="str">
        <f t="shared" si="9"/>
        <v/>
      </c>
      <c r="X30" s="23" t="str">
        <f t="shared" si="10"/>
        <v/>
      </c>
      <c r="Y30" s="23" t="str">
        <f t="shared" si="11"/>
        <v/>
      </c>
      <c r="Z30" s="23" t="str">
        <f t="shared" si="12"/>
        <v/>
      </c>
      <c r="AA30" s="23" t="str">
        <f t="shared" si="13"/>
        <v/>
      </c>
      <c r="AB30" s="23" t="str">
        <f t="shared" si="14"/>
        <v/>
      </c>
      <c r="AC30" s="23" t="str">
        <f t="shared" si="15"/>
        <v/>
      </c>
      <c r="AD30" s="23" t="str">
        <f t="shared" si="16"/>
        <v/>
      </c>
      <c r="AE30" s="20" t="str">
        <f t="shared" si="2"/>
        <v>Thirupuram</v>
      </c>
    </row>
    <row r="31" spans="2:31" ht="20.149999999999999" customHeight="1">
      <c r="B31" s="20" t="s">
        <v>954</v>
      </c>
      <c r="E31" s="20" t="s">
        <v>955</v>
      </c>
      <c r="H31" s="20" t="s">
        <v>956</v>
      </c>
      <c r="I31" s="20" t="s">
        <v>957</v>
      </c>
      <c r="K31" s="20" t="s">
        <v>958</v>
      </c>
      <c r="L31" s="20" t="s">
        <v>959</v>
      </c>
      <c r="N31" s="20" t="s">
        <v>960</v>
      </c>
      <c r="Q31" s="23" t="str">
        <f t="shared" si="3"/>
        <v>Vakkam</v>
      </c>
      <c r="R31" s="23" t="str">
        <f t="shared" si="4"/>
        <v/>
      </c>
      <c r="S31" s="23" t="str">
        <f t="shared" si="5"/>
        <v/>
      </c>
      <c r="T31" s="23" t="str">
        <f t="shared" si="6"/>
        <v/>
      </c>
      <c r="U31" s="23" t="str">
        <f t="shared" si="7"/>
        <v/>
      </c>
      <c r="V31" s="23" t="str">
        <f t="shared" si="8"/>
        <v/>
      </c>
      <c r="W31" s="23" t="str">
        <f t="shared" si="9"/>
        <v/>
      </c>
      <c r="X31" s="23" t="str">
        <f t="shared" si="10"/>
        <v/>
      </c>
      <c r="Y31" s="23" t="str">
        <f t="shared" si="11"/>
        <v/>
      </c>
      <c r="Z31" s="23" t="str">
        <f t="shared" si="12"/>
        <v/>
      </c>
      <c r="AA31" s="23" t="str">
        <f t="shared" si="13"/>
        <v/>
      </c>
      <c r="AB31" s="23" t="str">
        <f t="shared" si="14"/>
        <v/>
      </c>
      <c r="AC31" s="23" t="str">
        <f t="shared" si="15"/>
        <v/>
      </c>
      <c r="AD31" s="23" t="str">
        <f t="shared" si="16"/>
        <v/>
      </c>
      <c r="AE31" s="20" t="str">
        <f t="shared" si="2"/>
        <v>Vakkam</v>
      </c>
    </row>
    <row r="32" spans="2:31" ht="20.149999999999999" customHeight="1">
      <c r="B32" s="20" t="s">
        <v>961</v>
      </c>
      <c r="E32" s="20" t="s">
        <v>962</v>
      </c>
      <c r="H32" s="20" t="s">
        <v>963</v>
      </c>
      <c r="I32" s="20" t="s">
        <v>964</v>
      </c>
      <c r="K32" s="20" t="s">
        <v>965</v>
      </c>
      <c r="L32" s="20" t="s">
        <v>966</v>
      </c>
      <c r="N32" s="20" t="s">
        <v>967</v>
      </c>
      <c r="Q32" s="23" t="str">
        <f t="shared" si="3"/>
        <v>Vembayam</v>
      </c>
      <c r="R32" s="23" t="str">
        <f t="shared" si="4"/>
        <v/>
      </c>
      <c r="S32" s="23" t="str">
        <f t="shared" si="5"/>
        <v/>
      </c>
      <c r="T32" s="23" t="str">
        <f t="shared" si="6"/>
        <v/>
      </c>
      <c r="U32" s="23" t="str">
        <f t="shared" si="7"/>
        <v/>
      </c>
      <c r="V32" s="23" t="str">
        <f t="shared" si="8"/>
        <v/>
      </c>
      <c r="W32" s="23" t="str">
        <f t="shared" si="9"/>
        <v/>
      </c>
      <c r="X32" s="23" t="str">
        <f t="shared" si="10"/>
        <v/>
      </c>
      <c r="Y32" s="23" t="str">
        <f t="shared" si="11"/>
        <v/>
      </c>
      <c r="Z32" s="23" t="str">
        <f t="shared" si="12"/>
        <v/>
      </c>
      <c r="AA32" s="23" t="str">
        <f t="shared" si="13"/>
        <v/>
      </c>
      <c r="AB32" s="23" t="str">
        <f t="shared" si="14"/>
        <v/>
      </c>
      <c r="AC32" s="23" t="str">
        <f t="shared" si="15"/>
        <v/>
      </c>
      <c r="AD32" s="23" t="str">
        <f t="shared" si="16"/>
        <v/>
      </c>
      <c r="AE32" s="20" t="str">
        <f t="shared" si="2"/>
        <v>Vembayam</v>
      </c>
    </row>
    <row r="33" spans="2:31" ht="20.149999999999999" customHeight="1">
      <c r="B33" s="20" t="s">
        <v>968</v>
      </c>
      <c r="E33" s="20" t="s">
        <v>969</v>
      </c>
      <c r="H33" s="20" t="s">
        <v>970</v>
      </c>
      <c r="I33" s="20" t="s">
        <v>971</v>
      </c>
      <c r="K33" s="20" t="s">
        <v>972</v>
      </c>
      <c r="L33" s="20" t="s">
        <v>973</v>
      </c>
      <c r="N33" s="20" t="s">
        <v>974</v>
      </c>
      <c r="Q33" s="23" t="str">
        <f t="shared" si="3"/>
        <v>Venganoor</v>
      </c>
      <c r="R33" s="23" t="str">
        <f t="shared" si="4"/>
        <v/>
      </c>
      <c r="S33" s="23" t="str">
        <f t="shared" si="5"/>
        <v/>
      </c>
      <c r="T33" s="23" t="str">
        <f t="shared" si="6"/>
        <v/>
      </c>
      <c r="U33" s="23" t="str">
        <f t="shared" si="7"/>
        <v/>
      </c>
      <c r="V33" s="23" t="str">
        <f t="shared" si="8"/>
        <v/>
      </c>
      <c r="W33" s="23" t="str">
        <f t="shared" si="9"/>
        <v/>
      </c>
      <c r="X33" s="23" t="str">
        <f t="shared" si="10"/>
        <v/>
      </c>
      <c r="Y33" s="23" t="str">
        <f t="shared" si="11"/>
        <v/>
      </c>
      <c r="Z33" s="23" t="str">
        <f t="shared" si="12"/>
        <v/>
      </c>
      <c r="AA33" s="23" t="str">
        <f t="shared" si="13"/>
        <v/>
      </c>
      <c r="AB33" s="23" t="str">
        <f t="shared" si="14"/>
        <v/>
      </c>
      <c r="AC33" s="23" t="str">
        <f t="shared" si="15"/>
        <v/>
      </c>
      <c r="AD33" s="23" t="str">
        <f t="shared" si="16"/>
        <v/>
      </c>
      <c r="AE33" s="20" t="str">
        <f t="shared" si="2"/>
        <v>Venganoor</v>
      </c>
    </row>
    <row r="34" spans="2:31" ht="20.149999999999999" customHeight="1">
      <c r="B34" s="20" t="s">
        <v>975</v>
      </c>
      <c r="E34" s="20" t="s">
        <v>976</v>
      </c>
      <c r="H34" s="20" t="s">
        <v>977</v>
      </c>
      <c r="I34" s="20" t="s">
        <v>978</v>
      </c>
      <c r="K34" s="20" t="s">
        <v>979</v>
      </c>
      <c r="L34" s="20" t="s">
        <v>980</v>
      </c>
      <c r="N34" s="20" t="s">
        <v>981</v>
      </c>
      <c r="Q34" s="23" t="str">
        <f t="shared" si="3"/>
        <v>Vilappil</v>
      </c>
      <c r="R34" s="23" t="str">
        <f t="shared" si="4"/>
        <v/>
      </c>
      <c r="S34" s="23" t="str">
        <f t="shared" si="5"/>
        <v/>
      </c>
      <c r="T34" s="23" t="str">
        <f t="shared" si="6"/>
        <v/>
      </c>
      <c r="U34" s="23" t="str">
        <f t="shared" si="7"/>
        <v/>
      </c>
      <c r="V34" s="23" t="str">
        <f t="shared" si="8"/>
        <v/>
      </c>
      <c r="W34" s="23" t="str">
        <f t="shared" si="9"/>
        <v/>
      </c>
      <c r="X34" s="23" t="str">
        <f t="shared" si="10"/>
        <v/>
      </c>
      <c r="Y34" s="23" t="str">
        <f t="shared" si="11"/>
        <v/>
      </c>
      <c r="Z34" s="23" t="str">
        <f t="shared" si="12"/>
        <v/>
      </c>
      <c r="AA34" s="23" t="str">
        <f t="shared" si="13"/>
        <v/>
      </c>
      <c r="AB34" s="23" t="str">
        <f t="shared" si="14"/>
        <v/>
      </c>
      <c r="AC34" s="23" t="str">
        <f t="shared" si="15"/>
        <v/>
      </c>
      <c r="AD34" s="23" t="str">
        <f t="shared" si="16"/>
        <v/>
      </c>
      <c r="AE34" s="20" t="str">
        <f t="shared" si="2"/>
        <v>Vilappil</v>
      </c>
    </row>
    <row r="35" spans="2:31" ht="20.149999999999999" customHeight="1">
      <c r="B35" s="20" t="s">
        <v>982</v>
      </c>
      <c r="E35" s="20" t="s">
        <v>983</v>
      </c>
      <c r="H35" s="20" t="s">
        <v>984</v>
      </c>
      <c r="I35" s="20" t="s">
        <v>985</v>
      </c>
      <c r="K35" s="20" t="s">
        <v>986</v>
      </c>
      <c r="L35" s="20" t="s">
        <v>987</v>
      </c>
      <c r="N35" s="20" t="s">
        <v>988</v>
      </c>
      <c r="Q35" s="23" t="str">
        <f t="shared" si="3"/>
        <v>Vilavoorkkal</v>
      </c>
      <c r="R35" s="23" t="str">
        <f t="shared" si="4"/>
        <v/>
      </c>
      <c r="S35" s="23" t="str">
        <f t="shared" si="5"/>
        <v/>
      </c>
      <c r="T35" s="23" t="str">
        <f t="shared" si="6"/>
        <v/>
      </c>
      <c r="U35" s="23" t="str">
        <f t="shared" si="7"/>
        <v/>
      </c>
      <c r="V35" s="23" t="str">
        <f t="shared" si="8"/>
        <v/>
      </c>
      <c r="W35" s="23" t="str">
        <f t="shared" si="9"/>
        <v/>
      </c>
      <c r="X35" s="23" t="str">
        <f t="shared" si="10"/>
        <v/>
      </c>
      <c r="Y35" s="23" t="str">
        <f t="shared" si="11"/>
        <v/>
      </c>
      <c r="Z35" s="23" t="str">
        <f t="shared" si="12"/>
        <v/>
      </c>
      <c r="AA35" s="23" t="str">
        <f t="shared" si="13"/>
        <v/>
      </c>
      <c r="AB35" s="23" t="str">
        <f t="shared" si="14"/>
        <v/>
      </c>
      <c r="AC35" s="23" t="str">
        <f t="shared" si="15"/>
        <v/>
      </c>
      <c r="AD35" s="23" t="str">
        <f t="shared" si="16"/>
        <v/>
      </c>
      <c r="AE35" s="20" t="str">
        <f t="shared" si="2"/>
        <v>Vilavoorkkal</v>
      </c>
    </row>
    <row r="36" spans="2:31" ht="20.149999999999999" customHeight="1">
      <c r="H36" s="20" t="s">
        <v>989</v>
      </c>
      <c r="I36" s="20" t="s">
        <v>990</v>
      </c>
      <c r="K36" s="20" t="s">
        <v>991</v>
      </c>
      <c r="L36" s="20" t="s">
        <v>992</v>
      </c>
      <c r="N36" s="20" t="s">
        <v>993</v>
      </c>
      <c r="Q36" s="23">
        <f t="shared" si="3"/>
        <v>0</v>
      </c>
      <c r="R36" s="23" t="str">
        <f t="shared" si="4"/>
        <v/>
      </c>
      <c r="S36" s="23" t="str">
        <f t="shared" si="5"/>
        <v/>
      </c>
      <c r="T36" s="23" t="str">
        <f t="shared" si="6"/>
        <v/>
      </c>
      <c r="U36" s="23" t="str">
        <f t="shared" si="7"/>
        <v/>
      </c>
      <c r="V36" s="23" t="str">
        <f t="shared" si="8"/>
        <v/>
      </c>
      <c r="W36" s="23" t="str">
        <f t="shared" si="9"/>
        <v/>
      </c>
      <c r="X36" s="23" t="str">
        <f t="shared" si="10"/>
        <v/>
      </c>
      <c r="Y36" s="23" t="str">
        <f t="shared" si="11"/>
        <v/>
      </c>
      <c r="Z36" s="23" t="str">
        <f t="shared" si="12"/>
        <v/>
      </c>
      <c r="AA36" s="23" t="str">
        <f t="shared" si="13"/>
        <v/>
      </c>
      <c r="AB36" s="23" t="str">
        <f t="shared" si="14"/>
        <v/>
      </c>
      <c r="AC36" s="23" t="str">
        <f t="shared" si="15"/>
        <v/>
      </c>
      <c r="AD36" s="23" t="str">
        <f t="shared" si="16"/>
        <v/>
      </c>
      <c r="AE36" s="20" t="str">
        <f t="shared" si="2"/>
        <v>0</v>
      </c>
    </row>
    <row r="37" spans="2:31" ht="20.149999999999999" customHeight="1">
      <c r="H37" s="20" t="s">
        <v>994</v>
      </c>
      <c r="I37" s="20" t="s">
        <v>995</v>
      </c>
      <c r="K37" s="20" t="s">
        <v>996</v>
      </c>
      <c r="L37" s="20" t="s">
        <v>997</v>
      </c>
      <c r="N37" s="20" t="s">
        <v>998</v>
      </c>
      <c r="Q37" s="23">
        <f t="shared" si="3"/>
        <v>0</v>
      </c>
      <c r="R37" s="23" t="str">
        <f t="shared" si="4"/>
        <v/>
      </c>
      <c r="S37" s="23" t="str">
        <f t="shared" si="5"/>
        <v/>
      </c>
      <c r="T37" s="23" t="str">
        <f t="shared" si="6"/>
        <v/>
      </c>
      <c r="U37" s="23" t="str">
        <f t="shared" si="7"/>
        <v/>
      </c>
      <c r="V37" s="23" t="str">
        <f t="shared" si="8"/>
        <v/>
      </c>
      <c r="W37" s="23" t="str">
        <f t="shared" si="9"/>
        <v/>
      </c>
      <c r="X37" s="23" t="str">
        <f t="shared" si="10"/>
        <v/>
      </c>
      <c r="Y37" s="23" t="str">
        <f t="shared" si="11"/>
        <v/>
      </c>
      <c r="Z37" s="23" t="str">
        <f t="shared" si="12"/>
        <v/>
      </c>
      <c r="AA37" s="23" t="str">
        <f t="shared" si="13"/>
        <v/>
      </c>
      <c r="AB37" s="23" t="str">
        <f t="shared" si="14"/>
        <v/>
      </c>
      <c r="AC37" s="23" t="str">
        <f t="shared" si="15"/>
        <v/>
      </c>
      <c r="AD37" s="23" t="str">
        <f t="shared" si="16"/>
        <v/>
      </c>
      <c r="AE37" s="20" t="str">
        <f t="shared" si="2"/>
        <v>0</v>
      </c>
    </row>
    <row r="38" spans="2:31" ht="20.149999999999999" customHeight="1">
      <c r="H38" s="20" t="s">
        <v>999</v>
      </c>
      <c r="I38" s="20" t="s">
        <v>1000</v>
      </c>
      <c r="K38" s="20" t="s">
        <v>1001</v>
      </c>
      <c r="L38" s="20" t="s">
        <v>1002</v>
      </c>
      <c r="N38" s="20" t="s">
        <v>1003</v>
      </c>
      <c r="Q38" s="23">
        <f t="shared" si="3"/>
        <v>0</v>
      </c>
      <c r="R38" s="23" t="str">
        <f t="shared" si="4"/>
        <v/>
      </c>
      <c r="S38" s="23" t="str">
        <f t="shared" si="5"/>
        <v/>
      </c>
      <c r="T38" s="23" t="str">
        <f t="shared" si="6"/>
        <v/>
      </c>
      <c r="U38" s="23" t="str">
        <f t="shared" si="7"/>
        <v/>
      </c>
      <c r="V38" s="23" t="str">
        <f t="shared" si="8"/>
        <v/>
      </c>
      <c r="W38" s="23" t="str">
        <f t="shared" si="9"/>
        <v/>
      </c>
      <c r="X38" s="23" t="str">
        <f t="shared" si="10"/>
        <v/>
      </c>
      <c r="Y38" s="23" t="str">
        <f t="shared" si="11"/>
        <v/>
      </c>
      <c r="Z38" s="23" t="str">
        <f t="shared" si="12"/>
        <v/>
      </c>
      <c r="AA38" s="23" t="str">
        <f t="shared" si="13"/>
        <v/>
      </c>
      <c r="AB38" s="23" t="str">
        <f t="shared" si="14"/>
        <v/>
      </c>
      <c r="AC38" s="23" t="str">
        <f t="shared" si="15"/>
        <v/>
      </c>
      <c r="AD38" s="23" t="str">
        <f t="shared" si="16"/>
        <v/>
      </c>
      <c r="AE38" s="20" t="str">
        <f t="shared" si="2"/>
        <v>0</v>
      </c>
    </row>
    <row r="39" spans="2:31" ht="20.149999999999999" customHeight="1">
      <c r="H39" s="20" t="s">
        <v>1004</v>
      </c>
      <c r="I39" s="20" t="s">
        <v>1005</v>
      </c>
      <c r="K39" s="20" t="s">
        <v>1006</v>
      </c>
      <c r="L39" s="20" t="s">
        <v>1007</v>
      </c>
      <c r="N39" s="20" t="s">
        <v>1008</v>
      </c>
      <c r="Q39" s="23">
        <f t="shared" si="3"/>
        <v>0</v>
      </c>
      <c r="R39" s="23" t="str">
        <f t="shared" si="4"/>
        <v/>
      </c>
      <c r="S39" s="23" t="str">
        <f t="shared" si="5"/>
        <v/>
      </c>
      <c r="T39" s="23" t="str">
        <f t="shared" si="6"/>
        <v/>
      </c>
      <c r="U39" s="23" t="str">
        <f t="shared" si="7"/>
        <v/>
      </c>
      <c r="V39" s="23" t="str">
        <f t="shared" si="8"/>
        <v/>
      </c>
      <c r="W39" s="23" t="str">
        <f t="shared" si="9"/>
        <v/>
      </c>
      <c r="X39" s="23" t="str">
        <f t="shared" si="10"/>
        <v/>
      </c>
      <c r="Y39" s="23" t="str">
        <f t="shared" si="11"/>
        <v/>
      </c>
      <c r="Z39" s="23" t="str">
        <f t="shared" si="12"/>
        <v/>
      </c>
      <c r="AA39" s="23" t="str">
        <f t="shared" si="13"/>
        <v/>
      </c>
      <c r="AB39" s="23" t="str">
        <f t="shared" si="14"/>
        <v/>
      </c>
      <c r="AC39" s="23" t="str">
        <f t="shared" si="15"/>
        <v/>
      </c>
      <c r="AD39" s="23" t="str">
        <f t="shared" si="16"/>
        <v/>
      </c>
      <c r="AE39" s="20" t="str">
        <f t="shared" si="2"/>
        <v>0</v>
      </c>
    </row>
    <row r="40" spans="2:31" ht="20.149999999999999" customHeight="1">
      <c r="H40" s="20" t="s">
        <v>1009</v>
      </c>
      <c r="I40" s="20" t="s">
        <v>1010</v>
      </c>
      <c r="K40" s="20" t="s">
        <v>1011</v>
      </c>
      <c r="L40" s="20" t="s">
        <v>1012</v>
      </c>
      <c r="N40" s="20" t="s">
        <v>1013</v>
      </c>
      <c r="Q40" s="23">
        <f t="shared" si="3"/>
        <v>0</v>
      </c>
      <c r="R40" s="23" t="str">
        <f t="shared" si="4"/>
        <v/>
      </c>
      <c r="S40" s="23" t="str">
        <f t="shared" si="5"/>
        <v/>
      </c>
      <c r="T40" s="23" t="str">
        <f t="shared" si="6"/>
        <v/>
      </c>
      <c r="U40" s="23" t="str">
        <f t="shared" si="7"/>
        <v/>
      </c>
      <c r="V40" s="23" t="str">
        <f t="shared" si="8"/>
        <v/>
      </c>
      <c r="W40" s="23" t="str">
        <f t="shared" si="9"/>
        <v/>
      </c>
      <c r="X40" s="23" t="str">
        <f t="shared" si="10"/>
        <v/>
      </c>
      <c r="Y40" s="23" t="str">
        <f t="shared" si="11"/>
        <v/>
      </c>
      <c r="Z40" s="23" t="str">
        <f t="shared" si="12"/>
        <v/>
      </c>
      <c r="AA40" s="23" t="str">
        <f t="shared" si="13"/>
        <v/>
      </c>
      <c r="AB40" s="23" t="str">
        <f t="shared" si="14"/>
        <v/>
      </c>
      <c r="AC40" s="23" t="str">
        <f t="shared" si="15"/>
        <v/>
      </c>
      <c r="AD40" s="23" t="str">
        <f t="shared" si="16"/>
        <v/>
      </c>
      <c r="AE40" s="20" t="str">
        <f t="shared" si="2"/>
        <v>0</v>
      </c>
    </row>
    <row r="41" spans="2:31" ht="20.149999999999999" customHeight="1">
      <c r="H41" s="20" t="s">
        <v>1014</v>
      </c>
      <c r="I41" s="20" t="s">
        <v>1015</v>
      </c>
      <c r="K41" s="20" t="s">
        <v>1016</v>
      </c>
      <c r="L41" s="20" t="s">
        <v>1017</v>
      </c>
      <c r="N41" s="20" t="s">
        <v>1018</v>
      </c>
      <c r="Q41" s="23">
        <f t="shared" si="3"/>
        <v>0</v>
      </c>
      <c r="R41" s="23" t="str">
        <f t="shared" si="4"/>
        <v/>
      </c>
      <c r="S41" s="23" t="str">
        <f t="shared" si="5"/>
        <v/>
      </c>
      <c r="T41" s="23" t="str">
        <f t="shared" si="6"/>
        <v/>
      </c>
      <c r="U41" s="23" t="str">
        <f t="shared" si="7"/>
        <v/>
      </c>
      <c r="V41" s="23" t="str">
        <f t="shared" si="8"/>
        <v/>
      </c>
      <c r="W41" s="23" t="str">
        <f t="shared" si="9"/>
        <v/>
      </c>
      <c r="X41" s="23" t="str">
        <f t="shared" si="10"/>
        <v/>
      </c>
      <c r="Y41" s="23" t="str">
        <f t="shared" si="11"/>
        <v/>
      </c>
      <c r="Z41" s="23" t="str">
        <f t="shared" si="12"/>
        <v/>
      </c>
      <c r="AA41" s="23" t="str">
        <f t="shared" si="13"/>
        <v/>
      </c>
      <c r="AB41" s="23" t="str">
        <f t="shared" si="14"/>
        <v/>
      </c>
      <c r="AC41" s="23" t="str">
        <f t="shared" si="15"/>
        <v/>
      </c>
      <c r="AD41" s="23" t="str">
        <f t="shared" si="16"/>
        <v/>
      </c>
      <c r="AE41" s="20" t="str">
        <f t="shared" si="2"/>
        <v>0</v>
      </c>
    </row>
    <row r="42" spans="2:31" ht="20.149999999999999" customHeight="1">
      <c r="H42" s="20" t="s">
        <v>1019</v>
      </c>
      <c r="I42" s="20" t="s">
        <v>1020</v>
      </c>
      <c r="K42" s="20" t="s">
        <v>1021</v>
      </c>
      <c r="L42" s="20" t="s">
        <v>1022</v>
      </c>
      <c r="N42" s="20" t="s">
        <v>1023</v>
      </c>
      <c r="Q42" s="23">
        <f t="shared" si="3"/>
        <v>0</v>
      </c>
      <c r="R42" s="23" t="str">
        <f t="shared" si="4"/>
        <v/>
      </c>
      <c r="S42" s="23" t="str">
        <f t="shared" si="5"/>
        <v/>
      </c>
      <c r="T42" s="23" t="str">
        <f t="shared" si="6"/>
        <v/>
      </c>
      <c r="U42" s="23" t="str">
        <f t="shared" si="7"/>
        <v/>
      </c>
      <c r="V42" s="23" t="str">
        <f t="shared" si="8"/>
        <v/>
      </c>
      <c r="W42" s="23" t="str">
        <f t="shared" si="9"/>
        <v/>
      </c>
      <c r="X42" s="23" t="str">
        <f t="shared" si="10"/>
        <v/>
      </c>
      <c r="Y42" s="23" t="str">
        <f t="shared" si="11"/>
        <v/>
      </c>
      <c r="Z42" s="23" t="str">
        <f t="shared" si="12"/>
        <v/>
      </c>
      <c r="AA42" s="23" t="str">
        <f t="shared" si="13"/>
        <v/>
      </c>
      <c r="AB42" s="23" t="str">
        <f t="shared" si="14"/>
        <v/>
      </c>
      <c r="AC42" s="23" t="str">
        <f t="shared" si="15"/>
        <v/>
      </c>
      <c r="AD42" s="23" t="str">
        <f t="shared" si="16"/>
        <v/>
      </c>
      <c r="AE42" s="20" t="str">
        <f t="shared" si="2"/>
        <v>0</v>
      </c>
    </row>
    <row r="43" spans="2:31" ht="20.149999999999999" customHeight="1">
      <c r="H43" s="20" t="s">
        <v>1024</v>
      </c>
      <c r="I43" s="20" t="s">
        <v>1025</v>
      </c>
      <c r="K43" s="20" t="s">
        <v>1026</v>
      </c>
      <c r="L43" s="20" t="s">
        <v>1027</v>
      </c>
      <c r="N43" s="20" t="s">
        <v>1028</v>
      </c>
      <c r="Q43" s="23">
        <f t="shared" si="3"/>
        <v>0</v>
      </c>
      <c r="R43" s="23" t="str">
        <f t="shared" si="4"/>
        <v/>
      </c>
      <c r="S43" s="23" t="str">
        <f t="shared" si="5"/>
        <v/>
      </c>
      <c r="T43" s="23" t="str">
        <f t="shared" si="6"/>
        <v/>
      </c>
      <c r="U43" s="23" t="str">
        <f t="shared" si="7"/>
        <v/>
      </c>
      <c r="V43" s="23" t="str">
        <f t="shared" si="8"/>
        <v/>
      </c>
      <c r="W43" s="23" t="str">
        <f t="shared" si="9"/>
        <v/>
      </c>
      <c r="X43" s="23" t="str">
        <f t="shared" si="10"/>
        <v/>
      </c>
      <c r="Y43" s="23" t="str">
        <f t="shared" si="11"/>
        <v/>
      </c>
      <c r="Z43" s="23" t="str">
        <f t="shared" si="12"/>
        <v/>
      </c>
      <c r="AA43" s="23" t="str">
        <f t="shared" si="13"/>
        <v/>
      </c>
      <c r="AB43" s="23" t="str">
        <f t="shared" si="14"/>
        <v/>
      </c>
      <c r="AC43" s="23" t="str">
        <f t="shared" si="15"/>
        <v/>
      </c>
      <c r="AD43" s="23" t="str">
        <f t="shared" si="16"/>
        <v/>
      </c>
      <c r="AE43" s="20" t="str">
        <f t="shared" si="2"/>
        <v>0</v>
      </c>
    </row>
    <row r="44" spans="2:31" ht="20.149999999999999" customHeight="1">
      <c r="H44" s="20" t="s">
        <v>1029</v>
      </c>
      <c r="I44" s="20" t="s">
        <v>1030</v>
      </c>
      <c r="K44" s="20" t="s">
        <v>1031</v>
      </c>
      <c r="L44" s="20" t="s">
        <v>1032</v>
      </c>
      <c r="N44" s="20" t="s">
        <v>1033</v>
      </c>
      <c r="Q44" s="23">
        <f t="shared" si="3"/>
        <v>0</v>
      </c>
      <c r="R44" s="23" t="str">
        <f t="shared" si="4"/>
        <v/>
      </c>
      <c r="S44" s="23" t="str">
        <f t="shared" si="5"/>
        <v/>
      </c>
      <c r="T44" s="23" t="str">
        <f t="shared" si="6"/>
        <v/>
      </c>
      <c r="U44" s="23" t="str">
        <f t="shared" si="7"/>
        <v/>
      </c>
      <c r="V44" s="23" t="str">
        <f t="shared" si="8"/>
        <v/>
      </c>
      <c r="W44" s="23" t="str">
        <f t="shared" si="9"/>
        <v/>
      </c>
      <c r="X44" s="23" t="str">
        <f t="shared" si="10"/>
        <v/>
      </c>
      <c r="Y44" s="23" t="str">
        <f t="shared" si="11"/>
        <v/>
      </c>
      <c r="Z44" s="23" t="str">
        <f t="shared" si="12"/>
        <v/>
      </c>
      <c r="AA44" s="23" t="str">
        <f t="shared" si="13"/>
        <v/>
      </c>
      <c r="AB44" s="23" t="str">
        <f t="shared" si="14"/>
        <v/>
      </c>
      <c r="AC44" s="23" t="str">
        <f t="shared" si="15"/>
        <v/>
      </c>
      <c r="AD44" s="23" t="str">
        <f t="shared" si="16"/>
        <v/>
      </c>
      <c r="AE44" s="20" t="str">
        <f t="shared" si="2"/>
        <v>0</v>
      </c>
    </row>
    <row r="45" spans="2:31" ht="20.149999999999999" customHeight="1">
      <c r="H45" s="20" t="s">
        <v>1034</v>
      </c>
      <c r="I45" s="20" t="s">
        <v>1035</v>
      </c>
      <c r="L45" s="20" t="s">
        <v>1036</v>
      </c>
      <c r="N45" s="20" t="s">
        <v>1037</v>
      </c>
      <c r="Q45" s="23">
        <f t="shared" si="3"/>
        <v>0</v>
      </c>
      <c r="R45" s="23" t="str">
        <f t="shared" si="4"/>
        <v/>
      </c>
      <c r="S45" s="23" t="str">
        <f t="shared" si="5"/>
        <v/>
      </c>
      <c r="T45" s="23" t="str">
        <f t="shared" si="6"/>
        <v/>
      </c>
      <c r="U45" s="23" t="str">
        <f t="shared" si="7"/>
        <v/>
      </c>
      <c r="V45" s="23" t="str">
        <f t="shared" si="8"/>
        <v/>
      </c>
      <c r="W45" s="23" t="str">
        <f t="shared" si="9"/>
        <v/>
      </c>
      <c r="X45" s="23" t="str">
        <f t="shared" si="10"/>
        <v/>
      </c>
      <c r="Y45" s="23" t="str">
        <f t="shared" si="11"/>
        <v/>
      </c>
      <c r="Z45" s="23" t="str">
        <f t="shared" si="12"/>
        <v/>
      </c>
      <c r="AA45" s="23" t="str">
        <f t="shared" si="13"/>
        <v/>
      </c>
      <c r="AB45" s="23" t="str">
        <f t="shared" si="14"/>
        <v/>
      </c>
      <c r="AC45" s="23" t="str">
        <f t="shared" si="15"/>
        <v/>
      </c>
      <c r="AD45" s="23" t="str">
        <f t="shared" si="16"/>
        <v/>
      </c>
      <c r="AE45" s="20" t="str">
        <f t="shared" si="2"/>
        <v>0</v>
      </c>
    </row>
    <row r="46" spans="2:31" ht="20.149999999999999" customHeight="1">
      <c r="H46" s="20" t="s">
        <v>1038</v>
      </c>
      <c r="I46" s="20" t="s">
        <v>1039</v>
      </c>
      <c r="L46" s="20" t="s">
        <v>1040</v>
      </c>
      <c r="N46" s="20" t="s">
        <v>1041</v>
      </c>
      <c r="Q46" s="23">
        <f t="shared" si="3"/>
        <v>0</v>
      </c>
      <c r="R46" s="23" t="str">
        <f t="shared" si="4"/>
        <v/>
      </c>
      <c r="S46" s="23" t="str">
        <f t="shared" si="5"/>
        <v/>
      </c>
      <c r="T46" s="23" t="str">
        <f t="shared" si="6"/>
        <v/>
      </c>
      <c r="U46" s="23" t="str">
        <f t="shared" si="7"/>
        <v/>
      </c>
      <c r="V46" s="23" t="str">
        <f t="shared" si="8"/>
        <v/>
      </c>
      <c r="W46" s="23" t="str">
        <f t="shared" si="9"/>
        <v/>
      </c>
      <c r="X46" s="23" t="str">
        <f t="shared" si="10"/>
        <v/>
      </c>
      <c r="Y46" s="23" t="str">
        <f t="shared" si="11"/>
        <v/>
      </c>
      <c r="Z46" s="23" t="str">
        <f t="shared" si="12"/>
        <v/>
      </c>
      <c r="AA46" s="23" t="str">
        <f t="shared" si="13"/>
        <v/>
      </c>
      <c r="AB46" s="23" t="str">
        <f t="shared" si="14"/>
        <v/>
      </c>
      <c r="AC46" s="23" t="str">
        <f t="shared" si="15"/>
        <v/>
      </c>
      <c r="AD46" s="23" t="str">
        <f t="shared" si="16"/>
        <v/>
      </c>
      <c r="AE46" s="20" t="str">
        <f t="shared" si="2"/>
        <v>0</v>
      </c>
    </row>
    <row r="47" spans="2:31" ht="20.149999999999999" customHeight="1">
      <c r="H47" s="20" t="s">
        <v>1042</v>
      </c>
      <c r="I47" s="20" t="s">
        <v>1043</v>
      </c>
      <c r="L47" s="20" t="s">
        <v>1044</v>
      </c>
      <c r="N47" s="20" t="s">
        <v>1045</v>
      </c>
      <c r="Q47" s="23">
        <f t="shared" si="3"/>
        <v>0</v>
      </c>
      <c r="R47" s="23" t="str">
        <f t="shared" si="4"/>
        <v/>
      </c>
      <c r="S47" s="23" t="str">
        <f t="shared" si="5"/>
        <v/>
      </c>
      <c r="T47" s="23" t="str">
        <f t="shared" si="6"/>
        <v/>
      </c>
      <c r="U47" s="23" t="str">
        <f t="shared" si="7"/>
        <v/>
      </c>
      <c r="V47" s="23" t="str">
        <f t="shared" si="8"/>
        <v/>
      </c>
      <c r="W47" s="23" t="str">
        <f t="shared" si="9"/>
        <v/>
      </c>
      <c r="X47" s="23" t="str">
        <f t="shared" si="10"/>
        <v/>
      </c>
      <c r="Y47" s="23" t="str">
        <f t="shared" si="11"/>
        <v/>
      </c>
      <c r="Z47" s="23" t="str">
        <f t="shared" si="12"/>
        <v/>
      </c>
      <c r="AA47" s="23" t="str">
        <f t="shared" si="13"/>
        <v/>
      </c>
      <c r="AB47" s="23" t="str">
        <f t="shared" si="14"/>
        <v/>
      </c>
      <c r="AC47" s="23" t="str">
        <f t="shared" si="15"/>
        <v/>
      </c>
      <c r="AD47" s="23" t="str">
        <f t="shared" si="16"/>
        <v/>
      </c>
      <c r="AE47" s="20" t="str">
        <f t="shared" si="2"/>
        <v>0</v>
      </c>
    </row>
    <row r="48" spans="2:31" ht="20.149999999999999" customHeight="1">
      <c r="I48" s="20" t="s">
        <v>1046</v>
      </c>
      <c r="L48" s="20" t="s">
        <v>1047</v>
      </c>
      <c r="N48" s="20" t="s">
        <v>1048</v>
      </c>
      <c r="Q48" s="23">
        <f t="shared" si="3"/>
        <v>0</v>
      </c>
      <c r="R48" s="23" t="str">
        <f t="shared" si="4"/>
        <v/>
      </c>
      <c r="S48" s="23" t="str">
        <f t="shared" si="5"/>
        <v/>
      </c>
      <c r="T48" s="23" t="str">
        <f t="shared" si="6"/>
        <v/>
      </c>
      <c r="U48" s="23" t="str">
        <f t="shared" si="7"/>
        <v/>
      </c>
      <c r="V48" s="23" t="str">
        <f t="shared" si="8"/>
        <v/>
      </c>
      <c r="W48" s="23" t="str">
        <f t="shared" si="9"/>
        <v/>
      </c>
      <c r="X48" s="23" t="str">
        <f t="shared" si="10"/>
        <v/>
      </c>
      <c r="Y48" s="23" t="str">
        <f t="shared" si="11"/>
        <v/>
      </c>
      <c r="Z48" s="23" t="str">
        <f t="shared" si="12"/>
        <v/>
      </c>
      <c r="AA48" s="23" t="str">
        <f t="shared" si="13"/>
        <v/>
      </c>
      <c r="AB48" s="23" t="str">
        <f t="shared" si="14"/>
        <v/>
      </c>
      <c r="AC48" s="23" t="str">
        <f t="shared" si="15"/>
        <v/>
      </c>
      <c r="AD48" s="23" t="str">
        <f t="shared" si="16"/>
        <v/>
      </c>
      <c r="AE48" s="20" t="str">
        <f t="shared" si="2"/>
        <v>0</v>
      </c>
    </row>
    <row r="49" spans="9:31" ht="20.149999999999999" customHeight="1">
      <c r="I49" s="20" t="s">
        <v>1049</v>
      </c>
      <c r="L49" s="20" t="s">
        <v>1050</v>
      </c>
      <c r="N49" s="20" t="s">
        <v>1051</v>
      </c>
      <c r="Q49" s="23">
        <f t="shared" si="3"/>
        <v>0</v>
      </c>
      <c r="R49" s="23" t="str">
        <f t="shared" si="4"/>
        <v/>
      </c>
      <c r="S49" s="23" t="str">
        <f t="shared" si="5"/>
        <v/>
      </c>
      <c r="T49" s="23" t="str">
        <f t="shared" si="6"/>
        <v/>
      </c>
      <c r="U49" s="23" t="str">
        <f t="shared" si="7"/>
        <v/>
      </c>
      <c r="V49" s="23" t="str">
        <f t="shared" si="8"/>
        <v/>
      </c>
      <c r="W49" s="23" t="str">
        <f t="shared" si="9"/>
        <v/>
      </c>
      <c r="X49" s="23" t="str">
        <f t="shared" si="10"/>
        <v/>
      </c>
      <c r="Y49" s="23" t="str">
        <f t="shared" si="11"/>
        <v/>
      </c>
      <c r="Z49" s="23" t="str">
        <f t="shared" si="12"/>
        <v/>
      </c>
      <c r="AA49" s="23" t="str">
        <f t="shared" si="13"/>
        <v/>
      </c>
      <c r="AB49" s="23" t="str">
        <f t="shared" si="14"/>
        <v/>
      </c>
      <c r="AC49" s="23" t="str">
        <f t="shared" si="15"/>
        <v/>
      </c>
      <c r="AD49" s="23" t="str">
        <f t="shared" si="16"/>
        <v/>
      </c>
      <c r="AE49" s="20" t="str">
        <f t="shared" si="2"/>
        <v>0</v>
      </c>
    </row>
    <row r="50" spans="9:31" ht="20.149999999999999" customHeight="1">
      <c r="I50" s="20" t="s">
        <v>1052</v>
      </c>
      <c r="L50" s="20" t="s">
        <v>1053</v>
      </c>
      <c r="Q50" s="23">
        <f t="shared" si="3"/>
        <v>0</v>
      </c>
      <c r="R50" s="23" t="str">
        <f t="shared" si="4"/>
        <v/>
      </c>
      <c r="S50" s="23" t="str">
        <f t="shared" si="5"/>
        <v/>
      </c>
      <c r="T50" s="23" t="str">
        <f t="shared" si="6"/>
        <v/>
      </c>
      <c r="U50" s="23" t="str">
        <f t="shared" si="7"/>
        <v/>
      </c>
      <c r="V50" s="23" t="str">
        <f t="shared" si="8"/>
        <v/>
      </c>
      <c r="W50" s="23" t="str">
        <f t="shared" si="9"/>
        <v/>
      </c>
      <c r="X50" s="23" t="str">
        <f t="shared" si="10"/>
        <v/>
      </c>
      <c r="Y50" s="23" t="str">
        <f t="shared" si="11"/>
        <v/>
      </c>
      <c r="Z50" s="23" t="str">
        <f t="shared" si="12"/>
        <v/>
      </c>
      <c r="AA50" s="23" t="str">
        <f t="shared" si="13"/>
        <v/>
      </c>
      <c r="AB50" s="23" t="str">
        <f t="shared" si="14"/>
        <v/>
      </c>
      <c r="AC50" s="23" t="str">
        <f t="shared" si="15"/>
        <v/>
      </c>
      <c r="AD50" s="23" t="str">
        <f t="shared" si="16"/>
        <v/>
      </c>
      <c r="AE50" s="20" t="str">
        <f t="shared" si="2"/>
        <v>0</v>
      </c>
    </row>
    <row r="51" spans="9:31" ht="20.149999999999999" customHeight="1">
      <c r="I51" s="20" t="s">
        <v>1054</v>
      </c>
      <c r="L51" s="20" t="s">
        <v>1055</v>
      </c>
      <c r="Q51" s="23">
        <f t="shared" si="3"/>
        <v>0</v>
      </c>
      <c r="R51" s="23" t="str">
        <f t="shared" si="4"/>
        <v/>
      </c>
      <c r="S51" s="23" t="str">
        <f t="shared" si="5"/>
        <v/>
      </c>
      <c r="T51" s="23" t="str">
        <f t="shared" si="6"/>
        <v/>
      </c>
      <c r="U51" s="23" t="str">
        <f t="shared" si="7"/>
        <v/>
      </c>
      <c r="V51" s="23" t="str">
        <f t="shared" si="8"/>
        <v/>
      </c>
      <c r="W51" s="23" t="str">
        <f t="shared" si="9"/>
        <v/>
      </c>
      <c r="X51" s="23" t="str">
        <f t="shared" si="10"/>
        <v/>
      </c>
      <c r="Y51" s="23" t="str">
        <f t="shared" si="11"/>
        <v/>
      </c>
      <c r="Z51" s="23" t="str">
        <f t="shared" si="12"/>
        <v/>
      </c>
      <c r="AA51" s="23" t="str">
        <f t="shared" si="13"/>
        <v/>
      </c>
      <c r="AB51" s="23" t="str">
        <f t="shared" si="14"/>
        <v/>
      </c>
      <c r="AC51" s="23" t="str">
        <f t="shared" si="15"/>
        <v/>
      </c>
      <c r="AD51" s="23" t="str">
        <f t="shared" si="16"/>
        <v/>
      </c>
      <c r="AE51" s="20" t="str">
        <f t="shared" si="2"/>
        <v>0</v>
      </c>
    </row>
    <row r="52" spans="9:31" ht="20.149999999999999" customHeight="1">
      <c r="I52" s="20" t="s">
        <v>1056</v>
      </c>
      <c r="L52" s="20" t="s">
        <v>1057</v>
      </c>
      <c r="Q52" s="23">
        <f t="shared" si="3"/>
        <v>0</v>
      </c>
      <c r="R52" s="23" t="str">
        <f t="shared" si="4"/>
        <v/>
      </c>
      <c r="S52" s="23" t="str">
        <f t="shared" si="5"/>
        <v/>
      </c>
      <c r="T52" s="23" t="str">
        <f t="shared" si="6"/>
        <v/>
      </c>
      <c r="U52" s="23" t="str">
        <f t="shared" si="7"/>
        <v/>
      </c>
      <c r="V52" s="23" t="str">
        <f t="shared" si="8"/>
        <v/>
      </c>
      <c r="W52" s="23" t="str">
        <f t="shared" si="9"/>
        <v/>
      </c>
      <c r="X52" s="23" t="str">
        <f t="shared" si="10"/>
        <v/>
      </c>
      <c r="Y52" s="23" t="str">
        <f t="shared" si="11"/>
        <v/>
      </c>
      <c r="Z52" s="23" t="str">
        <f t="shared" si="12"/>
        <v/>
      </c>
      <c r="AA52" s="23" t="str">
        <f t="shared" si="13"/>
        <v/>
      </c>
      <c r="AB52" s="23" t="str">
        <f t="shared" si="14"/>
        <v/>
      </c>
      <c r="AC52" s="23" t="str">
        <f t="shared" si="15"/>
        <v/>
      </c>
      <c r="AD52" s="23" t="str">
        <f t="shared" si="16"/>
        <v/>
      </c>
      <c r="AE52" s="20" t="str">
        <f t="shared" si="2"/>
        <v>0</v>
      </c>
    </row>
    <row r="53" spans="9:31" ht="20.149999999999999" customHeight="1">
      <c r="I53" s="20" t="s">
        <v>1058</v>
      </c>
      <c r="L53" s="20" t="s">
        <v>1059</v>
      </c>
      <c r="Q53" s="23">
        <f t="shared" si="3"/>
        <v>0</v>
      </c>
      <c r="R53" s="23" t="str">
        <f t="shared" si="4"/>
        <v/>
      </c>
      <c r="S53" s="23" t="str">
        <f t="shared" si="5"/>
        <v/>
      </c>
      <c r="T53" s="23" t="str">
        <f t="shared" si="6"/>
        <v/>
      </c>
      <c r="U53" s="23" t="str">
        <f t="shared" si="7"/>
        <v/>
      </c>
      <c r="V53" s="23" t="str">
        <f t="shared" si="8"/>
        <v/>
      </c>
      <c r="W53" s="23" t="str">
        <f t="shared" si="9"/>
        <v/>
      </c>
      <c r="X53" s="23" t="str">
        <f t="shared" si="10"/>
        <v/>
      </c>
      <c r="Y53" s="23" t="str">
        <f t="shared" si="11"/>
        <v/>
      </c>
      <c r="Z53" s="23" t="str">
        <f t="shared" si="12"/>
        <v/>
      </c>
      <c r="AA53" s="23" t="str">
        <f t="shared" si="13"/>
        <v/>
      </c>
      <c r="AB53" s="23" t="str">
        <f t="shared" si="14"/>
        <v/>
      </c>
      <c r="AC53" s="23" t="str">
        <f t="shared" si="15"/>
        <v/>
      </c>
      <c r="AD53" s="23" t="str">
        <f t="shared" si="16"/>
        <v/>
      </c>
      <c r="AE53" s="20" t="str">
        <f t="shared" si="2"/>
        <v>0</v>
      </c>
    </row>
    <row r="54" spans="9:31" ht="20.149999999999999" customHeight="1">
      <c r="I54" s="20" t="s">
        <v>1060</v>
      </c>
      <c r="L54" s="20" t="s">
        <v>1061</v>
      </c>
      <c r="Q54" s="23">
        <f t="shared" si="3"/>
        <v>0</v>
      </c>
      <c r="R54" s="23" t="str">
        <f t="shared" si="4"/>
        <v/>
      </c>
      <c r="S54" s="23" t="str">
        <f t="shared" si="5"/>
        <v/>
      </c>
      <c r="T54" s="23" t="str">
        <f t="shared" si="6"/>
        <v/>
      </c>
      <c r="U54" s="23" t="str">
        <f t="shared" si="7"/>
        <v/>
      </c>
      <c r="V54" s="23" t="str">
        <f t="shared" si="8"/>
        <v/>
      </c>
      <c r="W54" s="23" t="str">
        <f t="shared" si="9"/>
        <v/>
      </c>
      <c r="X54" s="23" t="str">
        <f t="shared" si="10"/>
        <v/>
      </c>
      <c r="Y54" s="23" t="str">
        <f t="shared" si="11"/>
        <v/>
      </c>
      <c r="Z54" s="23" t="str">
        <f t="shared" si="12"/>
        <v/>
      </c>
      <c r="AA54" s="23" t="str">
        <f t="shared" si="13"/>
        <v/>
      </c>
      <c r="AB54" s="23" t="str">
        <f t="shared" si="14"/>
        <v/>
      </c>
      <c r="AC54" s="23" t="str">
        <f t="shared" si="15"/>
        <v/>
      </c>
      <c r="AD54" s="23" t="str">
        <f t="shared" si="16"/>
        <v/>
      </c>
      <c r="AE54" s="20" t="str">
        <f t="shared" si="2"/>
        <v>0</v>
      </c>
    </row>
    <row r="55" spans="9:31" ht="20.149999999999999" customHeight="1">
      <c r="I55" s="20" t="s">
        <v>1062</v>
      </c>
      <c r="L55" s="20" t="s">
        <v>1063</v>
      </c>
      <c r="Q55" s="23">
        <f t="shared" si="3"/>
        <v>0</v>
      </c>
      <c r="R55" s="23" t="str">
        <f t="shared" si="4"/>
        <v/>
      </c>
      <c r="S55" s="23" t="str">
        <f t="shared" si="5"/>
        <v/>
      </c>
      <c r="T55" s="23" t="str">
        <f t="shared" si="6"/>
        <v/>
      </c>
      <c r="U55" s="23" t="str">
        <f t="shared" si="7"/>
        <v/>
      </c>
      <c r="V55" s="23" t="str">
        <f t="shared" si="8"/>
        <v/>
      </c>
      <c r="W55" s="23" t="str">
        <f t="shared" si="9"/>
        <v/>
      </c>
      <c r="X55" s="23" t="str">
        <f t="shared" si="10"/>
        <v/>
      </c>
      <c r="Y55" s="23" t="str">
        <f t="shared" si="11"/>
        <v/>
      </c>
      <c r="Z55" s="23" t="str">
        <f t="shared" si="12"/>
        <v/>
      </c>
      <c r="AA55" s="23" t="str">
        <f t="shared" si="13"/>
        <v/>
      </c>
      <c r="AB55" s="23" t="str">
        <f t="shared" si="14"/>
        <v/>
      </c>
      <c r="AC55" s="23" t="str">
        <f t="shared" si="15"/>
        <v/>
      </c>
      <c r="AD55" s="23" t="str">
        <f t="shared" si="16"/>
        <v/>
      </c>
      <c r="AE55" s="20" t="str">
        <f t="shared" si="2"/>
        <v>0</v>
      </c>
    </row>
    <row r="56" spans="9:31" ht="20.149999999999999" customHeight="1">
      <c r="I56" s="20" t="s">
        <v>1064</v>
      </c>
      <c r="L56" s="20" t="s">
        <v>1065</v>
      </c>
      <c r="Q56" s="23">
        <f t="shared" si="3"/>
        <v>0</v>
      </c>
      <c r="R56" s="23" t="str">
        <f t="shared" si="4"/>
        <v/>
      </c>
      <c r="S56" s="23" t="str">
        <f t="shared" si="5"/>
        <v/>
      </c>
      <c r="T56" s="23" t="str">
        <f t="shared" si="6"/>
        <v/>
      </c>
      <c r="U56" s="23" t="str">
        <f t="shared" si="7"/>
        <v/>
      </c>
      <c r="V56" s="23" t="str">
        <f t="shared" si="8"/>
        <v/>
      </c>
      <c r="W56" s="23" t="str">
        <f t="shared" si="9"/>
        <v/>
      </c>
      <c r="X56" s="23" t="str">
        <f t="shared" si="10"/>
        <v/>
      </c>
      <c r="Y56" s="23" t="str">
        <f t="shared" si="11"/>
        <v/>
      </c>
      <c r="Z56" s="23" t="str">
        <f t="shared" si="12"/>
        <v/>
      </c>
      <c r="AA56" s="23" t="str">
        <f t="shared" si="13"/>
        <v/>
      </c>
      <c r="AB56" s="23" t="str">
        <f t="shared" si="14"/>
        <v/>
      </c>
      <c r="AC56" s="23" t="str">
        <f t="shared" si="15"/>
        <v/>
      </c>
      <c r="AD56" s="23" t="str">
        <f t="shared" si="16"/>
        <v/>
      </c>
      <c r="AE56" s="20" t="str">
        <f t="shared" si="2"/>
        <v>0</v>
      </c>
    </row>
    <row r="57" spans="9:31" ht="20.149999999999999" customHeight="1">
      <c r="I57" s="20" t="s">
        <v>1066</v>
      </c>
      <c r="Q57" s="23">
        <f t="shared" si="3"/>
        <v>0</v>
      </c>
      <c r="R57" s="23" t="str">
        <f t="shared" si="4"/>
        <v/>
      </c>
      <c r="S57" s="23" t="str">
        <f t="shared" si="5"/>
        <v/>
      </c>
      <c r="T57" s="23" t="str">
        <f t="shared" si="6"/>
        <v/>
      </c>
      <c r="U57" s="23" t="str">
        <f t="shared" si="7"/>
        <v/>
      </c>
      <c r="V57" s="23" t="str">
        <f t="shared" si="8"/>
        <v/>
      </c>
      <c r="W57" s="23" t="str">
        <f t="shared" si="9"/>
        <v/>
      </c>
      <c r="X57" s="23" t="str">
        <f t="shared" si="10"/>
        <v/>
      </c>
      <c r="Y57" s="23" t="str">
        <f t="shared" si="11"/>
        <v/>
      </c>
      <c r="Z57" s="23" t="str">
        <f t="shared" si="12"/>
        <v/>
      </c>
      <c r="AA57" s="23" t="str">
        <f t="shared" si="13"/>
        <v/>
      </c>
      <c r="AB57" s="23" t="str">
        <f t="shared" si="14"/>
        <v/>
      </c>
      <c r="AC57" s="23" t="str">
        <f t="shared" si="15"/>
        <v/>
      </c>
      <c r="AD57" s="23" t="str">
        <f t="shared" si="16"/>
        <v/>
      </c>
      <c r="AE57" s="20" t="str">
        <f t="shared" si="2"/>
        <v>0</v>
      </c>
    </row>
    <row r="58" spans="9:31" ht="20.149999999999999" customHeight="1">
      <c r="I58" s="20" t="s">
        <v>1067</v>
      </c>
      <c r="Q58" s="23">
        <f t="shared" si="3"/>
        <v>0</v>
      </c>
      <c r="R58" s="23" t="str">
        <f t="shared" si="4"/>
        <v/>
      </c>
      <c r="S58" s="23" t="str">
        <f t="shared" si="5"/>
        <v/>
      </c>
      <c r="T58" s="23" t="str">
        <f t="shared" si="6"/>
        <v/>
      </c>
      <c r="U58" s="23" t="str">
        <f t="shared" si="7"/>
        <v/>
      </c>
      <c r="V58" s="23" t="str">
        <f t="shared" si="8"/>
        <v/>
      </c>
      <c r="W58" s="23" t="str">
        <f t="shared" si="9"/>
        <v/>
      </c>
      <c r="X58" s="23" t="str">
        <f t="shared" si="10"/>
        <v/>
      </c>
      <c r="Y58" s="23" t="str">
        <f t="shared" si="11"/>
        <v/>
      </c>
      <c r="Z58" s="23" t="str">
        <f t="shared" si="12"/>
        <v/>
      </c>
      <c r="AA58" s="23" t="str">
        <f t="shared" si="13"/>
        <v/>
      </c>
      <c r="AB58" s="23" t="str">
        <f t="shared" si="14"/>
        <v/>
      </c>
      <c r="AC58" s="23" t="str">
        <f t="shared" si="15"/>
        <v/>
      </c>
      <c r="AD58" s="23" t="str">
        <f t="shared" si="16"/>
        <v/>
      </c>
      <c r="AE58" s="20" t="str">
        <f t="shared" si="2"/>
        <v>0</v>
      </c>
    </row>
    <row r="59" spans="9:31" ht="20.149999999999999" customHeight="1">
      <c r="I59" s="20" t="s">
        <v>1068</v>
      </c>
      <c r="Q59" s="23">
        <f t="shared" si="3"/>
        <v>0</v>
      </c>
      <c r="R59" s="23" t="str">
        <f t="shared" si="4"/>
        <v/>
      </c>
      <c r="S59" s="23" t="str">
        <f t="shared" si="5"/>
        <v/>
      </c>
      <c r="T59" s="23" t="str">
        <f t="shared" si="6"/>
        <v/>
      </c>
      <c r="U59" s="23" t="str">
        <f t="shared" si="7"/>
        <v/>
      </c>
      <c r="V59" s="23" t="str">
        <f t="shared" si="8"/>
        <v/>
      </c>
      <c r="W59" s="23" t="str">
        <f t="shared" si="9"/>
        <v/>
      </c>
      <c r="X59" s="23" t="str">
        <f t="shared" si="10"/>
        <v/>
      </c>
      <c r="Y59" s="23" t="str">
        <f t="shared" si="11"/>
        <v/>
      </c>
      <c r="Z59" s="23" t="str">
        <f t="shared" si="12"/>
        <v/>
      </c>
      <c r="AA59" s="23" t="str">
        <f t="shared" si="13"/>
        <v/>
      </c>
      <c r="AB59" s="23" t="str">
        <f t="shared" si="14"/>
        <v/>
      </c>
      <c r="AC59" s="23" t="str">
        <f t="shared" si="15"/>
        <v/>
      </c>
      <c r="AD59" s="23" t="str">
        <f t="shared" si="16"/>
        <v/>
      </c>
      <c r="AE59" s="20" t="str">
        <f t="shared" si="2"/>
        <v>0</v>
      </c>
    </row>
    <row r="60" spans="9:31" ht="20.149999999999999" customHeight="1">
      <c r="I60" s="20" t="s">
        <v>1069</v>
      </c>
      <c r="Q60" s="23">
        <f t="shared" si="3"/>
        <v>0</v>
      </c>
      <c r="R60" s="23" t="str">
        <f t="shared" si="4"/>
        <v/>
      </c>
      <c r="S60" s="23" t="str">
        <f t="shared" si="5"/>
        <v/>
      </c>
      <c r="T60" s="23" t="str">
        <f t="shared" si="6"/>
        <v/>
      </c>
      <c r="U60" s="23" t="str">
        <f t="shared" si="7"/>
        <v/>
      </c>
      <c r="V60" s="23" t="str">
        <f t="shared" si="8"/>
        <v/>
      </c>
      <c r="W60" s="23" t="str">
        <f t="shared" si="9"/>
        <v/>
      </c>
      <c r="X60" s="23" t="str">
        <f t="shared" si="10"/>
        <v/>
      </c>
      <c r="Y60" s="23" t="str">
        <f t="shared" si="11"/>
        <v/>
      </c>
      <c r="Z60" s="23" t="str">
        <f t="shared" si="12"/>
        <v/>
      </c>
      <c r="AA60" s="23" t="str">
        <f t="shared" si="13"/>
        <v/>
      </c>
      <c r="AB60" s="23" t="str">
        <f t="shared" si="14"/>
        <v/>
      </c>
      <c r="AC60" s="23" t="str">
        <f t="shared" si="15"/>
        <v/>
      </c>
      <c r="AD60" s="23" t="str">
        <f t="shared" si="16"/>
        <v/>
      </c>
      <c r="AE60" s="20" t="str">
        <f t="shared" si="2"/>
        <v>0</v>
      </c>
    </row>
    <row r="61" spans="9:31" ht="20.149999999999999" customHeight="1">
      <c r="I61" s="20" t="s">
        <v>1070</v>
      </c>
      <c r="Q61" s="23">
        <f t="shared" si="3"/>
        <v>0</v>
      </c>
      <c r="R61" s="23" t="str">
        <f t="shared" si="4"/>
        <v/>
      </c>
      <c r="S61" s="23" t="str">
        <f t="shared" si="5"/>
        <v/>
      </c>
      <c r="T61" s="23" t="str">
        <f t="shared" si="6"/>
        <v/>
      </c>
      <c r="U61" s="23" t="str">
        <f t="shared" si="7"/>
        <v/>
      </c>
      <c r="V61" s="23" t="str">
        <f t="shared" si="8"/>
        <v/>
      </c>
      <c r="W61" s="23" t="str">
        <f t="shared" si="9"/>
        <v/>
      </c>
      <c r="X61" s="23" t="str">
        <f t="shared" si="10"/>
        <v/>
      </c>
      <c r="Y61" s="23" t="str">
        <f t="shared" si="11"/>
        <v/>
      </c>
      <c r="Z61" s="23" t="str">
        <f t="shared" si="12"/>
        <v/>
      </c>
      <c r="AA61" s="23" t="str">
        <f t="shared" si="13"/>
        <v/>
      </c>
      <c r="AB61" s="23" t="str">
        <f t="shared" si="14"/>
        <v/>
      </c>
      <c r="AC61" s="23" t="str">
        <f t="shared" si="15"/>
        <v/>
      </c>
      <c r="AD61" s="23" t="str">
        <f t="shared" si="16"/>
        <v/>
      </c>
      <c r="AE61" s="20" t="str">
        <f t="shared" si="2"/>
        <v>0</v>
      </c>
    </row>
    <row r="62" spans="9:31" ht="20.149999999999999" customHeight="1">
      <c r="I62" s="20" t="s">
        <v>1071</v>
      </c>
      <c r="Q62" s="23">
        <f t="shared" si="3"/>
        <v>0</v>
      </c>
      <c r="R62" s="23" t="str">
        <f t="shared" si="4"/>
        <v/>
      </c>
      <c r="S62" s="23" t="str">
        <f t="shared" si="5"/>
        <v/>
      </c>
      <c r="T62" s="23" t="str">
        <f t="shared" si="6"/>
        <v/>
      </c>
      <c r="U62" s="23" t="str">
        <f t="shared" si="7"/>
        <v/>
      </c>
      <c r="V62" s="23" t="str">
        <f t="shared" si="8"/>
        <v/>
      </c>
      <c r="W62" s="23" t="str">
        <f t="shared" si="9"/>
        <v/>
      </c>
      <c r="X62" s="23" t="str">
        <f t="shared" si="10"/>
        <v/>
      </c>
      <c r="Y62" s="23" t="str">
        <f t="shared" si="11"/>
        <v/>
      </c>
      <c r="Z62" s="23" t="str">
        <f t="shared" si="12"/>
        <v/>
      </c>
      <c r="AA62" s="23" t="str">
        <f t="shared" si="13"/>
        <v/>
      </c>
      <c r="AB62" s="23" t="str">
        <f t="shared" si="14"/>
        <v/>
      </c>
      <c r="AC62" s="23" t="str">
        <f t="shared" si="15"/>
        <v/>
      </c>
      <c r="AD62" s="23" t="str">
        <f t="shared" si="16"/>
        <v/>
      </c>
      <c r="AE62" s="20" t="str">
        <f t="shared" si="2"/>
        <v>0</v>
      </c>
    </row>
    <row r="63" spans="9:31" ht="20.149999999999999" customHeight="1">
      <c r="I63" s="20" t="s">
        <v>1072</v>
      </c>
      <c r="Q63" s="23">
        <f t="shared" si="3"/>
        <v>0</v>
      </c>
      <c r="R63" s="23" t="str">
        <f t="shared" si="4"/>
        <v/>
      </c>
      <c r="S63" s="23" t="str">
        <f t="shared" si="5"/>
        <v/>
      </c>
      <c r="T63" s="23" t="str">
        <f t="shared" si="6"/>
        <v/>
      </c>
      <c r="U63" s="23" t="str">
        <f t="shared" si="7"/>
        <v/>
      </c>
      <c r="V63" s="23" t="str">
        <f t="shared" si="8"/>
        <v/>
      </c>
      <c r="W63" s="23" t="str">
        <f t="shared" si="9"/>
        <v/>
      </c>
      <c r="X63" s="23" t="str">
        <f t="shared" si="10"/>
        <v/>
      </c>
      <c r="Y63" s="23" t="str">
        <f t="shared" si="11"/>
        <v/>
      </c>
      <c r="Z63" s="23" t="str">
        <f t="shared" si="12"/>
        <v/>
      </c>
      <c r="AA63" s="23" t="str">
        <f t="shared" si="13"/>
        <v/>
      </c>
      <c r="AB63" s="23" t="str">
        <f t="shared" si="14"/>
        <v/>
      </c>
      <c r="AC63" s="23" t="str">
        <f t="shared" si="15"/>
        <v/>
      </c>
      <c r="AD63" s="23" t="str">
        <f t="shared" si="16"/>
        <v/>
      </c>
      <c r="AE63" s="20" t="str">
        <f t="shared" si="2"/>
        <v>0</v>
      </c>
    </row>
    <row r="64" spans="9:31" ht="20.149999999999999" customHeight="1">
      <c r="I64" s="20" t="s">
        <v>1073</v>
      </c>
      <c r="Q64" s="23">
        <f t="shared" si="3"/>
        <v>0</v>
      </c>
      <c r="R64" s="23" t="str">
        <f t="shared" si="4"/>
        <v/>
      </c>
      <c r="S64" s="23" t="str">
        <f t="shared" si="5"/>
        <v/>
      </c>
      <c r="T64" s="23" t="str">
        <f t="shared" si="6"/>
        <v/>
      </c>
      <c r="U64" s="23" t="str">
        <f t="shared" si="7"/>
        <v/>
      </c>
      <c r="V64" s="23" t="str">
        <f t="shared" si="8"/>
        <v/>
      </c>
      <c r="W64" s="23" t="str">
        <f t="shared" si="9"/>
        <v/>
      </c>
      <c r="X64" s="23" t="str">
        <f t="shared" si="10"/>
        <v/>
      </c>
      <c r="Y64" s="23" t="str">
        <f t="shared" si="11"/>
        <v/>
      </c>
      <c r="Z64" s="23" t="str">
        <f t="shared" si="12"/>
        <v/>
      </c>
      <c r="AA64" s="23" t="str">
        <f t="shared" si="13"/>
        <v/>
      </c>
      <c r="AB64" s="23" t="str">
        <f t="shared" si="14"/>
        <v/>
      </c>
      <c r="AC64" s="23" t="str">
        <f t="shared" si="15"/>
        <v/>
      </c>
      <c r="AD64" s="23" t="str">
        <f t="shared" si="16"/>
        <v/>
      </c>
      <c r="AE64" s="20" t="str">
        <f t="shared" si="2"/>
        <v>0</v>
      </c>
    </row>
    <row r="65" spans="9:31" ht="20.149999999999999" customHeight="1">
      <c r="I65" s="20" t="s">
        <v>1074</v>
      </c>
      <c r="Q65" s="23">
        <f t="shared" si="3"/>
        <v>0</v>
      </c>
      <c r="R65" s="23" t="str">
        <f t="shared" si="4"/>
        <v/>
      </c>
      <c r="S65" s="23" t="str">
        <f t="shared" si="5"/>
        <v/>
      </c>
      <c r="T65" s="23" t="str">
        <f t="shared" si="6"/>
        <v/>
      </c>
      <c r="U65" s="23" t="str">
        <f t="shared" si="7"/>
        <v/>
      </c>
      <c r="V65" s="23" t="str">
        <f t="shared" si="8"/>
        <v/>
      </c>
      <c r="W65" s="23" t="str">
        <f t="shared" si="9"/>
        <v/>
      </c>
      <c r="X65" s="23" t="str">
        <f t="shared" si="10"/>
        <v/>
      </c>
      <c r="Y65" s="23" t="str">
        <f t="shared" si="11"/>
        <v/>
      </c>
      <c r="Z65" s="23" t="str">
        <f t="shared" si="12"/>
        <v/>
      </c>
      <c r="AA65" s="23" t="str">
        <f t="shared" si="13"/>
        <v/>
      </c>
      <c r="AB65" s="23" t="str">
        <f t="shared" si="14"/>
        <v/>
      </c>
      <c r="AC65" s="23" t="str">
        <f t="shared" si="15"/>
        <v/>
      </c>
      <c r="AD65" s="23" t="str">
        <f t="shared" si="16"/>
        <v/>
      </c>
      <c r="AE65" s="20" t="str">
        <f t="shared" si="2"/>
        <v>0</v>
      </c>
    </row>
    <row r="66" spans="9:31" ht="20.149999999999999" customHeight="1">
      <c r="I66" s="20" t="s">
        <v>1075</v>
      </c>
      <c r="Q66" s="23">
        <f t="shared" si="3"/>
        <v>0</v>
      </c>
      <c r="R66" s="23" t="str">
        <f t="shared" si="4"/>
        <v/>
      </c>
      <c r="S66" s="23" t="str">
        <f t="shared" si="5"/>
        <v/>
      </c>
      <c r="T66" s="23" t="str">
        <f t="shared" si="6"/>
        <v/>
      </c>
      <c r="U66" s="23" t="str">
        <f t="shared" si="7"/>
        <v/>
      </c>
      <c r="V66" s="23" t="str">
        <f t="shared" si="8"/>
        <v/>
      </c>
      <c r="W66" s="23" t="str">
        <f t="shared" si="9"/>
        <v/>
      </c>
      <c r="X66" s="23" t="str">
        <f t="shared" si="10"/>
        <v/>
      </c>
      <c r="Y66" s="23" t="str">
        <f t="shared" si="11"/>
        <v/>
      </c>
      <c r="Z66" s="23" t="str">
        <f t="shared" si="12"/>
        <v/>
      </c>
      <c r="AA66" s="23" t="str">
        <f t="shared" si="13"/>
        <v/>
      </c>
      <c r="AB66" s="23" t="str">
        <f t="shared" si="14"/>
        <v/>
      </c>
      <c r="AC66" s="23" t="str">
        <f t="shared" si="15"/>
        <v/>
      </c>
      <c r="AD66" s="23" t="str">
        <f t="shared" si="16"/>
        <v/>
      </c>
      <c r="AE66" s="20" t="str">
        <f t="shared" si="2"/>
        <v>0</v>
      </c>
    </row>
    <row r="67" spans="9:31" ht="20.149999999999999" customHeight="1">
      <c r="I67" s="20" t="s">
        <v>1076</v>
      </c>
      <c r="Q67" s="23">
        <f t="shared" si="3"/>
        <v>0</v>
      </c>
      <c r="R67" s="23" t="str">
        <f t="shared" si="4"/>
        <v/>
      </c>
      <c r="S67" s="23" t="str">
        <f t="shared" si="5"/>
        <v/>
      </c>
      <c r="T67" s="23" t="str">
        <f t="shared" si="6"/>
        <v/>
      </c>
      <c r="U67" s="23" t="str">
        <f t="shared" si="7"/>
        <v/>
      </c>
      <c r="V67" s="23" t="str">
        <f t="shared" si="8"/>
        <v/>
      </c>
      <c r="W67" s="23" t="str">
        <f t="shared" si="9"/>
        <v/>
      </c>
      <c r="X67" s="23" t="str">
        <f t="shared" si="10"/>
        <v/>
      </c>
      <c r="Y67" s="23" t="str">
        <f t="shared" si="11"/>
        <v/>
      </c>
      <c r="Z67" s="23" t="str">
        <f t="shared" si="12"/>
        <v/>
      </c>
      <c r="AA67" s="23" t="str">
        <f t="shared" si="13"/>
        <v/>
      </c>
      <c r="AB67" s="23" t="str">
        <f t="shared" si="14"/>
        <v/>
      </c>
      <c r="AC67" s="23" t="str">
        <f t="shared" si="15"/>
        <v/>
      </c>
      <c r="AD67" s="23" t="str">
        <f t="shared" si="16"/>
        <v/>
      </c>
      <c r="AE67" s="20" t="str">
        <f t="shared" si="2"/>
        <v>0</v>
      </c>
    </row>
    <row r="68" spans="9:31" ht="20.149999999999999" customHeight="1">
      <c r="I68" s="20" t="s">
        <v>1077</v>
      </c>
      <c r="Q68" s="23">
        <f t="shared" si="3"/>
        <v>0</v>
      </c>
      <c r="R68" s="23" t="str">
        <f t="shared" si="4"/>
        <v/>
      </c>
      <c r="S68" s="23" t="str">
        <f t="shared" si="5"/>
        <v/>
      </c>
      <c r="T68" s="23" t="str">
        <f t="shared" si="6"/>
        <v/>
      </c>
      <c r="U68" s="23" t="str">
        <f t="shared" si="7"/>
        <v/>
      </c>
      <c r="V68" s="23" t="str">
        <f t="shared" si="8"/>
        <v/>
      </c>
      <c r="W68" s="23" t="str">
        <f t="shared" si="9"/>
        <v/>
      </c>
      <c r="X68" s="23" t="str">
        <f t="shared" si="10"/>
        <v/>
      </c>
      <c r="Y68" s="23" t="str">
        <f t="shared" si="11"/>
        <v/>
      </c>
      <c r="Z68" s="23" t="str">
        <f t="shared" si="12"/>
        <v/>
      </c>
      <c r="AA68" s="23" t="str">
        <f t="shared" si="13"/>
        <v/>
      </c>
      <c r="AB68" s="23" t="str">
        <f t="shared" si="14"/>
        <v/>
      </c>
      <c r="AC68" s="23" t="str">
        <f t="shared" si="15"/>
        <v/>
      </c>
      <c r="AD68" s="23" t="str">
        <f t="shared" si="16"/>
        <v/>
      </c>
      <c r="AE68" s="20" t="str">
        <f t="shared" si="2"/>
        <v>0</v>
      </c>
    </row>
    <row r="69" spans="9:31" ht="20.149999999999999" customHeight="1">
      <c r="I69" s="20" t="s">
        <v>1078</v>
      </c>
      <c r="Q69" s="23">
        <f t="shared" si="3"/>
        <v>0</v>
      </c>
      <c r="R69" s="23" t="str">
        <f t="shared" si="4"/>
        <v/>
      </c>
      <c r="S69" s="23" t="str">
        <f t="shared" si="5"/>
        <v/>
      </c>
      <c r="T69" s="23" t="str">
        <f t="shared" si="6"/>
        <v/>
      </c>
      <c r="U69" s="23" t="str">
        <f t="shared" si="7"/>
        <v/>
      </c>
      <c r="V69" s="23" t="str">
        <f t="shared" si="8"/>
        <v/>
      </c>
      <c r="W69" s="23" t="str">
        <f t="shared" si="9"/>
        <v/>
      </c>
      <c r="X69" s="23" t="str">
        <f t="shared" si="10"/>
        <v/>
      </c>
      <c r="Y69" s="23" t="str">
        <f t="shared" si="11"/>
        <v/>
      </c>
      <c r="Z69" s="23" t="str">
        <f t="shared" si="12"/>
        <v/>
      </c>
      <c r="AA69" s="23" t="str">
        <f t="shared" si="13"/>
        <v/>
      </c>
      <c r="AB69" s="23" t="str">
        <f t="shared" si="14"/>
        <v/>
      </c>
      <c r="AC69" s="23" t="str">
        <f t="shared" si="15"/>
        <v/>
      </c>
      <c r="AD69" s="23" t="str">
        <f t="shared" si="16"/>
        <v/>
      </c>
      <c r="AE69" s="20" t="str">
        <f t="shared" ref="AE69:AE132" si="17">CONCATENATE(Q69,R69,S69,T69,U69,V69,W69,X69,Y69,Z69,AA69,AB69,AC69,AD69)</f>
        <v>0</v>
      </c>
    </row>
    <row r="70" spans="9:31" ht="20.149999999999999" customHeight="1">
      <c r="I70" s="20" t="s">
        <v>1079</v>
      </c>
      <c r="Q70" s="23">
        <f t="shared" ref="Q70:Q100" si="18">IF(Q69="","",B70)</f>
        <v>0</v>
      </c>
      <c r="R70" s="23" t="str">
        <f t="shared" ref="R70:R100" si="19">IF(R69="","",C70)</f>
        <v/>
      </c>
      <c r="S70" s="23" t="str">
        <f t="shared" ref="S70:S100" si="20">IF(S69="","",D70)</f>
        <v/>
      </c>
      <c r="T70" s="23" t="str">
        <f t="shared" ref="T70:T100" si="21">IF(T69="","",E70)</f>
        <v/>
      </c>
      <c r="U70" s="23" t="str">
        <f t="shared" ref="U70:U100" si="22">IF(U69="","",F70)</f>
        <v/>
      </c>
      <c r="V70" s="23" t="str">
        <f t="shared" ref="V70:V100" si="23">IF(V69="","",G70)</f>
        <v/>
      </c>
      <c r="W70" s="23" t="str">
        <f t="shared" ref="W70:W100" si="24">IF(W69="","",H70)</f>
        <v/>
      </c>
      <c r="X70" s="23" t="str">
        <f t="shared" ref="X70:X100" si="25">IF(X69="","",I70)</f>
        <v/>
      </c>
      <c r="Y70" s="23" t="str">
        <f t="shared" ref="Y70:Y100" si="26">IF(Y69="","",J70)</f>
        <v/>
      </c>
      <c r="Z70" s="23" t="str">
        <f t="shared" ref="Z70:Z100" si="27">IF(Z69="","",K70)</f>
        <v/>
      </c>
      <c r="AA70" s="23" t="str">
        <f t="shared" ref="AA70:AA100" si="28">IF(AA69="","",L70)</f>
        <v/>
      </c>
      <c r="AB70" s="23" t="str">
        <f t="shared" ref="AB70:AB100" si="29">IF(AB69="","",M70)</f>
        <v/>
      </c>
      <c r="AC70" s="23" t="str">
        <f t="shared" ref="AC70:AC100" si="30">IF(AC69="","",N70)</f>
        <v/>
      </c>
      <c r="AD70" s="23" t="str">
        <f t="shared" ref="AD70:AD100" si="31">IF(AD69="","",O70)</f>
        <v/>
      </c>
      <c r="AE70" s="20" t="str">
        <f t="shared" si="17"/>
        <v>0</v>
      </c>
    </row>
    <row r="71" spans="9:31" ht="20.149999999999999" customHeight="1">
      <c r="I71" s="20" t="s">
        <v>1080</v>
      </c>
      <c r="Q71" s="23">
        <f t="shared" si="18"/>
        <v>0</v>
      </c>
      <c r="R71" s="23" t="str">
        <f t="shared" si="19"/>
        <v/>
      </c>
      <c r="S71" s="23" t="str">
        <f t="shared" si="20"/>
        <v/>
      </c>
      <c r="T71" s="23" t="str">
        <f t="shared" si="21"/>
        <v/>
      </c>
      <c r="U71" s="23" t="str">
        <f t="shared" si="22"/>
        <v/>
      </c>
      <c r="V71" s="23" t="str">
        <f t="shared" si="23"/>
        <v/>
      </c>
      <c r="W71" s="23" t="str">
        <f t="shared" si="24"/>
        <v/>
      </c>
      <c r="X71" s="23" t="str">
        <f t="shared" si="25"/>
        <v/>
      </c>
      <c r="Y71" s="23" t="str">
        <f t="shared" si="26"/>
        <v/>
      </c>
      <c r="Z71" s="23" t="str">
        <f t="shared" si="27"/>
        <v/>
      </c>
      <c r="AA71" s="23" t="str">
        <f t="shared" si="28"/>
        <v/>
      </c>
      <c r="AB71" s="23" t="str">
        <f t="shared" si="29"/>
        <v/>
      </c>
      <c r="AC71" s="23" t="str">
        <f t="shared" si="30"/>
        <v/>
      </c>
      <c r="AD71" s="23" t="str">
        <f t="shared" si="31"/>
        <v/>
      </c>
      <c r="AE71" s="20" t="str">
        <f t="shared" si="17"/>
        <v>0</v>
      </c>
    </row>
    <row r="72" spans="9:31" ht="20.149999999999999" customHeight="1">
      <c r="I72" s="20" t="s">
        <v>1081</v>
      </c>
      <c r="Q72" s="23">
        <f t="shared" si="18"/>
        <v>0</v>
      </c>
      <c r="R72" s="23" t="str">
        <f t="shared" si="19"/>
        <v/>
      </c>
      <c r="S72" s="23" t="str">
        <f t="shared" si="20"/>
        <v/>
      </c>
      <c r="T72" s="23" t="str">
        <f t="shared" si="21"/>
        <v/>
      </c>
      <c r="U72" s="23" t="str">
        <f t="shared" si="22"/>
        <v/>
      </c>
      <c r="V72" s="23" t="str">
        <f t="shared" si="23"/>
        <v/>
      </c>
      <c r="W72" s="23" t="str">
        <f t="shared" si="24"/>
        <v/>
      </c>
      <c r="X72" s="23" t="str">
        <f t="shared" si="25"/>
        <v/>
      </c>
      <c r="Y72" s="23" t="str">
        <f t="shared" si="26"/>
        <v/>
      </c>
      <c r="Z72" s="23" t="str">
        <f t="shared" si="27"/>
        <v/>
      </c>
      <c r="AA72" s="23" t="str">
        <f t="shared" si="28"/>
        <v/>
      </c>
      <c r="AB72" s="23" t="str">
        <f t="shared" si="29"/>
        <v/>
      </c>
      <c r="AC72" s="23" t="str">
        <f t="shared" si="30"/>
        <v/>
      </c>
      <c r="AD72" s="23" t="str">
        <f t="shared" si="31"/>
        <v/>
      </c>
      <c r="AE72" s="20" t="str">
        <f t="shared" si="17"/>
        <v>0</v>
      </c>
    </row>
    <row r="73" spans="9:31" ht="20.149999999999999" customHeight="1">
      <c r="I73" s="20" t="s">
        <v>1082</v>
      </c>
      <c r="Q73" s="23">
        <f t="shared" si="18"/>
        <v>0</v>
      </c>
      <c r="R73" s="23" t="str">
        <f t="shared" si="19"/>
        <v/>
      </c>
      <c r="S73" s="23" t="str">
        <f t="shared" si="20"/>
        <v/>
      </c>
      <c r="T73" s="23" t="str">
        <f t="shared" si="21"/>
        <v/>
      </c>
      <c r="U73" s="23" t="str">
        <f t="shared" si="22"/>
        <v/>
      </c>
      <c r="V73" s="23" t="str">
        <f t="shared" si="23"/>
        <v/>
      </c>
      <c r="W73" s="23" t="str">
        <f t="shared" si="24"/>
        <v/>
      </c>
      <c r="X73" s="23" t="str">
        <f t="shared" si="25"/>
        <v/>
      </c>
      <c r="Y73" s="23" t="str">
        <f t="shared" si="26"/>
        <v/>
      </c>
      <c r="Z73" s="23" t="str">
        <f t="shared" si="27"/>
        <v/>
      </c>
      <c r="AA73" s="23" t="str">
        <f t="shared" si="28"/>
        <v/>
      </c>
      <c r="AB73" s="23" t="str">
        <f t="shared" si="29"/>
        <v/>
      </c>
      <c r="AC73" s="23" t="str">
        <f t="shared" si="30"/>
        <v/>
      </c>
      <c r="AD73" s="23" t="str">
        <f t="shared" si="31"/>
        <v/>
      </c>
      <c r="AE73" s="20" t="str">
        <f t="shared" si="17"/>
        <v>0</v>
      </c>
    </row>
    <row r="74" spans="9:31" ht="20.149999999999999" customHeight="1">
      <c r="Q74" s="23">
        <f t="shared" si="18"/>
        <v>0</v>
      </c>
      <c r="R74" s="23" t="str">
        <f t="shared" si="19"/>
        <v/>
      </c>
      <c r="S74" s="23" t="str">
        <f t="shared" si="20"/>
        <v/>
      </c>
      <c r="T74" s="23" t="str">
        <f t="shared" si="21"/>
        <v/>
      </c>
      <c r="U74" s="23" t="str">
        <f t="shared" si="22"/>
        <v/>
      </c>
      <c r="V74" s="23" t="str">
        <f t="shared" si="23"/>
        <v/>
      </c>
      <c r="W74" s="23" t="str">
        <f t="shared" si="24"/>
        <v/>
      </c>
      <c r="X74" s="23" t="str">
        <f t="shared" si="25"/>
        <v/>
      </c>
      <c r="Y74" s="23" t="str">
        <f t="shared" si="26"/>
        <v/>
      </c>
      <c r="Z74" s="23" t="str">
        <f t="shared" si="27"/>
        <v/>
      </c>
      <c r="AA74" s="23" t="str">
        <f t="shared" si="28"/>
        <v/>
      </c>
      <c r="AB74" s="23" t="str">
        <f t="shared" si="29"/>
        <v/>
      </c>
      <c r="AC74" s="23" t="str">
        <f t="shared" si="30"/>
        <v/>
      </c>
      <c r="AD74" s="23" t="str">
        <f t="shared" si="31"/>
        <v/>
      </c>
      <c r="AE74" s="20" t="str">
        <f t="shared" si="17"/>
        <v>0</v>
      </c>
    </row>
    <row r="75" spans="9:31" ht="20.149999999999999" customHeight="1">
      <c r="Q75" s="23">
        <f t="shared" si="18"/>
        <v>0</v>
      </c>
      <c r="R75" s="23" t="str">
        <f t="shared" si="19"/>
        <v/>
      </c>
      <c r="S75" s="23" t="str">
        <f t="shared" si="20"/>
        <v/>
      </c>
      <c r="T75" s="23" t="str">
        <f t="shared" si="21"/>
        <v/>
      </c>
      <c r="U75" s="23" t="str">
        <f t="shared" si="22"/>
        <v/>
      </c>
      <c r="V75" s="23" t="str">
        <f t="shared" si="23"/>
        <v/>
      </c>
      <c r="W75" s="23" t="str">
        <f t="shared" si="24"/>
        <v/>
      </c>
      <c r="X75" s="23" t="str">
        <f t="shared" si="25"/>
        <v/>
      </c>
      <c r="Y75" s="23" t="str">
        <f t="shared" si="26"/>
        <v/>
      </c>
      <c r="Z75" s="23" t="str">
        <f t="shared" si="27"/>
        <v/>
      </c>
      <c r="AA75" s="23" t="str">
        <f t="shared" si="28"/>
        <v/>
      </c>
      <c r="AB75" s="23" t="str">
        <f t="shared" si="29"/>
        <v/>
      </c>
      <c r="AC75" s="23" t="str">
        <f t="shared" si="30"/>
        <v/>
      </c>
      <c r="AD75" s="23" t="str">
        <f t="shared" si="31"/>
        <v/>
      </c>
      <c r="AE75" s="20" t="str">
        <f t="shared" si="17"/>
        <v>0</v>
      </c>
    </row>
    <row r="76" spans="9:31" ht="20.149999999999999" customHeight="1">
      <c r="Q76" s="23">
        <f t="shared" si="18"/>
        <v>0</v>
      </c>
      <c r="R76" s="23" t="str">
        <f t="shared" si="19"/>
        <v/>
      </c>
      <c r="S76" s="23" t="str">
        <f t="shared" si="20"/>
        <v/>
      </c>
      <c r="T76" s="23" t="str">
        <f t="shared" si="21"/>
        <v/>
      </c>
      <c r="U76" s="23" t="str">
        <f t="shared" si="22"/>
        <v/>
      </c>
      <c r="V76" s="23" t="str">
        <f t="shared" si="23"/>
        <v/>
      </c>
      <c r="W76" s="23" t="str">
        <f t="shared" si="24"/>
        <v/>
      </c>
      <c r="X76" s="23" t="str">
        <f t="shared" si="25"/>
        <v/>
      </c>
      <c r="Y76" s="23" t="str">
        <f t="shared" si="26"/>
        <v/>
      </c>
      <c r="Z76" s="23" t="str">
        <f t="shared" si="27"/>
        <v/>
      </c>
      <c r="AA76" s="23" t="str">
        <f t="shared" si="28"/>
        <v/>
      </c>
      <c r="AB76" s="23" t="str">
        <f t="shared" si="29"/>
        <v/>
      </c>
      <c r="AC76" s="23" t="str">
        <f t="shared" si="30"/>
        <v/>
      </c>
      <c r="AD76" s="23" t="str">
        <f t="shared" si="31"/>
        <v/>
      </c>
      <c r="AE76" s="20" t="str">
        <f t="shared" si="17"/>
        <v>0</v>
      </c>
    </row>
    <row r="77" spans="9:31" ht="20.149999999999999" customHeight="1">
      <c r="Q77" s="23">
        <f t="shared" si="18"/>
        <v>0</v>
      </c>
      <c r="R77" s="23" t="str">
        <f t="shared" si="19"/>
        <v/>
      </c>
      <c r="S77" s="23" t="str">
        <f t="shared" si="20"/>
        <v/>
      </c>
      <c r="T77" s="23" t="str">
        <f t="shared" si="21"/>
        <v/>
      </c>
      <c r="U77" s="23" t="str">
        <f t="shared" si="22"/>
        <v/>
      </c>
      <c r="V77" s="23" t="str">
        <f t="shared" si="23"/>
        <v/>
      </c>
      <c r="W77" s="23" t="str">
        <f t="shared" si="24"/>
        <v/>
      </c>
      <c r="X77" s="23" t="str">
        <f t="shared" si="25"/>
        <v/>
      </c>
      <c r="Y77" s="23" t="str">
        <f t="shared" si="26"/>
        <v/>
      </c>
      <c r="Z77" s="23" t="str">
        <f t="shared" si="27"/>
        <v/>
      </c>
      <c r="AA77" s="23" t="str">
        <f t="shared" si="28"/>
        <v/>
      </c>
      <c r="AB77" s="23" t="str">
        <f t="shared" si="29"/>
        <v/>
      </c>
      <c r="AC77" s="23" t="str">
        <f t="shared" si="30"/>
        <v/>
      </c>
      <c r="AD77" s="23" t="str">
        <f t="shared" si="31"/>
        <v/>
      </c>
      <c r="AE77" s="20" t="str">
        <f t="shared" si="17"/>
        <v>0</v>
      </c>
    </row>
    <row r="78" spans="9:31" ht="20.149999999999999" customHeight="1">
      <c r="Q78" s="23">
        <f t="shared" si="18"/>
        <v>0</v>
      </c>
      <c r="R78" s="23" t="str">
        <f t="shared" si="19"/>
        <v/>
      </c>
      <c r="S78" s="23" t="str">
        <f t="shared" si="20"/>
        <v/>
      </c>
      <c r="T78" s="23" t="str">
        <f t="shared" si="21"/>
        <v/>
      </c>
      <c r="U78" s="23" t="str">
        <f t="shared" si="22"/>
        <v/>
      </c>
      <c r="V78" s="23" t="str">
        <f t="shared" si="23"/>
        <v/>
      </c>
      <c r="W78" s="23" t="str">
        <f t="shared" si="24"/>
        <v/>
      </c>
      <c r="X78" s="23" t="str">
        <f t="shared" si="25"/>
        <v/>
      </c>
      <c r="Y78" s="23" t="str">
        <f t="shared" si="26"/>
        <v/>
      </c>
      <c r="Z78" s="23" t="str">
        <f t="shared" si="27"/>
        <v/>
      </c>
      <c r="AA78" s="23" t="str">
        <f t="shared" si="28"/>
        <v/>
      </c>
      <c r="AB78" s="23" t="str">
        <f t="shared" si="29"/>
        <v/>
      </c>
      <c r="AC78" s="23" t="str">
        <f t="shared" si="30"/>
        <v/>
      </c>
      <c r="AD78" s="23" t="str">
        <f t="shared" si="31"/>
        <v/>
      </c>
      <c r="AE78" s="20" t="str">
        <f t="shared" si="17"/>
        <v>0</v>
      </c>
    </row>
    <row r="79" spans="9:31" ht="20.149999999999999" customHeight="1">
      <c r="Q79" s="23">
        <f t="shared" si="18"/>
        <v>0</v>
      </c>
      <c r="R79" s="23" t="str">
        <f t="shared" si="19"/>
        <v/>
      </c>
      <c r="S79" s="23" t="str">
        <f t="shared" si="20"/>
        <v/>
      </c>
      <c r="T79" s="23" t="str">
        <f t="shared" si="21"/>
        <v/>
      </c>
      <c r="U79" s="23" t="str">
        <f t="shared" si="22"/>
        <v/>
      </c>
      <c r="V79" s="23" t="str">
        <f t="shared" si="23"/>
        <v/>
      </c>
      <c r="W79" s="23" t="str">
        <f t="shared" si="24"/>
        <v/>
      </c>
      <c r="X79" s="23" t="str">
        <f t="shared" si="25"/>
        <v/>
      </c>
      <c r="Y79" s="23" t="str">
        <f t="shared" si="26"/>
        <v/>
      </c>
      <c r="Z79" s="23" t="str">
        <f t="shared" si="27"/>
        <v/>
      </c>
      <c r="AA79" s="23" t="str">
        <f t="shared" si="28"/>
        <v/>
      </c>
      <c r="AB79" s="23" t="str">
        <f t="shared" si="29"/>
        <v/>
      </c>
      <c r="AC79" s="23" t="str">
        <f t="shared" si="30"/>
        <v/>
      </c>
      <c r="AD79" s="23" t="str">
        <f t="shared" si="31"/>
        <v/>
      </c>
      <c r="AE79" s="20" t="str">
        <f t="shared" si="17"/>
        <v>0</v>
      </c>
    </row>
    <row r="80" spans="9:31" ht="20.149999999999999" customHeight="1">
      <c r="Q80" s="23">
        <f t="shared" si="18"/>
        <v>0</v>
      </c>
      <c r="R80" s="23" t="str">
        <f t="shared" si="19"/>
        <v/>
      </c>
      <c r="S80" s="23" t="str">
        <f t="shared" si="20"/>
        <v/>
      </c>
      <c r="T80" s="23" t="str">
        <f t="shared" si="21"/>
        <v/>
      </c>
      <c r="U80" s="23" t="str">
        <f t="shared" si="22"/>
        <v/>
      </c>
      <c r="V80" s="23" t="str">
        <f t="shared" si="23"/>
        <v/>
      </c>
      <c r="W80" s="23" t="str">
        <f t="shared" si="24"/>
        <v/>
      </c>
      <c r="X80" s="23" t="str">
        <f t="shared" si="25"/>
        <v/>
      </c>
      <c r="Y80" s="23" t="str">
        <f t="shared" si="26"/>
        <v/>
      </c>
      <c r="Z80" s="23" t="str">
        <f t="shared" si="27"/>
        <v/>
      </c>
      <c r="AA80" s="23" t="str">
        <f t="shared" si="28"/>
        <v/>
      </c>
      <c r="AB80" s="23" t="str">
        <f t="shared" si="29"/>
        <v/>
      </c>
      <c r="AC80" s="23" t="str">
        <f t="shared" si="30"/>
        <v/>
      </c>
      <c r="AD80" s="23" t="str">
        <f t="shared" si="31"/>
        <v/>
      </c>
      <c r="AE80" s="20" t="str">
        <f t="shared" si="17"/>
        <v>0</v>
      </c>
    </row>
    <row r="81" spans="17:31" ht="20.149999999999999" customHeight="1">
      <c r="Q81" s="23">
        <f t="shared" si="18"/>
        <v>0</v>
      </c>
      <c r="R81" s="23" t="str">
        <f t="shared" si="19"/>
        <v/>
      </c>
      <c r="S81" s="23" t="str">
        <f t="shared" si="20"/>
        <v/>
      </c>
      <c r="T81" s="23" t="str">
        <f t="shared" si="21"/>
        <v/>
      </c>
      <c r="U81" s="23" t="str">
        <f t="shared" si="22"/>
        <v/>
      </c>
      <c r="V81" s="23" t="str">
        <f t="shared" si="23"/>
        <v/>
      </c>
      <c r="W81" s="23" t="str">
        <f t="shared" si="24"/>
        <v/>
      </c>
      <c r="X81" s="23" t="str">
        <f t="shared" si="25"/>
        <v/>
      </c>
      <c r="Y81" s="23" t="str">
        <f t="shared" si="26"/>
        <v/>
      </c>
      <c r="Z81" s="23" t="str">
        <f t="shared" si="27"/>
        <v/>
      </c>
      <c r="AA81" s="23" t="str">
        <f t="shared" si="28"/>
        <v/>
      </c>
      <c r="AB81" s="23" t="str">
        <f t="shared" si="29"/>
        <v/>
      </c>
      <c r="AC81" s="23" t="str">
        <f t="shared" si="30"/>
        <v/>
      </c>
      <c r="AD81" s="23" t="str">
        <f t="shared" si="31"/>
        <v/>
      </c>
      <c r="AE81" s="20" t="str">
        <f t="shared" si="17"/>
        <v>0</v>
      </c>
    </row>
    <row r="82" spans="17:31" ht="20.149999999999999" customHeight="1">
      <c r="Q82" s="23">
        <f t="shared" si="18"/>
        <v>0</v>
      </c>
      <c r="R82" s="23" t="str">
        <f t="shared" si="19"/>
        <v/>
      </c>
      <c r="S82" s="23" t="str">
        <f t="shared" si="20"/>
        <v/>
      </c>
      <c r="T82" s="23" t="str">
        <f t="shared" si="21"/>
        <v/>
      </c>
      <c r="U82" s="23" t="str">
        <f t="shared" si="22"/>
        <v/>
      </c>
      <c r="V82" s="23" t="str">
        <f t="shared" si="23"/>
        <v/>
      </c>
      <c r="W82" s="23" t="str">
        <f t="shared" si="24"/>
        <v/>
      </c>
      <c r="X82" s="23" t="str">
        <f t="shared" si="25"/>
        <v/>
      </c>
      <c r="Y82" s="23" t="str">
        <f t="shared" si="26"/>
        <v/>
      </c>
      <c r="Z82" s="23" t="str">
        <f t="shared" si="27"/>
        <v/>
      </c>
      <c r="AA82" s="23" t="str">
        <f t="shared" si="28"/>
        <v/>
      </c>
      <c r="AB82" s="23" t="str">
        <f t="shared" si="29"/>
        <v/>
      </c>
      <c r="AC82" s="23" t="str">
        <f t="shared" si="30"/>
        <v/>
      </c>
      <c r="AD82" s="23" t="str">
        <f t="shared" si="31"/>
        <v/>
      </c>
      <c r="AE82" s="20" t="str">
        <f t="shared" si="17"/>
        <v>0</v>
      </c>
    </row>
    <row r="83" spans="17:31" ht="20.149999999999999" customHeight="1">
      <c r="Q83" s="23">
        <f t="shared" si="18"/>
        <v>0</v>
      </c>
      <c r="R83" s="23" t="str">
        <f t="shared" si="19"/>
        <v/>
      </c>
      <c r="S83" s="23" t="str">
        <f t="shared" si="20"/>
        <v/>
      </c>
      <c r="T83" s="23" t="str">
        <f t="shared" si="21"/>
        <v/>
      </c>
      <c r="U83" s="23" t="str">
        <f t="shared" si="22"/>
        <v/>
      </c>
      <c r="V83" s="23" t="str">
        <f t="shared" si="23"/>
        <v/>
      </c>
      <c r="W83" s="23" t="str">
        <f t="shared" si="24"/>
        <v/>
      </c>
      <c r="X83" s="23" t="str">
        <f t="shared" si="25"/>
        <v/>
      </c>
      <c r="Y83" s="23" t="str">
        <f t="shared" si="26"/>
        <v/>
      </c>
      <c r="Z83" s="23" t="str">
        <f t="shared" si="27"/>
        <v/>
      </c>
      <c r="AA83" s="23" t="str">
        <f t="shared" si="28"/>
        <v/>
      </c>
      <c r="AB83" s="23" t="str">
        <f t="shared" si="29"/>
        <v/>
      </c>
      <c r="AC83" s="23" t="str">
        <f t="shared" si="30"/>
        <v/>
      </c>
      <c r="AD83" s="23" t="str">
        <f t="shared" si="31"/>
        <v/>
      </c>
      <c r="AE83" s="20" t="str">
        <f t="shared" si="17"/>
        <v>0</v>
      </c>
    </row>
    <row r="84" spans="17:31" ht="20.149999999999999" customHeight="1">
      <c r="Q84" s="23">
        <f t="shared" si="18"/>
        <v>0</v>
      </c>
      <c r="R84" s="23" t="str">
        <f t="shared" si="19"/>
        <v/>
      </c>
      <c r="S84" s="23" t="str">
        <f t="shared" si="20"/>
        <v/>
      </c>
      <c r="T84" s="23" t="str">
        <f t="shared" si="21"/>
        <v/>
      </c>
      <c r="U84" s="23" t="str">
        <f t="shared" si="22"/>
        <v/>
      </c>
      <c r="V84" s="23" t="str">
        <f t="shared" si="23"/>
        <v/>
      </c>
      <c r="W84" s="23" t="str">
        <f t="shared" si="24"/>
        <v/>
      </c>
      <c r="X84" s="23" t="str">
        <f t="shared" si="25"/>
        <v/>
      </c>
      <c r="Y84" s="23" t="str">
        <f t="shared" si="26"/>
        <v/>
      </c>
      <c r="Z84" s="23" t="str">
        <f t="shared" si="27"/>
        <v/>
      </c>
      <c r="AA84" s="23" t="str">
        <f t="shared" si="28"/>
        <v/>
      </c>
      <c r="AB84" s="23" t="str">
        <f t="shared" si="29"/>
        <v/>
      </c>
      <c r="AC84" s="23" t="str">
        <f t="shared" si="30"/>
        <v/>
      </c>
      <c r="AD84" s="23" t="str">
        <f t="shared" si="31"/>
        <v/>
      </c>
      <c r="AE84" s="20" t="str">
        <f t="shared" si="17"/>
        <v>0</v>
      </c>
    </row>
    <row r="85" spans="17:31" ht="20.149999999999999" customHeight="1">
      <c r="Q85" s="23">
        <f t="shared" si="18"/>
        <v>0</v>
      </c>
      <c r="R85" s="23" t="str">
        <f t="shared" si="19"/>
        <v/>
      </c>
      <c r="S85" s="23" t="str">
        <f t="shared" si="20"/>
        <v/>
      </c>
      <c r="T85" s="23" t="str">
        <f t="shared" si="21"/>
        <v/>
      </c>
      <c r="U85" s="23" t="str">
        <f t="shared" si="22"/>
        <v/>
      </c>
      <c r="V85" s="23" t="str">
        <f t="shared" si="23"/>
        <v/>
      </c>
      <c r="W85" s="23" t="str">
        <f t="shared" si="24"/>
        <v/>
      </c>
      <c r="X85" s="23" t="str">
        <f t="shared" si="25"/>
        <v/>
      </c>
      <c r="Y85" s="23" t="str">
        <f t="shared" si="26"/>
        <v/>
      </c>
      <c r="Z85" s="23" t="str">
        <f t="shared" si="27"/>
        <v/>
      </c>
      <c r="AA85" s="23" t="str">
        <f t="shared" si="28"/>
        <v/>
      </c>
      <c r="AB85" s="23" t="str">
        <f t="shared" si="29"/>
        <v/>
      </c>
      <c r="AC85" s="23" t="str">
        <f t="shared" si="30"/>
        <v/>
      </c>
      <c r="AD85" s="23" t="str">
        <f t="shared" si="31"/>
        <v/>
      </c>
      <c r="AE85" s="20" t="str">
        <f t="shared" si="17"/>
        <v>0</v>
      </c>
    </row>
    <row r="86" spans="17:31" ht="20.149999999999999" customHeight="1">
      <c r="Q86" s="23">
        <f t="shared" si="18"/>
        <v>0</v>
      </c>
      <c r="R86" s="23" t="str">
        <f t="shared" si="19"/>
        <v/>
      </c>
      <c r="S86" s="23" t="str">
        <f t="shared" si="20"/>
        <v/>
      </c>
      <c r="T86" s="23" t="str">
        <f t="shared" si="21"/>
        <v/>
      </c>
      <c r="U86" s="23" t="str">
        <f t="shared" si="22"/>
        <v/>
      </c>
      <c r="V86" s="23" t="str">
        <f t="shared" si="23"/>
        <v/>
      </c>
      <c r="W86" s="23" t="str">
        <f t="shared" si="24"/>
        <v/>
      </c>
      <c r="X86" s="23" t="str">
        <f t="shared" si="25"/>
        <v/>
      </c>
      <c r="Y86" s="23" t="str">
        <f t="shared" si="26"/>
        <v/>
      </c>
      <c r="Z86" s="23" t="str">
        <f t="shared" si="27"/>
        <v/>
      </c>
      <c r="AA86" s="23" t="str">
        <f t="shared" si="28"/>
        <v/>
      </c>
      <c r="AB86" s="23" t="str">
        <f t="shared" si="29"/>
        <v/>
      </c>
      <c r="AC86" s="23" t="str">
        <f t="shared" si="30"/>
        <v/>
      </c>
      <c r="AD86" s="23" t="str">
        <f t="shared" si="31"/>
        <v/>
      </c>
      <c r="AE86" s="20" t="str">
        <f t="shared" si="17"/>
        <v>0</v>
      </c>
    </row>
    <row r="87" spans="17:31" ht="20.149999999999999" customHeight="1">
      <c r="Q87" s="23">
        <f t="shared" si="18"/>
        <v>0</v>
      </c>
      <c r="R87" s="23" t="str">
        <f t="shared" si="19"/>
        <v/>
      </c>
      <c r="S87" s="23" t="str">
        <f t="shared" si="20"/>
        <v/>
      </c>
      <c r="T87" s="23" t="str">
        <f t="shared" si="21"/>
        <v/>
      </c>
      <c r="U87" s="23" t="str">
        <f t="shared" si="22"/>
        <v/>
      </c>
      <c r="V87" s="23" t="str">
        <f t="shared" si="23"/>
        <v/>
      </c>
      <c r="W87" s="23" t="str">
        <f t="shared" si="24"/>
        <v/>
      </c>
      <c r="X87" s="23" t="str">
        <f t="shared" si="25"/>
        <v/>
      </c>
      <c r="Y87" s="23" t="str">
        <f t="shared" si="26"/>
        <v/>
      </c>
      <c r="Z87" s="23" t="str">
        <f t="shared" si="27"/>
        <v/>
      </c>
      <c r="AA87" s="23" t="str">
        <f t="shared" si="28"/>
        <v/>
      </c>
      <c r="AB87" s="23" t="str">
        <f t="shared" si="29"/>
        <v/>
      </c>
      <c r="AC87" s="23" t="str">
        <f t="shared" si="30"/>
        <v/>
      </c>
      <c r="AD87" s="23" t="str">
        <f t="shared" si="31"/>
        <v/>
      </c>
      <c r="AE87" s="20" t="str">
        <f t="shared" si="17"/>
        <v>0</v>
      </c>
    </row>
    <row r="88" spans="17:31" ht="20.149999999999999" customHeight="1">
      <c r="Q88" s="23">
        <f t="shared" si="18"/>
        <v>0</v>
      </c>
      <c r="R88" s="23" t="str">
        <f t="shared" si="19"/>
        <v/>
      </c>
      <c r="S88" s="23" t="str">
        <f t="shared" si="20"/>
        <v/>
      </c>
      <c r="T88" s="23" t="str">
        <f t="shared" si="21"/>
        <v/>
      </c>
      <c r="U88" s="23" t="str">
        <f t="shared" si="22"/>
        <v/>
      </c>
      <c r="V88" s="23" t="str">
        <f t="shared" si="23"/>
        <v/>
      </c>
      <c r="W88" s="23" t="str">
        <f t="shared" si="24"/>
        <v/>
      </c>
      <c r="X88" s="23" t="str">
        <f t="shared" si="25"/>
        <v/>
      </c>
      <c r="Y88" s="23" t="str">
        <f t="shared" si="26"/>
        <v/>
      </c>
      <c r="Z88" s="23" t="str">
        <f t="shared" si="27"/>
        <v/>
      </c>
      <c r="AA88" s="23" t="str">
        <f t="shared" si="28"/>
        <v/>
      </c>
      <c r="AB88" s="23" t="str">
        <f t="shared" si="29"/>
        <v/>
      </c>
      <c r="AC88" s="23" t="str">
        <f t="shared" si="30"/>
        <v/>
      </c>
      <c r="AD88" s="23" t="str">
        <f t="shared" si="31"/>
        <v/>
      </c>
      <c r="AE88" s="20" t="str">
        <f t="shared" si="17"/>
        <v>0</v>
      </c>
    </row>
    <row r="89" spans="17:31" ht="20.149999999999999" customHeight="1">
      <c r="Q89" s="23">
        <f t="shared" si="18"/>
        <v>0</v>
      </c>
      <c r="R89" s="23" t="str">
        <f t="shared" si="19"/>
        <v/>
      </c>
      <c r="S89" s="23" t="str">
        <f t="shared" si="20"/>
        <v/>
      </c>
      <c r="T89" s="23" t="str">
        <f t="shared" si="21"/>
        <v/>
      </c>
      <c r="U89" s="23" t="str">
        <f t="shared" si="22"/>
        <v/>
      </c>
      <c r="V89" s="23" t="str">
        <f t="shared" si="23"/>
        <v/>
      </c>
      <c r="W89" s="23" t="str">
        <f t="shared" si="24"/>
        <v/>
      </c>
      <c r="X89" s="23" t="str">
        <f t="shared" si="25"/>
        <v/>
      </c>
      <c r="Y89" s="23" t="str">
        <f t="shared" si="26"/>
        <v/>
      </c>
      <c r="Z89" s="23" t="str">
        <f t="shared" si="27"/>
        <v/>
      </c>
      <c r="AA89" s="23" t="str">
        <f t="shared" si="28"/>
        <v/>
      </c>
      <c r="AB89" s="23" t="str">
        <f t="shared" si="29"/>
        <v/>
      </c>
      <c r="AC89" s="23" t="str">
        <f t="shared" si="30"/>
        <v/>
      </c>
      <c r="AD89" s="23" t="str">
        <f t="shared" si="31"/>
        <v/>
      </c>
      <c r="AE89" s="20" t="str">
        <f t="shared" si="17"/>
        <v>0</v>
      </c>
    </row>
    <row r="90" spans="17:31" ht="20.149999999999999" customHeight="1">
      <c r="Q90" s="23">
        <f t="shared" si="18"/>
        <v>0</v>
      </c>
      <c r="R90" s="23" t="str">
        <f t="shared" si="19"/>
        <v/>
      </c>
      <c r="S90" s="23" t="str">
        <f t="shared" si="20"/>
        <v/>
      </c>
      <c r="T90" s="23" t="str">
        <f t="shared" si="21"/>
        <v/>
      </c>
      <c r="U90" s="23" t="str">
        <f t="shared" si="22"/>
        <v/>
      </c>
      <c r="V90" s="23" t="str">
        <f t="shared" si="23"/>
        <v/>
      </c>
      <c r="W90" s="23" t="str">
        <f t="shared" si="24"/>
        <v/>
      </c>
      <c r="X90" s="23" t="str">
        <f t="shared" si="25"/>
        <v/>
      </c>
      <c r="Y90" s="23" t="str">
        <f t="shared" si="26"/>
        <v/>
      </c>
      <c r="Z90" s="23" t="str">
        <f t="shared" si="27"/>
        <v/>
      </c>
      <c r="AA90" s="23" t="str">
        <f t="shared" si="28"/>
        <v/>
      </c>
      <c r="AB90" s="23" t="str">
        <f t="shared" si="29"/>
        <v/>
      </c>
      <c r="AC90" s="23" t="str">
        <f t="shared" si="30"/>
        <v/>
      </c>
      <c r="AD90" s="23" t="str">
        <f t="shared" si="31"/>
        <v/>
      </c>
      <c r="AE90" s="20" t="str">
        <f t="shared" si="17"/>
        <v>0</v>
      </c>
    </row>
    <row r="91" spans="17:31" ht="20.149999999999999" customHeight="1">
      <c r="Q91" s="23">
        <f t="shared" si="18"/>
        <v>0</v>
      </c>
      <c r="R91" s="23" t="str">
        <f t="shared" si="19"/>
        <v/>
      </c>
      <c r="S91" s="23" t="str">
        <f t="shared" si="20"/>
        <v/>
      </c>
      <c r="T91" s="23" t="str">
        <f t="shared" si="21"/>
        <v/>
      </c>
      <c r="U91" s="23" t="str">
        <f t="shared" si="22"/>
        <v/>
      </c>
      <c r="V91" s="23" t="str">
        <f t="shared" si="23"/>
        <v/>
      </c>
      <c r="W91" s="23" t="str">
        <f t="shared" si="24"/>
        <v/>
      </c>
      <c r="X91" s="23" t="str">
        <f t="shared" si="25"/>
        <v/>
      </c>
      <c r="Y91" s="23" t="str">
        <f t="shared" si="26"/>
        <v/>
      </c>
      <c r="Z91" s="23" t="str">
        <f t="shared" si="27"/>
        <v/>
      </c>
      <c r="AA91" s="23" t="str">
        <f t="shared" si="28"/>
        <v/>
      </c>
      <c r="AB91" s="23" t="str">
        <f t="shared" si="29"/>
        <v/>
      </c>
      <c r="AC91" s="23" t="str">
        <f t="shared" si="30"/>
        <v/>
      </c>
      <c r="AD91" s="23" t="str">
        <f t="shared" si="31"/>
        <v/>
      </c>
      <c r="AE91" s="20" t="str">
        <f t="shared" si="17"/>
        <v>0</v>
      </c>
    </row>
    <row r="92" spans="17:31" ht="20.149999999999999" customHeight="1">
      <c r="Q92" s="23">
        <f t="shared" si="18"/>
        <v>0</v>
      </c>
      <c r="R92" s="23" t="str">
        <f t="shared" si="19"/>
        <v/>
      </c>
      <c r="S92" s="23" t="str">
        <f t="shared" si="20"/>
        <v/>
      </c>
      <c r="T92" s="23" t="str">
        <f t="shared" si="21"/>
        <v/>
      </c>
      <c r="U92" s="23" t="str">
        <f t="shared" si="22"/>
        <v/>
      </c>
      <c r="V92" s="23" t="str">
        <f t="shared" si="23"/>
        <v/>
      </c>
      <c r="W92" s="23" t="str">
        <f t="shared" si="24"/>
        <v/>
      </c>
      <c r="X92" s="23" t="str">
        <f t="shared" si="25"/>
        <v/>
      </c>
      <c r="Y92" s="23" t="str">
        <f t="shared" si="26"/>
        <v/>
      </c>
      <c r="Z92" s="23" t="str">
        <f t="shared" si="27"/>
        <v/>
      </c>
      <c r="AA92" s="23" t="str">
        <f t="shared" si="28"/>
        <v/>
      </c>
      <c r="AB92" s="23" t="str">
        <f t="shared" si="29"/>
        <v/>
      </c>
      <c r="AC92" s="23" t="str">
        <f t="shared" si="30"/>
        <v/>
      </c>
      <c r="AD92" s="23" t="str">
        <f t="shared" si="31"/>
        <v/>
      </c>
      <c r="AE92" s="20" t="str">
        <f t="shared" si="17"/>
        <v>0</v>
      </c>
    </row>
    <row r="93" spans="17:31" ht="20.149999999999999" customHeight="1">
      <c r="Q93" s="23">
        <f t="shared" si="18"/>
        <v>0</v>
      </c>
      <c r="R93" s="23" t="str">
        <f t="shared" si="19"/>
        <v/>
      </c>
      <c r="S93" s="23" t="str">
        <f t="shared" si="20"/>
        <v/>
      </c>
      <c r="T93" s="23" t="str">
        <f t="shared" si="21"/>
        <v/>
      </c>
      <c r="U93" s="23" t="str">
        <f t="shared" si="22"/>
        <v/>
      </c>
      <c r="V93" s="23" t="str">
        <f t="shared" si="23"/>
        <v/>
      </c>
      <c r="W93" s="23" t="str">
        <f t="shared" si="24"/>
        <v/>
      </c>
      <c r="X93" s="23" t="str">
        <f t="shared" si="25"/>
        <v/>
      </c>
      <c r="Y93" s="23" t="str">
        <f t="shared" si="26"/>
        <v/>
      </c>
      <c r="Z93" s="23" t="str">
        <f t="shared" si="27"/>
        <v/>
      </c>
      <c r="AA93" s="23" t="str">
        <f t="shared" si="28"/>
        <v/>
      </c>
      <c r="AB93" s="23" t="str">
        <f t="shared" si="29"/>
        <v/>
      </c>
      <c r="AC93" s="23" t="str">
        <f t="shared" si="30"/>
        <v/>
      </c>
      <c r="AD93" s="23" t="str">
        <f t="shared" si="31"/>
        <v/>
      </c>
      <c r="AE93" s="20" t="str">
        <f t="shared" si="17"/>
        <v>0</v>
      </c>
    </row>
    <row r="94" spans="17:31" ht="20.149999999999999" customHeight="1">
      <c r="Q94" s="23">
        <f t="shared" si="18"/>
        <v>0</v>
      </c>
      <c r="R94" s="23" t="str">
        <f t="shared" si="19"/>
        <v/>
      </c>
      <c r="S94" s="23" t="str">
        <f t="shared" si="20"/>
        <v/>
      </c>
      <c r="T94" s="23" t="str">
        <f t="shared" si="21"/>
        <v/>
      </c>
      <c r="U94" s="23" t="str">
        <f t="shared" si="22"/>
        <v/>
      </c>
      <c r="V94" s="23" t="str">
        <f t="shared" si="23"/>
        <v/>
      </c>
      <c r="W94" s="23" t="str">
        <f t="shared" si="24"/>
        <v/>
      </c>
      <c r="X94" s="23" t="str">
        <f t="shared" si="25"/>
        <v/>
      </c>
      <c r="Y94" s="23" t="str">
        <f t="shared" si="26"/>
        <v/>
      </c>
      <c r="Z94" s="23" t="str">
        <f t="shared" si="27"/>
        <v/>
      </c>
      <c r="AA94" s="23" t="str">
        <f t="shared" si="28"/>
        <v/>
      </c>
      <c r="AB94" s="23" t="str">
        <f t="shared" si="29"/>
        <v/>
      </c>
      <c r="AC94" s="23" t="str">
        <f t="shared" si="30"/>
        <v/>
      </c>
      <c r="AD94" s="23" t="str">
        <f t="shared" si="31"/>
        <v/>
      </c>
      <c r="AE94" s="20" t="str">
        <f t="shared" si="17"/>
        <v>0</v>
      </c>
    </row>
    <row r="95" spans="17:31" ht="20.149999999999999" customHeight="1">
      <c r="Q95" s="23">
        <f t="shared" si="18"/>
        <v>0</v>
      </c>
      <c r="R95" s="23" t="str">
        <f t="shared" si="19"/>
        <v/>
      </c>
      <c r="S95" s="23" t="str">
        <f t="shared" si="20"/>
        <v/>
      </c>
      <c r="T95" s="23" t="str">
        <f t="shared" si="21"/>
        <v/>
      </c>
      <c r="U95" s="23" t="str">
        <f t="shared" si="22"/>
        <v/>
      </c>
      <c r="V95" s="23" t="str">
        <f t="shared" si="23"/>
        <v/>
      </c>
      <c r="W95" s="23" t="str">
        <f t="shared" si="24"/>
        <v/>
      </c>
      <c r="X95" s="23" t="str">
        <f t="shared" si="25"/>
        <v/>
      </c>
      <c r="Y95" s="23" t="str">
        <f t="shared" si="26"/>
        <v/>
      </c>
      <c r="Z95" s="23" t="str">
        <f t="shared" si="27"/>
        <v/>
      </c>
      <c r="AA95" s="23" t="str">
        <f t="shared" si="28"/>
        <v/>
      </c>
      <c r="AB95" s="23" t="str">
        <f t="shared" si="29"/>
        <v/>
      </c>
      <c r="AC95" s="23" t="str">
        <f t="shared" si="30"/>
        <v/>
      </c>
      <c r="AD95" s="23" t="str">
        <f t="shared" si="31"/>
        <v/>
      </c>
      <c r="AE95" s="20" t="str">
        <f t="shared" si="17"/>
        <v>0</v>
      </c>
    </row>
    <row r="96" spans="17:31" ht="20.149999999999999" customHeight="1">
      <c r="Q96" s="23">
        <f t="shared" si="18"/>
        <v>0</v>
      </c>
      <c r="R96" s="23" t="str">
        <f t="shared" si="19"/>
        <v/>
      </c>
      <c r="S96" s="23" t="str">
        <f t="shared" si="20"/>
        <v/>
      </c>
      <c r="T96" s="23" t="str">
        <f t="shared" si="21"/>
        <v/>
      </c>
      <c r="U96" s="23" t="str">
        <f t="shared" si="22"/>
        <v/>
      </c>
      <c r="V96" s="23" t="str">
        <f t="shared" si="23"/>
        <v/>
      </c>
      <c r="W96" s="23" t="str">
        <f t="shared" si="24"/>
        <v/>
      </c>
      <c r="X96" s="23" t="str">
        <f t="shared" si="25"/>
        <v/>
      </c>
      <c r="Y96" s="23" t="str">
        <f t="shared" si="26"/>
        <v/>
      </c>
      <c r="Z96" s="23" t="str">
        <f t="shared" si="27"/>
        <v/>
      </c>
      <c r="AA96" s="23" t="str">
        <f t="shared" si="28"/>
        <v/>
      </c>
      <c r="AB96" s="23" t="str">
        <f t="shared" si="29"/>
        <v/>
      </c>
      <c r="AC96" s="23" t="str">
        <f t="shared" si="30"/>
        <v/>
      </c>
      <c r="AD96" s="23" t="str">
        <f t="shared" si="31"/>
        <v/>
      </c>
      <c r="AE96" s="20" t="str">
        <f t="shared" si="17"/>
        <v>0</v>
      </c>
    </row>
    <row r="97" spans="17:31" ht="20.149999999999999" customHeight="1">
      <c r="Q97" s="23">
        <f t="shared" si="18"/>
        <v>0</v>
      </c>
      <c r="R97" s="23" t="str">
        <f t="shared" si="19"/>
        <v/>
      </c>
      <c r="S97" s="23" t="str">
        <f t="shared" si="20"/>
        <v/>
      </c>
      <c r="T97" s="23" t="str">
        <f t="shared" si="21"/>
        <v/>
      </c>
      <c r="U97" s="23" t="str">
        <f t="shared" si="22"/>
        <v/>
      </c>
      <c r="V97" s="23" t="str">
        <f t="shared" si="23"/>
        <v/>
      </c>
      <c r="W97" s="23" t="str">
        <f t="shared" si="24"/>
        <v/>
      </c>
      <c r="X97" s="23" t="str">
        <f t="shared" si="25"/>
        <v/>
      </c>
      <c r="Y97" s="23" t="str">
        <f t="shared" si="26"/>
        <v/>
      </c>
      <c r="Z97" s="23" t="str">
        <f t="shared" si="27"/>
        <v/>
      </c>
      <c r="AA97" s="23" t="str">
        <f t="shared" si="28"/>
        <v/>
      </c>
      <c r="AB97" s="23" t="str">
        <f t="shared" si="29"/>
        <v/>
      </c>
      <c r="AC97" s="23" t="str">
        <f t="shared" si="30"/>
        <v/>
      </c>
      <c r="AD97" s="23" t="str">
        <f t="shared" si="31"/>
        <v/>
      </c>
      <c r="AE97" s="20" t="str">
        <f t="shared" si="17"/>
        <v>0</v>
      </c>
    </row>
    <row r="98" spans="17:31" ht="20.149999999999999" customHeight="1">
      <c r="Q98" s="23">
        <f t="shared" si="18"/>
        <v>0</v>
      </c>
      <c r="R98" s="23" t="str">
        <f t="shared" si="19"/>
        <v/>
      </c>
      <c r="S98" s="23" t="str">
        <f t="shared" si="20"/>
        <v/>
      </c>
      <c r="T98" s="23" t="str">
        <f t="shared" si="21"/>
        <v/>
      </c>
      <c r="U98" s="23" t="str">
        <f t="shared" si="22"/>
        <v/>
      </c>
      <c r="V98" s="23" t="str">
        <f t="shared" si="23"/>
        <v/>
      </c>
      <c r="W98" s="23" t="str">
        <f t="shared" si="24"/>
        <v/>
      </c>
      <c r="X98" s="23" t="str">
        <f t="shared" si="25"/>
        <v/>
      </c>
      <c r="Y98" s="23" t="str">
        <f t="shared" si="26"/>
        <v/>
      </c>
      <c r="Z98" s="23" t="str">
        <f t="shared" si="27"/>
        <v/>
      </c>
      <c r="AA98" s="23" t="str">
        <f t="shared" si="28"/>
        <v/>
      </c>
      <c r="AB98" s="23" t="str">
        <f t="shared" si="29"/>
        <v/>
      </c>
      <c r="AC98" s="23" t="str">
        <f t="shared" si="30"/>
        <v/>
      </c>
      <c r="AD98" s="23" t="str">
        <f t="shared" si="31"/>
        <v/>
      </c>
      <c r="AE98" s="20" t="str">
        <f t="shared" si="17"/>
        <v>0</v>
      </c>
    </row>
    <row r="99" spans="17:31" ht="20.149999999999999" customHeight="1">
      <c r="Q99" s="23">
        <f t="shared" si="18"/>
        <v>0</v>
      </c>
      <c r="R99" s="23" t="str">
        <f t="shared" si="19"/>
        <v/>
      </c>
      <c r="S99" s="23" t="str">
        <f t="shared" si="20"/>
        <v/>
      </c>
      <c r="T99" s="23" t="str">
        <f t="shared" si="21"/>
        <v/>
      </c>
      <c r="U99" s="23" t="str">
        <f t="shared" si="22"/>
        <v/>
      </c>
      <c r="V99" s="23" t="str">
        <f t="shared" si="23"/>
        <v/>
      </c>
      <c r="W99" s="23" t="str">
        <f t="shared" si="24"/>
        <v/>
      </c>
      <c r="X99" s="23" t="str">
        <f t="shared" si="25"/>
        <v/>
      </c>
      <c r="Y99" s="23" t="str">
        <f t="shared" si="26"/>
        <v/>
      </c>
      <c r="Z99" s="23" t="str">
        <f t="shared" si="27"/>
        <v/>
      </c>
      <c r="AA99" s="23" t="str">
        <f t="shared" si="28"/>
        <v/>
      </c>
      <c r="AB99" s="23" t="str">
        <f t="shared" si="29"/>
        <v/>
      </c>
      <c r="AC99" s="23" t="str">
        <f t="shared" si="30"/>
        <v/>
      </c>
      <c r="AD99" s="23" t="str">
        <f t="shared" si="31"/>
        <v/>
      </c>
      <c r="AE99" s="20" t="str">
        <f t="shared" si="17"/>
        <v>0</v>
      </c>
    </row>
    <row r="100" spans="17:31" ht="20.149999999999999" customHeight="1">
      <c r="Q100" s="23">
        <f t="shared" si="18"/>
        <v>0</v>
      </c>
      <c r="R100" s="23" t="str">
        <f t="shared" si="19"/>
        <v/>
      </c>
      <c r="S100" s="23" t="str">
        <f t="shared" si="20"/>
        <v/>
      </c>
      <c r="T100" s="23" t="str">
        <f t="shared" si="21"/>
        <v/>
      </c>
      <c r="U100" s="23" t="str">
        <f t="shared" si="22"/>
        <v/>
      </c>
      <c r="V100" s="23" t="str">
        <f t="shared" si="23"/>
        <v/>
      </c>
      <c r="W100" s="23" t="str">
        <f t="shared" si="24"/>
        <v/>
      </c>
      <c r="X100" s="23" t="str">
        <f t="shared" si="25"/>
        <v/>
      </c>
      <c r="Y100" s="23" t="str">
        <f t="shared" si="26"/>
        <v/>
      </c>
      <c r="Z100" s="23" t="str">
        <f t="shared" si="27"/>
        <v/>
      </c>
      <c r="AA100" s="23" t="str">
        <f t="shared" si="28"/>
        <v/>
      </c>
      <c r="AB100" s="23" t="str">
        <f t="shared" si="29"/>
        <v/>
      </c>
      <c r="AC100" s="23" t="str">
        <f t="shared" si="30"/>
        <v/>
      </c>
      <c r="AD100" s="23" t="str">
        <f t="shared" si="31"/>
        <v/>
      </c>
      <c r="AE100" s="20" t="str">
        <f t="shared" si="17"/>
        <v>0</v>
      </c>
    </row>
    <row r="101" spans="17:31" ht="20.149999999999999" customHeight="1">
      <c r="AE101" s="20" t="str">
        <f t="shared" si="17"/>
        <v/>
      </c>
    </row>
    <row r="102" spans="17:31" ht="20.149999999999999" customHeight="1">
      <c r="AE102" s="20" t="str">
        <f t="shared" si="17"/>
        <v/>
      </c>
    </row>
    <row r="103" spans="17:31" ht="20.149999999999999" customHeight="1">
      <c r="AE103" s="20" t="str">
        <f t="shared" si="17"/>
        <v/>
      </c>
    </row>
    <row r="104" spans="17:31" ht="20.149999999999999" customHeight="1">
      <c r="AE104" s="20" t="str">
        <f t="shared" si="17"/>
        <v/>
      </c>
    </row>
    <row r="105" spans="17:31" ht="20.149999999999999" customHeight="1">
      <c r="AE105" s="20" t="str">
        <f t="shared" si="17"/>
        <v/>
      </c>
    </row>
    <row r="106" spans="17:31" ht="20.149999999999999" customHeight="1">
      <c r="AE106" s="20" t="str">
        <f t="shared" si="17"/>
        <v/>
      </c>
    </row>
    <row r="107" spans="17:31" ht="20.149999999999999" customHeight="1">
      <c r="AE107" s="20" t="str">
        <f t="shared" si="17"/>
        <v/>
      </c>
    </row>
    <row r="108" spans="17:31" ht="20.149999999999999" customHeight="1">
      <c r="AE108" s="20" t="str">
        <f t="shared" si="17"/>
        <v/>
      </c>
    </row>
    <row r="109" spans="17:31" ht="20.149999999999999" customHeight="1">
      <c r="AE109" s="20" t="str">
        <f t="shared" si="17"/>
        <v/>
      </c>
    </row>
    <row r="110" spans="17:31" ht="20.149999999999999" customHeight="1">
      <c r="AE110" s="20" t="str">
        <f t="shared" si="17"/>
        <v/>
      </c>
    </row>
    <row r="111" spans="17:31" ht="20.149999999999999" customHeight="1">
      <c r="AE111" s="20" t="str">
        <f t="shared" si="17"/>
        <v/>
      </c>
    </row>
    <row r="112" spans="17:31" ht="20.149999999999999" customHeight="1">
      <c r="AE112" s="20" t="str">
        <f t="shared" si="17"/>
        <v/>
      </c>
    </row>
    <row r="113" spans="31:31" ht="20.149999999999999" customHeight="1">
      <c r="AE113" s="20" t="str">
        <f t="shared" si="17"/>
        <v/>
      </c>
    </row>
    <row r="114" spans="31:31" ht="20.149999999999999" customHeight="1">
      <c r="AE114" s="20" t="str">
        <f t="shared" si="17"/>
        <v/>
      </c>
    </row>
    <row r="115" spans="31:31" ht="20.149999999999999" customHeight="1">
      <c r="AE115" s="20" t="str">
        <f t="shared" si="17"/>
        <v/>
      </c>
    </row>
    <row r="116" spans="31:31" ht="20.149999999999999" customHeight="1">
      <c r="AE116" s="20" t="str">
        <f t="shared" si="17"/>
        <v/>
      </c>
    </row>
    <row r="117" spans="31:31" ht="20.149999999999999" customHeight="1">
      <c r="AE117" s="20" t="str">
        <f t="shared" si="17"/>
        <v/>
      </c>
    </row>
    <row r="118" spans="31:31" ht="20.149999999999999" customHeight="1">
      <c r="AE118" s="20" t="str">
        <f t="shared" si="17"/>
        <v/>
      </c>
    </row>
    <row r="119" spans="31:31" ht="20.149999999999999" customHeight="1">
      <c r="AE119" s="20" t="str">
        <f t="shared" si="17"/>
        <v/>
      </c>
    </row>
    <row r="120" spans="31:31" ht="20.149999999999999" customHeight="1">
      <c r="AE120" s="20" t="str">
        <f t="shared" si="17"/>
        <v/>
      </c>
    </row>
    <row r="121" spans="31:31" ht="20.149999999999999" customHeight="1">
      <c r="AE121" s="20" t="str">
        <f t="shared" si="17"/>
        <v/>
      </c>
    </row>
    <row r="122" spans="31:31" ht="20.149999999999999" customHeight="1">
      <c r="AE122" s="20" t="str">
        <f t="shared" si="17"/>
        <v/>
      </c>
    </row>
    <row r="123" spans="31:31" ht="20.149999999999999" customHeight="1">
      <c r="AE123" s="20" t="str">
        <f t="shared" si="17"/>
        <v/>
      </c>
    </row>
    <row r="124" spans="31:31" ht="20.149999999999999" customHeight="1">
      <c r="AE124" s="20" t="str">
        <f t="shared" si="17"/>
        <v/>
      </c>
    </row>
    <row r="125" spans="31:31" ht="20.149999999999999" customHeight="1">
      <c r="AE125" s="20" t="str">
        <f t="shared" si="17"/>
        <v/>
      </c>
    </row>
    <row r="126" spans="31:31" ht="20.149999999999999" customHeight="1">
      <c r="AE126" s="20" t="str">
        <f t="shared" si="17"/>
        <v/>
      </c>
    </row>
    <row r="127" spans="31:31" ht="20.149999999999999" customHeight="1">
      <c r="AE127" s="20" t="str">
        <f t="shared" si="17"/>
        <v/>
      </c>
    </row>
    <row r="128" spans="31:31" ht="20.149999999999999" customHeight="1">
      <c r="AE128" s="20" t="str">
        <f t="shared" si="17"/>
        <v/>
      </c>
    </row>
    <row r="129" spans="31:31" ht="20.149999999999999" customHeight="1">
      <c r="AE129" s="20" t="str">
        <f t="shared" si="17"/>
        <v/>
      </c>
    </row>
    <row r="130" spans="31:31" ht="20.149999999999999" customHeight="1">
      <c r="AE130" s="20" t="str">
        <f t="shared" si="17"/>
        <v/>
      </c>
    </row>
    <row r="131" spans="31:31" ht="20.149999999999999" customHeight="1">
      <c r="AE131" s="20" t="str">
        <f t="shared" si="17"/>
        <v/>
      </c>
    </row>
    <row r="132" spans="31:31" ht="20.149999999999999" customHeight="1">
      <c r="AE132" s="20" t="str">
        <f t="shared" si="17"/>
        <v/>
      </c>
    </row>
    <row r="133" spans="31:31" ht="20.149999999999999" customHeight="1">
      <c r="AE133" s="20" t="str">
        <f t="shared" ref="AE133:AE196" si="32">CONCATENATE(Q133,R133,S133,T133,U133,V133,W133,X133,Y133,Z133,AA133,AB133,AC133,AD133)</f>
        <v/>
      </c>
    </row>
    <row r="134" spans="31:31" ht="20.149999999999999" customHeight="1">
      <c r="AE134" s="20" t="str">
        <f t="shared" si="32"/>
        <v/>
      </c>
    </row>
    <row r="135" spans="31:31" ht="20.149999999999999" customHeight="1">
      <c r="AE135" s="20" t="str">
        <f t="shared" si="32"/>
        <v/>
      </c>
    </row>
    <row r="136" spans="31:31" ht="20.149999999999999" customHeight="1">
      <c r="AE136" s="20" t="str">
        <f t="shared" si="32"/>
        <v/>
      </c>
    </row>
    <row r="137" spans="31:31" ht="20.149999999999999" customHeight="1">
      <c r="AE137" s="20" t="str">
        <f t="shared" si="32"/>
        <v/>
      </c>
    </row>
    <row r="138" spans="31:31" ht="20.149999999999999" customHeight="1">
      <c r="AE138" s="20" t="str">
        <f t="shared" si="32"/>
        <v/>
      </c>
    </row>
    <row r="139" spans="31:31" ht="20.149999999999999" customHeight="1">
      <c r="AE139" s="20" t="str">
        <f t="shared" si="32"/>
        <v/>
      </c>
    </row>
    <row r="140" spans="31:31" ht="20.149999999999999" customHeight="1">
      <c r="AE140" s="20" t="str">
        <f t="shared" si="32"/>
        <v/>
      </c>
    </row>
    <row r="141" spans="31:31" ht="20.149999999999999" customHeight="1">
      <c r="AE141" s="20" t="str">
        <f t="shared" si="32"/>
        <v/>
      </c>
    </row>
    <row r="142" spans="31:31" ht="20.149999999999999" customHeight="1">
      <c r="AE142" s="20" t="str">
        <f t="shared" si="32"/>
        <v/>
      </c>
    </row>
    <row r="143" spans="31:31" ht="20.149999999999999" customHeight="1">
      <c r="AE143" s="20" t="str">
        <f t="shared" si="32"/>
        <v/>
      </c>
    </row>
    <row r="144" spans="31:31" ht="20.149999999999999" customHeight="1">
      <c r="AE144" s="20" t="str">
        <f t="shared" si="32"/>
        <v/>
      </c>
    </row>
    <row r="145" spans="31:31" ht="20.149999999999999" customHeight="1">
      <c r="AE145" s="20" t="str">
        <f t="shared" si="32"/>
        <v/>
      </c>
    </row>
    <row r="146" spans="31:31" ht="20.149999999999999" customHeight="1">
      <c r="AE146" s="20" t="str">
        <f t="shared" si="32"/>
        <v/>
      </c>
    </row>
    <row r="147" spans="31:31" ht="20.149999999999999" customHeight="1">
      <c r="AE147" s="20" t="str">
        <f t="shared" si="32"/>
        <v/>
      </c>
    </row>
    <row r="148" spans="31:31" ht="20.149999999999999" customHeight="1">
      <c r="AE148" s="20" t="str">
        <f t="shared" si="32"/>
        <v/>
      </c>
    </row>
    <row r="149" spans="31:31" ht="20.149999999999999" customHeight="1">
      <c r="AE149" s="20" t="str">
        <f t="shared" si="32"/>
        <v/>
      </c>
    </row>
    <row r="150" spans="31:31" ht="20.149999999999999" customHeight="1">
      <c r="AE150" s="20" t="str">
        <f t="shared" si="32"/>
        <v/>
      </c>
    </row>
    <row r="151" spans="31:31" ht="20.149999999999999" customHeight="1">
      <c r="AE151" s="20" t="str">
        <f t="shared" si="32"/>
        <v/>
      </c>
    </row>
    <row r="152" spans="31:31" ht="20.149999999999999" customHeight="1">
      <c r="AE152" s="20" t="str">
        <f t="shared" si="32"/>
        <v/>
      </c>
    </row>
    <row r="153" spans="31:31" ht="20.149999999999999" customHeight="1">
      <c r="AE153" s="20" t="str">
        <f t="shared" si="32"/>
        <v/>
      </c>
    </row>
    <row r="154" spans="31:31" ht="20.149999999999999" customHeight="1">
      <c r="AE154" s="20" t="str">
        <f t="shared" si="32"/>
        <v/>
      </c>
    </row>
    <row r="155" spans="31:31" ht="20.149999999999999" customHeight="1">
      <c r="AE155" s="20" t="str">
        <f t="shared" si="32"/>
        <v/>
      </c>
    </row>
    <row r="156" spans="31:31" ht="20.149999999999999" customHeight="1">
      <c r="AE156" s="20" t="str">
        <f t="shared" si="32"/>
        <v/>
      </c>
    </row>
    <row r="157" spans="31:31" ht="20.149999999999999" customHeight="1">
      <c r="AE157" s="20" t="str">
        <f t="shared" si="32"/>
        <v/>
      </c>
    </row>
    <row r="158" spans="31:31" ht="20.149999999999999" customHeight="1">
      <c r="AE158" s="20" t="str">
        <f t="shared" si="32"/>
        <v/>
      </c>
    </row>
    <row r="159" spans="31:31" ht="20.149999999999999" customHeight="1">
      <c r="AE159" s="20" t="str">
        <f t="shared" si="32"/>
        <v/>
      </c>
    </row>
    <row r="160" spans="31:31" ht="20.149999999999999" customHeight="1">
      <c r="AE160" s="20" t="str">
        <f t="shared" si="32"/>
        <v/>
      </c>
    </row>
    <row r="161" spans="31:31" ht="20.149999999999999" customHeight="1">
      <c r="AE161" s="20" t="str">
        <f t="shared" si="32"/>
        <v/>
      </c>
    </row>
    <row r="162" spans="31:31" ht="20.149999999999999" customHeight="1">
      <c r="AE162" s="20" t="str">
        <f t="shared" si="32"/>
        <v/>
      </c>
    </row>
    <row r="163" spans="31:31" ht="20.149999999999999" customHeight="1">
      <c r="AE163" s="20" t="str">
        <f t="shared" si="32"/>
        <v/>
      </c>
    </row>
    <row r="164" spans="31:31" ht="20.149999999999999" customHeight="1">
      <c r="AE164" s="20" t="str">
        <f t="shared" si="32"/>
        <v/>
      </c>
    </row>
    <row r="165" spans="31:31" ht="20.149999999999999" customHeight="1">
      <c r="AE165" s="20" t="str">
        <f t="shared" si="32"/>
        <v/>
      </c>
    </row>
    <row r="166" spans="31:31" ht="20.149999999999999" customHeight="1">
      <c r="AE166" s="20" t="str">
        <f t="shared" si="32"/>
        <v/>
      </c>
    </row>
    <row r="167" spans="31:31" ht="20.149999999999999" customHeight="1">
      <c r="AE167" s="20" t="str">
        <f t="shared" si="32"/>
        <v/>
      </c>
    </row>
    <row r="168" spans="31:31" ht="20.149999999999999" customHeight="1">
      <c r="AE168" s="20" t="str">
        <f t="shared" si="32"/>
        <v/>
      </c>
    </row>
    <row r="169" spans="31:31" ht="20.149999999999999" customHeight="1">
      <c r="AE169" s="20" t="str">
        <f t="shared" si="32"/>
        <v/>
      </c>
    </row>
    <row r="170" spans="31:31" ht="20.149999999999999" customHeight="1">
      <c r="AE170" s="20" t="str">
        <f t="shared" si="32"/>
        <v/>
      </c>
    </row>
    <row r="171" spans="31:31" ht="20.149999999999999" customHeight="1">
      <c r="AE171" s="20" t="str">
        <f t="shared" si="32"/>
        <v/>
      </c>
    </row>
    <row r="172" spans="31:31" ht="20.149999999999999" customHeight="1">
      <c r="AE172" s="20" t="str">
        <f t="shared" si="32"/>
        <v/>
      </c>
    </row>
    <row r="173" spans="31:31" ht="20.149999999999999" customHeight="1">
      <c r="AE173" s="20" t="str">
        <f t="shared" si="32"/>
        <v/>
      </c>
    </row>
    <row r="174" spans="31:31" ht="20.149999999999999" customHeight="1">
      <c r="AE174" s="20" t="str">
        <f t="shared" si="32"/>
        <v/>
      </c>
    </row>
    <row r="175" spans="31:31" ht="20.149999999999999" customHeight="1">
      <c r="AE175" s="20" t="str">
        <f t="shared" si="32"/>
        <v/>
      </c>
    </row>
    <row r="176" spans="31:31" ht="20.149999999999999" customHeight="1">
      <c r="AE176" s="20" t="str">
        <f t="shared" si="32"/>
        <v/>
      </c>
    </row>
    <row r="177" spans="31:31" ht="20.149999999999999" customHeight="1">
      <c r="AE177" s="20" t="str">
        <f t="shared" si="32"/>
        <v/>
      </c>
    </row>
    <row r="178" spans="31:31" ht="20.149999999999999" customHeight="1">
      <c r="AE178" s="20" t="str">
        <f t="shared" si="32"/>
        <v/>
      </c>
    </row>
    <row r="179" spans="31:31" ht="20.149999999999999" customHeight="1">
      <c r="AE179" s="20" t="str">
        <f t="shared" si="32"/>
        <v/>
      </c>
    </row>
    <row r="180" spans="31:31" ht="20.149999999999999" customHeight="1">
      <c r="AE180" s="20" t="str">
        <f t="shared" si="32"/>
        <v/>
      </c>
    </row>
    <row r="181" spans="31:31" ht="20.149999999999999" customHeight="1">
      <c r="AE181" s="20" t="str">
        <f t="shared" si="32"/>
        <v/>
      </c>
    </row>
    <row r="182" spans="31:31" ht="20.149999999999999" customHeight="1">
      <c r="AE182" s="20" t="str">
        <f t="shared" si="32"/>
        <v/>
      </c>
    </row>
    <row r="183" spans="31:31" ht="20.149999999999999" customHeight="1">
      <c r="AE183" s="20" t="str">
        <f t="shared" si="32"/>
        <v/>
      </c>
    </row>
    <row r="184" spans="31:31" ht="20.149999999999999" customHeight="1">
      <c r="AE184" s="20" t="str">
        <f t="shared" si="32"/>
        <v/>
      </c>
    </row>
    <row r="185" spans="31:31" ht="20.149999999999999" customHeight="1">
      <c r="AE185" s="20" t="str">
        <f t="shared" si="32"/>
        <v/>
      </c>
    </row>
    <row r="186" spans="31:31" ht="20.149999999999999" customHeight="1">
      <c r="AE186" s="20" t="str">
        <f t="shared" si="32"/>
        <v/>
      </c>
    </row>
    <row r="187" spans="31:31" ht="20.149999999999999" customHeight="1">
      <c r="AE187" s="20" t="str">
        <f t="shared" si="32"/>
        <v/>
      </c>
    </row>
    <row r="188" spans="31:31" ht="20.149999999999999" customHeight="1">
      <c r="AE188" s="20" t="str">
        <f t="shared" si="32"/>
        <v/>
      </c>
    </row>
    <row r="189" spans="31:31" ht="20.149999999999999" customHeight="1">
      <c r="AE189" s="20" t="str">
        <f t="shared" si="32"/>
        <v/>
      </c>
    </row>
    <row r="190" spans="31:31" ht="20.149999999999999" customHeight="1">
      <c r="AE190" s="20" t="str">
        <f t="shared" si="32"/>
        <v/>
      </c>
    </row>
    <row r="191" spans="31:31" ht="20.149999999999999" customHeight="1">
      <c r="AE191" s="20" t="str">
        <f t="shared" si="32"/>
        <v/>
      </c>
    </row>
    <row r="192" spans="31:31" ht="20.149999999999999" customHeight="1">
      <c r="AE192" s="20" t="str">
        <f t="shared" si="32"/>
        <v/>
      </c>
    </row>
    <row r="193" spans="31:31" ht="20.149999999999999" customHeight="1">
      <c r="AE193" s="20" t="str">
        <f t="shared" si="32"/>
        <v/>
      </c>
    </row>
    <row r="194" spans="31:31" ht="20.149999999999999" customHeight="1">
      <c r="AE194" s="20" t="str">
        <f t="shared" si="32"/>
        <v/>
      </c>
    </row>
    <row r="195" spans="31:31" ht="20.149999999999999" customHeight="1">
      <c r="AE195" s="20" t="str">
        <f t="shared" si="32"/>
        <v/>
      </c>
    </row>
    <row r="196" spans="31:31" ht="20.149999999999999" customHeight="1">
      <c r="AE196" s="20" t="str">
        <f t="shared" si="32"/>
        <v/>
      </c>
    </row>
    <row r="197" spans="31:31" ht="20.149999999999999" customHeight="1">
      <c r="AE197" s="20" t="str">
        <f t="shared" ref="AE197:AE202" si="33">CONCATENATE(Q197,R197,S197,T197,U197,V197,W197,X197,Y197,Z197,AA197,AB197,AC197,AD197)</f>
        <v/>
      </c>
    </row>
    <row r="198" spans="31:31" ht="20.149999999999999" customHeight="1">
      <c r="AE198" s="20" t="str">
        <f t="shared" si="33"/>
        <v/>
      </c>
    </row>
    <row r="199" spans="31:31" ht="20.149999999999999" customHeight="1">
      <c r="AE199" s="20" t="str">
        <f t="shared" si="33"/>
        <v/>
      </c>
    </row>
    <row r="200" spans="31:31" ht="20.149999999999999" customHeight="1">
      <c r="AE200" s="20" t="str">
        <f t="shared" si="33"/>
        <v/>
      </c>
    </row>
    <row r="201" spans="31:31" ht="20.149999999999999" customHeight="1">
      <c r="AE201" s="20" t="str">
        <f t="shared" si="33"/>
        <v/>
      </c>
    </row>
    <row r="202" spans="31:31" ht="20.149999999999999" customHeight="1">
      <c r="AE202" s="20" t="str">
        <f t="shared" si="33"/>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4"/>
  <dimension ref="A1:B399"/>
  <sheetViews>
    <sheetView topLeftCell="C1" workbookViewId="0">
      <selection activeCell="E17" sqref="E17"/>
    </sheetView>
  </sheetViews>
  <sheetFormatPr defaultColWidth="9" defaultRowHeight="14.5"/>
  <cols>
    <col min="1" max="1" width="18.7265625" customWidth="1"/>
    <col min="2" max="2" width="25.1796875" customWidth="1"/>
  </cols>
  <sheetData>
    <row r="1" spans="1:2">
      <c r="A1" s="122" t="s">
        <v>31</v>
      </c>
      <c r="B1" s="122" t="s">
        <v>203</v>
      </c>
    </row>
    <row r="2" spans="1:2">
      <c r="A2" t="s">
        <v>674</v>
      </c>
      <c r="B2" t="s">
        <v>687</v>
      </c>
    </row>
    <row r="3" spans="1:2">
      <c r="A3" t="s">
        <v>674</v>
      </c>
      <c r="B3" t="s">
        <v>701</v>
      </c>
    </row>
    <row r="4" spans="1:2">
      <c r="A4" t="s">
        <v>674</v>
      </c>
      <c r="B4" t="s">
        <v>715</v>
      </c>
    </row>
    <row r="5" spans="1:2">
      <c r="A5" t="s">
        <v>674</v>
      </c>
      <c r="B5" t="s">
        <v>729</v>
      </c>
    </row>
    <row r="6" spans="1:2">
      <c r="A6" t="s">
        <v>674</v>
      </c>
      <c r="B6" t="s">
        <v>741</v>
      </c>
    </row>
    <row r="7" spans="1:2">
      <c r="A7" t="s">
        <v>674</v>
      </c>
      <c r="B7" t="s">
        <v>753</v>
      </c>
    </row>
    <row r="8" spans="1:2">
      <c r="A8" t="s">
        <v>674</v>
      </c>
      <c r="B8" t="s">
        <v>765</v>
      </c>
    </row>
    <row r="9" spans="1:2">
      <c r="A9" t="s">
        <v>674</v>
      </c>
      <c r="B9" t="s">
        <v>777</v>
      </c>
    </row>
    <row r="10" spans="1:2">
      <c r="A10" t="s">
        <v>674</v>
      </c>
      <c r="B10" t="s">
        <v>788</v>
      </c>
    </row>
    <row r="11" spans="1:2">
      <c r="A11" t="s">
        <v>674</v>
      </c>
      <c r="B11" t="s">
        <v>799</v>
      </c>
    </row>
    <row r="12" spans="1:2">
      <c r="A12" t="s">
        <v>674</v>
      </c>
      <c r="B12" t="s">
        <v>810</v>
      </c>
    </row>
    <row r="13" spans="1:2">
      <c r="A13" t="s">
        <v>674</v>
      </c>
      <c r="B13" t="s">
        <v>821</v>
      </c>
    </row>
    <row r="14" spans="1:2">
      <c r="A14" t="s">
        <v>674</v>
      </c>
      <c r="B14" t="s">
        <v>832</v>
      </c>
    </row>
    <row r="15" spans="1:2">
      <c r="A15" t="s">
        <v>674</v>
      </c>
      <c r="B15" t="s">
        <v>843</v>
      </c>
    </row>
    <row r="16" spans="1:2">
      <c r="A16" t="s">
        <v>674</v>
      </c>
      <c r="B16" t="s">
        <v>854</v>
      </c>
    </row>
    <row r="17" spans="1:2">
      <c r="A17" t="s">
        <v>674</v>
      </c>
      <c r="B17" t="s">
        <v>863</v>
      </c>
    </row>
    <row r="18" spans="1:2">
      <c r="A18" t="s">
        <v>674</v>
      </c>
      <c r="B18" t="s">
        <v>873</v>
      </c>
    </row>
    <row r="19" spans="1:2">
      <c r="A19" t="s">
        <v>674</v>
      </c>
      <c r="B19" t="s">
        <v>883</v>
      </c>
    </row>
    <row r="20" spans="1:2">
      <c r="A20" t="s">
        <v>674</v>
      </c>
      <c r="B20" t="s">
        <v>68</v>
      </c>
    </row>
    <row r="21" spans="1:2">
      <c r="A21" t="s">
        <v>674</v>
      </c>
      <c r="B21" t="s">
        <v>902</v>
      </c>
    </row>
    <row r="22" spans="1:2">
      <c r="A22" t="s">
        <v>674</v>
      </c>
      <c r="B22" t="s">
        <v>910</v>
      </c>
    </row>
    <row r="23" spans="1:2">
      <c r="A23" t="s">
        <v>674</v>
      </c>
      <c r="B23" t="s">
        <v>918</v>
      </c>
    </row>
    <row r="24" spans="1:2">
      <c r="A24" t="s">
        <v>674</v>
      </c>
      <c r="B24" t="s">
        <v>926</v>
      </c>
    </row>
    <row r="25" spans="1:2">
      <c r="A25" t="s">
        <v>674</v>
      </c>
      <c r="B25" t="s">
        <v>933</v>
      </c>
    </row>
    <row r="26" spans="1:2">
      <c r="A26" t="s">
        <v>674</v>
      </c>
      <c r="B26" t="s">
        <v>940</v>
      </c>
    </row>
    <row r="27" spans="1:2">
      <c r="A27" t="s">
        <v>674</v>
      </c>
      <c r="B27" t="s">
        <v>947</v>
      </c>
    </row>
    <row r="28" spans="1:2">
      <c r="A28" t="s">
        <v>674</v>
      </c>
      <c r="B28" t="s">
        <v>954</v>
      </c>
    </row>
    <row r="29" spans="1:2">
      <c r="A29" t="s">
        <v>674</v>
      </c>
      <c r="B29" t="s">
        <v>961</v>
      </c>
    </row>
    <row r="30" spans="1:2">
      <c r="A30" t="s">
        <v>674</v>
      </c>
      <c r="B30" t="s">
        <v>968</v>
      </c>
    </row>
    <row r="31" spans="1:2">
      <c r="A31" t="s">
        <v>674</v>
      </c>
      <c r="B31" t="s">
        <v>975</v>
      </c>
    </row>
    <row r="32" spans="1:2">
      <c r="A32" t="s">
        <v>674</v>
      </c>
      <c r="B32" t="s">
        <v>982</v>
      </c>
    </row>
    <row r="33" spans="1:2">
      <c r="A33" t="s">
        <v>675</v>
      </c>
      <c r="B33" t="s">
        <v>688</v>
      </c>
    </row>
    <row r="34" spans="1:2">
      <c r="A34" t="s">
        <v>675</v>
      </c>
      <c r="B34" t="s">
        <v>702</v>
      </c>
    </row>
    <row r="35" spans="1:2">
      <c r="A35" t="s">
        <v>675</v>
      </c>
      <c r="B35" t="s">
        <v>716</v>
      </c>
    </row>
    <row r="36" spans="1:2">
      <c r="A36" t="s">
        <v>675</v>
      </c>
      <c r="B36" t="s">
        <v>730</v>
      </c>
    </row>
    <row r="37" spans="1:2">
      <c r="A37" t="s">
        <v>675</v>
      </c>
      <c r="B37" t="s">
        <v>742</v>
      </c>
    </row>
    <row r="38" spans="1:2">
      <c r="A38" t="s">
        <v>675</v>
      </c>
      <c r="B38" t="s">
        <v>754</v>
      </c>
    </row>
    <row r="39" spans="1:2">
      <c r="A39" t="s">
        <v>675</v>
      </c>
      <c r="B39" t="s">
        <v>766</v>
      </c>
    </row>
    <row r="40" spans="1:2">
      <c r="A40" t="s">
        <v>675</v>
      </c>
      <c r="B40" t="s">
        <v>778</v>
      </c>
    </row>
    <row r="41" spans="1:2">
      <c r="A41" t="s">
        <v>675</v>
      </c>
      <c r="B41" t="s">
        <v>789</v>
      </c>
    </row>
    <row r="42" spans="1:2">
      <c r="A42" t="s">
        <v>675</v>
      </c>
      <c r="B42" t="s">
        <v>800</v>
      </c>
    </row>
    <row r="43" spans="1:2">
      <c r="A43" t="s">
        <v>675</v>
      </c>
      <c r="B43" t="s">
        <v>811</v>
      </c>
    </row>
    <row r="44" spans="1:2">
      <c r="A44" t="s">
        <v>675</v>
      </c>
      <c r="B44" t="s">
        <v>822</v>
      </c>
    </row>
    <row r="45" spans="1:2">
      <c r="A45" t="s">
        <v>675</v>
      </c>
      <c r="B45" t="s">
        <v>833</v>
      </c>
    </row>
    <row r="46" spans="1:2">
      <c r="A46" t="s">
        <v>675</v>
      </c>
      <c r="B46" t="s">
        <v>844</v>
      </c>
    </row>
    <row r="47" spans="1:2">
      <c r="A47" t="s">
        <v>675</v>
      </c>
      <c r="B47" t="s">
        <v>855</v>
      </c>
    </row>
    <row r="48" spans="1:2">
      <c r="A48" t="s">
        <v>675</v>
      </c>
      <c r="B48" t="s">
        <v>864</v>
      </c>
    </row>
    <row r="49" spans="1:2">
      <c r="A49" t="s">
        <v>675</v>
      </c>
      <c r="B49" t="s">
        <v>874</v>
      </c>
    </row>
    <row r="50" spans="1:2">
      <c r="A50" t="s">
        <v>675</v>
      </c>
      <c r="B50" t="s">
        <v>884</v>
      </c>
    </row>
    <row r="51" spans="1:2">
      <c r="A51" t="s">
        <v>675</v>
      </c>
      <c r="B51" t="s">
        <v>893</v>
      </c>
    </row>
    <row r="52" spans="1:2">
      <c r="A52" t="s">
        <v>676</v>
      </c>
      <c r="B52" t="s">
        <v>689</v>
      </c>
    </row>
    <row r="53" spans="1:2">
      <c r="A53" t="s">
        <v>676</v>
      </c>
      <c r="B53" t="s">
        <v>703</v>
      </c>
    </row>
    <row r="54" spans="1:2">
      <c r="A54" t="s">
        <v>676</v>
      </c>
      <c r="B54" t="s">
        <v>717</v>
      </c>
    </row>
    <row r="55" spans="1:2">
      <c r="A55" t="s">
        <v>677</v>
      </c>
      <c r="B55" t="s">
        <v>690</v>
      </c>
    </row>
    <row r="56" spans="1:2">
      <c r="A56" t="s">
        <v>677</v>
      </c>
      <c r="B56" t="s">
        <v>704</v>
      </c>
    </row>
    <row r="57" spans="1:2">
      <c r="A57" t="s">
        <v>677</v>
      </c>
      <c r="B57" t="s">
        <v>718</v>
      </c>
    </row>
    <row r="58" spans="1:2">
      <c r="A58" t="s">
        <v>677</v>
      </c>
      <c r="B58" t="s">
        <v>731</v>
      </c>
    </row>
    <row r="59" spans="1:2">
      <c r="A59" t="s">
        <v>677</v>
      </c>
      <c r="B59" t="s">
        <v>743</v>
      </c>
    </row>
    <row r="60" spans="1:2">
      <c r="A60" t="s">
        <v>677</v>
      </c>
      <c r="B60" t="s">
        <v>755</v>
      </c>
    </row>
    <row r="61" spans="1:2">
      <c r="A61" t="s">
        <v>677</v>
      </c>
      <c r="B61" t="s">
        <v>767</v>
      </c>
    </row>
    <row r="62" spans="1:2">
      <c r="A62" t="s">
        <v>677</v>
      </c>
      <c r="B62" t="s">
        <v>779</v>
      </c>
    </row>
    <row r="63" spans="1:2">
      <c r="A63" t="s">
        <v>677</v>
      </c>
      <c r="B63" t="s">
        <v>790</v>
      </c>
    </row>
    <row r="64" spans="1:2">
      <c r="A64" t="s">
        <v>677</v>
      </c>
      <c r="B64" t="s">
        <v>801</v>
      </c>
    </row>
    <row r="65" spans="1:2">
      <c r="A65" t="s">
        <v>677</v>
      </c>
      <c r="B65" t="s">
        <v>812</v>
      </c>
    </row>
    <row r="66" spans="1:2">
      <c r="A66" t="s">
        <v>677</v>
      </c>
      <c r="B66" t="s">
        <v>823</v>
      </c>
    </row>
    <row r="67" spans="1:2">
      <c r="A67" t="s">
        <v>677</v>
      </c>
      <c r="B67" t="s">
        <v>834</v>
      </c>
    </row>
    <row r="68" spans="1:2">
      <c r="A68" t="s">
        <v>677</v>
      </c>
      <c r="B68" t="s">
        <v>845</v>
      </c>
    </row>
    <row r="69" spans="1:2">
      <c r="A69" t="s">
        <v>677</v>
      </c>
      <c r="B69" t="s">
        <v>856</v>
      </c>
    </row>
    <row r="70" spans="1:2">
      <c r="A70" t="s">
        <v>677</v>
      </c>
      <c r="B70" t="s">
        <v>865</v>
      </c>
    </row>
    <row r="71" spans="1:2">
      <c r="A71" t="s">
        <v>677</v>
      </c>
      <c r="B71" t="s">
        <v>875</v>
      </c>
    </row>
    <row r="72" spans="1:2">
      <c r="A72" t="s">
        <v>677</v>
      </c>
      <c r="B72" t="s">
        <v>885</v>
      </c>
    </row>
    <row r="73" spans="1:2">
      <c r="A73" t="s">
        <v>677</v>
      </c>
      <c r="B73" t="s">
        <v>894</v>
      </c>
    </row>
    <row r="74" spans="1:2">
      <c r="A74" t="s">
        <v>677</v>
      </c>
      <c r="B74" t="s">
        <v>903</v>
      </c>
    </row>
    <row r="75" spans="1:2">
      <c r="A75" t="s">
        <v>677</v>
      </c>
      <c r="B75" t="s">
        <v>911</v>
      </c>
    </row>
    <row r="76" spans="1:2">
      <c r="A76" t="s">
        <v>677</v>
      </c>
      <c r="B76" t="s">
        <v>919</v>
      </c>
    </row>
    <row r="77" spans="1:2">
      <c r="A77" t="s">
        <v>677</v>
      </c>
      <c r="B77" t="s">
        <v>927</v>
      </c>
    </row>
    <row r="78" spans="1:2">
      <c r="A78" t="s">
        <v>677</v>
      </c>
      <c r="B78" t="s">
        <v>934</v>
      </c>
    </row>
    <row r="79" spans="1:2">
      <c r="A79" t="s">
        <v>677</v>
      </c>
      <c r="B79" t="s">
        <v>941</v>
      </c>
    </row>
    <row r="80" spans="1:2">
      <c r="A80" t="s">
        <v>677</v>
      </c>
      <c r="B80" t="s">
        <v>948</v>
      </c>
    </row>
    <row r="81" spans="1:2">
      <c r="A81" t="s">
        <v>677</v>
      </c>
      <c r="B81" t="s">
        <v>955</v>
      </c>
    </row>
    <row r="82" spans="1:2">
      <c r="A82" t="s">
        <v>677</v>
      </c>
      <c r="B82" t="s">
        <v>962</v>
      </c>
    </row>
    <row r="83" spans="1:2">
      <c r="A83" t="s">
        <v>677</v>
      </c>
      <c r="B83" t="s">
        <v>969</v>
      </c>
    </row>
    <row r="84" spans="1:2">
      <c r="A84" t="s">
        <v>677</v>
      </c>
      <c r="B84" t="s">
        <v>976</v>
      </c>
    </row>
    <row r="85" spans="1:2">
      <c r="A85" t="s">
        <v>677</v>
      </c>
      <c r="B85" t="s">
        <v>983</v>
      </c>
    </row>
    <row r="86" spans="1:2">
      <c r="A86" t="s">
        <v>678</v>
      </c>
      <c r="B86" t="s">
        <v>691</v>
      </c>
    </row>
    <row r="87" spans="1:2">
      <c r="A87" t="s">
        <v>678</v>
      </c>
      <c r="B87" t="s">
        <v>705</v>
      </c>
    </row>
    <row r="88" spans="1:2">
      <c r="A88" t="s">
        <v>678</v>
      </c>
      <c r="B88" t="s">
        <v>719</v>
      </c>
    </row>
    <row r="89" spans="1:2">
      <c r="A89" t="s">
        <v>678</v>
      </c>
      <c r="B89" t="s">
        <v>732</v>
      </c>
    </row>
    <row r="90" spans="1:2">
      <c r="A90" t="s">
        <v>678</v>
      </c>
      <c r="B90" t="s">
        <v>744</v>
      </c>
    </row>
    <row r="91" spans="1:2">
      <c r="A91" t="s">
        <v>678</v>
      </c>
      <c r="B91" t="s">
        <v>756</v>
      </c>
    </row>
    <row r="92" spans="1:2">
      <c r="A92" t="s">
        <v>678</v>
      </c>
      <c r="B92" t="s">
        <v>768</v>
      </c>
    </row>
    <row r="93" spans="1:2">
      <c r="A93" t="s">
        <v>678</v>
      </c>
      <c r="B93" t="s">
        <v>780</v>
      </c>
    </row>
    <row r="94" spans="1:2">
      <c r="A94" t="s">
        <v>678</v>
      </c>
      <c r="B94" t="s">
        <v>791</v>
      </c>
    </row>
    <row r="95" spans="1:2">
      <c r="A95" t="s">
        <v>678</v>
      </c>
      <c r="B95" t="s">
        <v>802</v>
      </c>
    </row>
    <row r="96" spans="1:2">
      <c r="A96" t="s">
        <v>678</v>
      </c>
      <c r="B96" t="s">
        <v>813</v>
      </c>
    </row>
    <row r="97" spans="1:2">
      <c r="A97" t="s">
        <v>678</v>
      </c>
      <c r="B97" t="s">
        <v>824</v>
      </c>
    </row>
    <row r="98" spans="1:2">
      <c r="A98" t="s">
        <v>678</v>
      </c>
      <c r="B98" t="s">
        <v>835</v>
      </c>
    </row>
    <row r="99" spans="1:2">
      <c r="A99" t="s">
        <v>678</v>
      </c>
      <c r="B99" t="s">
        <v>846</v>
      </c>
    </row>
    <row r="100" spans="1:2">
      <c r="A100" t="s">
        <v>678</v>
      </c>
      <c r="B100" t="s">
        <v>857</v>
      </c>
    </row>
    <row r="101" spans="1:2">
      <c r="A101" t="s">
        <v>678</v>
      </c>
      <c r="B101" t="s">
        <v>866</v>
      </c>
    </row>
    <row r="102" spans="1:2">
      <c r="A102" t="s">
        <v>678</v>
      </c>
      <c r="B102" t="s">
        <v>876</v>
      </c>
    </row>
    <row r="103" spans="1:2">
      <c r="A103" t="s">
        <v>678</v>
      </c>
      <c r="B103" t="s">
        <v>886</v>
      </c>
    </row>
    <row r="104" spans="1:2">
      <c r="A104" t="s">
        <v>678</v>
      </c>
      <c r="B104" t="s">
        <v>895</v>
      </c>
    </row>
    <row r="105" spans="1:2">
      <c r="A105" t="s">
        <v>678</v>
      </c>
      <c r="B105" t="s">
        <v>904</v>
      </c>
    </row>
    <row r="106" spans="1:2">
      <c r="A106" t="s">
        <v>678</v>
      </c>
      <c r="B106" t="s">
        <v>912</v>
      </c>
    </row>
    <row r="107" spans="1:2">
      <c r="A107" t="s">
        <v>678</v>
      </c>
      <c r="B107" t="s">
        <v>920</v>
      </c>
    </row>
    <row r="108" spans="1:2">
      <c r="A108" t="s">
        <v>679</v>
      </c>
      <c r="B108" t="s">
        <v>692</v>
      </c>
    </row>
    <row r="109" spans="1:2">
      <c r="A109" t="s">
        <v>679</v>
      </c>
      <c r="B109" t="s">
        <v>706</v>
      </c>
    </row>
    <row r="110" spans="1:2">
      <c r="A110" t="s">
        <v>679</v>
      </c>
      <c r="B110" t="s">
        <v>720</v>
      </c>
    </row>
    <row r="111" spans="1:2">
      <c r="A111" t="s">
        <v>680</v>
      </c>
      <c r="B111" t="s">
        <v>693</v>
      </c>
    </row>
    <row r="112" spans="1:2">
      <c r="A112" t="s">
        <v>680</v>
      </c>
      <c r="B112" t="s">
        <v>707</v>
      </c>
    </row>
    <row r="113" spans="1:2">
      <c r="A113" t="s">
        <v>680</v>
      </c>
      <c r="B113" t="s">
        <v>721</v>
      </c>
    </row>
    <row r="114" spans="1:2">
      <c r="A114" t="s">
        <v>680</v>
      </c>
      <c r="B114" t="s">
        <v>733</v>
      </c>
    </row>
    <row r="115" spans="1:2">
      <c r="A115" t="s">
        <v>680</v>
      </c>
      <c r="B115" t="s">
        <v>745</v>
      </c>
    </row>
    <row r="116" spans="1:2">
      <c r="A116" t="s">
        <v>680</v>
      </c>
      <c r="B116" t="s">
        <v>757</v>
      </c>
    </row>
    <row r="117" spans="1:2">
      <c r="A117" t="s">
        <v>680</v>
      </c>
      <c r="B117" t="s">
        <v>769</v>
      </c>
    </row>
    <row r="118" spans="1:2">
      <c r="A118" t="s">
        <v>680</v>
      </c>
      <c r="B118" t="s">
        <v>781</v>
      </c>
    </row>
    <row r="119" spans="1:2">
      <c r="A119" t="s">
        <v>680</v>
      </c>
      <c r="B119" t="s">
        <v>792</v>
      </c>
    </row>
    <row r="120" spans="1:2">
      <c r="A120" t="s">
        <v>680</v>
      </c>
      <c r="B120" t="s">
        <v>803</v>
      </c>
    </row>
    <row r="121" spans="1:2">
      <c r="A121" t="s">
        <v>680</v>
      </c>
      <c r="B121" t="s">
        <v>814</v>
      </c>
    </row>
    <row r="122" spans="1:2">
      <c r="A122" t="s">
        <v>680</v>
      </c>
      <c r="B122" t="s">
        <v>825</v>
      </c>
    </row>
    <row r="123" spans="1:2">
      <c r="A123" t="s">
        <v>680</v>
      </c>
      <c r="B123" t="s">
        <v>836</v>
      </c>
    </row>
    <row r="124" spans="1:2">
      <c r="A124" t="s">
        <v>680</v>
      </c>
      <c r="B124" t="s">
        <v>847</v>
      </c>
    </row>
    <row r="125" spans="1:2">
      <c r="A125" t="s">
        <v>680</v>
      </c>
      <c r="B125" t="s">
        <v>817</v>
      </c>
    </row>
    <row r="126" spans="1:2">
      <c r="A126" t="s">
        <v>680</v>
      </c>
      <c r="B126" t="s">
        <v>867</v>
      </c>
    </row>
    <row r="127" spans="1:2">
      <c r="A127" t="s">
        <v>680</v>
      </c>
      <c r="B127" t="s">
        <v>877</v>
      </c>
    </row>
    <row r="128" spans="1:2">
      <c r="A128" t="s">
        <v>680</v>
      </c>
      <c r="B128" t="s">
        <v>887</v>
      </c>
    </row>
    <row r="129" spans="1:2">
      <c r="A129" t="s">
        <v>680</v>
      </c>
      <c r="B129" t="s">
        <v>896</v>
      </c>
    </row>
    <row r="130" spans="1:2">
      <c r="A130" t="s">
        <v>680</v>
      </c>
      <c r="B130" t="s">
        <v>905</v>
      </c>
    </row>
    <row r="131" spans="1:2">
      <c r="A131" t="s">
        <v>680</v>
      </c>
      <c r="B131" t="s">
        <v>913</v>
      </c>
    </row>
    <row r="132" spans="1:2">
      <c r="A132" t="s">
        <v>680</v>
      </c>
      <c r="B132" t="s">
        <v>921</v>
      </c>
    </row>
    <row r="133" spans="1:2">
      <c r="A133" t="s">
        <v>680</v>
      </c>
      <c r="B133" t="s">
        <v>928</v>
      </c>
    </row>
    <row r="134" spans="1:2">
      <c r="A134" t="s">
        <v>680</v>
      </c>
      <c r="B134" t="s">
        <v>935</v>
      </c>
    </row>
    <row r="135" spans="1:2">
      <c r="A135" t="s">
        <v>680</v>
      </c>
      <c r="B135" t="s">
        <v>942</v>
      </c>
    </row>
    <row r="136" spans="1:2">
      <c r="A136" t="s">
        <v>680</v>
      </c>
      <c r="B136" t="s">
        <v>949</v>
      </c>
    </row>
    <row r="137" spans="1:2">
      <c r="A137" t="s">
        <v>680</v>
      </c>
      <c r="B137" t="s">
        <v>956</v>
      </c>
    </row>
    <row r="138" spans="1:2">
      <c r="A138" t="s">
        <v>680</v>
      </c>
      <c r="B138" t="s">
        <v>963</v>
      </c>
    </row>
    <row r="139" spans="1:2">
      <c r="A139" t="s">
        <v>680</v>
      </c>
      <c r="B139" t="s">
        <v>970</v>
      </c>
    </row>
    <row r="140" spans="1:2">
      <c r="A140" t="s">
        <v>680</v>
      </c>
      <c r="B140" t="s">
        <v>977</v>
      </c>
    </row>
    <row r="141" spans="1:2">
      <c r="A141" t="s">
        <v>680</v>
      </c>
      <c r="B141" t="s">
        <v>984</v>
      </c>
    </row>
    <row r="142" spans="1:2">
      <c r="A142" t="s">
        <v>680</v>
      </c>
      <c r="B142" t="s">
        <v>989</v>
      </c>
    </row>
    <row r="143" spans="1:2">
      <c r="A143" t="s">
        <v>680</v>
      </c>
      <c r="B143" t="s">
        <v>994</v>
      </c>
    </row>
    <row r="144" spans="1:2">
      <c r="A144" t="s">
        <v>680</v>
      </c>
      <c r="B144" t="s">
        <v>999</v>
      </c>
    </row>
    <row r="145" spans="1:2">
      <c r="A145" t="s">
        <v>680</v>
      </c>
      <c r="B145" t="s">
        <v>1004</v>
      </c>
    </row>
    <row r="146" spans="1:2">
      <c r="A146" t="s">
        <v>680</v>
      </c>
      <c r="B146" t="s">
        <v>1009</v>
      </c>
    </row>
    <row r="147" spans="1:2">
      <c r="A147" t="s">
        <v>680</v>
      </c>
      <c r="B147" t="s">
        <v>1014</v>
      </c>
    </row>
    <row r="148" spans="1:2">
      <c r="A148" t="s">
        <v>680</v>
      </c>
      <c r="B148" t="s">
        <v>1019</v>
      </c>
    </row>
    <row r="149" spans="1:2">
      <c r="A149" t="s">
        <v>680</v>
      </c>
      <c r="B149" t="s">
        <v>1024</v>
      </c>
    </row>
    <row r="150" spans="1:2">
      <c r="A150" t="s">
        <v>680</v>
      </c>
      <c r="B150" t="s">
        <v>1029</v>
      </c>
    </row>
    <row r="151" spans="1:2">
      <c r="A151" t="s">
        <v>680</v>
      </c>
      <c r="B151" t="s">
        <v>1034</v>
      </c>
    </row>
    <row r="152" spans="1:2">
      <c r="A152" t="s">
        <v>680</v>
      </c>
      <c r="B152" t="s">
        <v>1038</v>
      </c>
    </row>
    <row r="153" spans="1:2">
      <c r="A153" t="s">
        <v>680</v>
      </c>
      <c r="B153" t="s">
        <v>1042</v>
      </c>
    </row>
    <row r="154" spans="1:2">
      <c r="A154" t="s">
        <v>681</v>
      </c>
      <c r="B154" t="s">
        <v>694</v>
      </c>
    </row>
    <row r="155" spans="1:2">
      <c r="A155" t="s">
        <v>681</v>
      </c>
      <c r="B155" t="s">
        <v>708</v>
      </c>
    </row>
    <row r="156" spans="1:2">
      <c r="A156" t="s">
        <v>681</v>
      </c>
      <c r="B156" t="s">
        <v>722</v>
      </c>
    </row>
    <row r="157" spans="1:2">
      <c r="A157" t="s">
        <v>681</v>
      </c>
      <c r="B157" t="s">
        <v>734</v>
      </c>
    </row>
    <row r="158" spans="1:2">
      <c r="A158" t="s">
        <v>681</v>
      </c>
      <c r="B158" t="s">
        <v>746</v>
      </c>
    </row>
    <row r="159" spans="1:2">
      <c r="A159" t="s">
        <v>681</v>
      </c>
      <c r="B159" t="s">
        <v>758</v>
      </c>
    </row>
    <row r="160" spans="1:2">
      <c r="A160" t="s">
        <v>681</v>
      </c>
      <c r="B160" t="s">
        <v>770</v>
      </c>
    </row>
    <row r="161" spans="1:2">
      <c r="A161" t="s">
        <v>681</v>
      </c>
      <c r="B161" t="s">
        <v>782</v>
      </c>
    </row>
    <row r="162" spans="1:2">
      <c r="A162" t="s">
        <v>681</v>
      </c>
      <c r="B162" t="s">
        <v>793</v>
      </c>
    </row>
    <row r="163" spans="1:2">
      <c r="A163" t="s">
        <v>681</v>
      </c>
      <c r="B163" t="s">
        <v>804</v>
      </c>
    </row>
    <row r="164" spans="1:2">
      <c r="A164" t="s">
        <v>681</v>
      </c>
      <c r="B164" t="s">
        <v>815</v>
      </c>
    </row>
    <row r="165" spans="1:2">
      <c r="A165" t="s">
        <v>681</v>
      </c>
      <c r="B165" t="s">
        <v>826</v>
      </c>
    </row>
    <row r="166" spans="1:2">
      <c r="A166" t="s">
        <v>681</v>
      </c>
      <c r="B166" t="s">
        <v>837</v>
      </c>
    </row>
    <row r="167" spans="1:2">
      <c r="A167" t="s">
        <v>681</v>
      </c>
      <c r="B167" t="s">
        <v>848</v>
      </c>
    </row>
    <row r="168" spans="1:2">
      <c r="A168" t="s">
        <v>681</v>
      </c>
      <c r="B168" t="s">
        <v>858</v>
      </c>
    </row>
    <row r="169" spans="1:2">
      <c r="A169" t="s">
        <v>681</v>
      </c>
      <c r="B169" t="s">
        <v>868</v>
      </c>
    </row>
    <row r="170" spans="1:2">
      <c r="A170" t="s">
        <v>681</v>
      </c>
      <c r="B170" t="s">
        <v>878</v>
      </c>
    </row>
    <row r="171" spans="1:2">
      <c r="A171" t="s">
        <v>681</v>
      </c>
      <c r="B171" t="s">
        <v>888</v>
      </c>
    </row>
    <row r="172" spans="1:2">
      <c r="A172" t="s">
        <v>681</v>
      </c>
      <c r="B172" t="s">
        <v>897</v>
      </c>
    </row>
    <row r="173" spans="1:2">
      <c r="A173" t="s">
        <v>681</v>
      </c>
      <c r="B173" t="s">
        <v>906</v>
      </c>
    </row>
    <row r="174" spans="1:2">
      <c r="A174" t="s">
        <v>681</v>
      </c>
      <c r="B174" t="s">
        <v>914</v>
      </c>
    </row>
    <row r="175" spans="1:2">
      <c r="A175" t="s">
        <v>681</v>
      </c>
      <c r="B175" t="s">
        <v>922</v>
      </c>
    </row>
    <row r="176" spans="1:2">
      <c r="A176" t="s">
        <v>681</v>
      </c>
      <c r="B176" t="s">
        <v>929</v>
      </c>
    </row>
    <row r="177" spans="1:2">
      <c r="A177" t="s">
        <v>681</v>
      </c>
      <c r="B177" t="s">
        <v>936</v>
      </c>
    </row>
    <row r="178" spans="1:2">
      <c r="A178" t="s">
        <v>681</v>
      </c>
      <c r="B178" t="s">
        <v>943</v>
      </c>
    </row>
    <row r="179" spans="1:2">
      <c r="A179" t="s">
        <v>681</v>
      </c>
      <c r="B179" t="s">
        <v>950</v>
      </c>
    </row>
    <row r="180" spans="1:2">
      <c r="A180" t="s">
        <v>681</v>
      </c>
      <c r="B180" t="s">
        <v>957</v>
      </c>
    </row>
    <row r="181" spans="1:2">
      <c r="A181" t="s">
        <v>681</v>
      </c>
      <c r="B181" t="s">
        <v>964</v>
      </c>
    </row>
    <row r="182" spans="1:2">
      <c r="A182" t="s">
        <v>681</v>
      </c>
      <c r="B182" t="s">
        <v>971</v>
      </c>
    </row>
    <row r="183" spans="1:2">
      <c r="A183" t="s">
        <v>681</v>
      </c>
      <c r="B183" t="s">
        <v>978</v>
      </c>
    </row>
    <row r="184" spans="1:2">
      <c r="A184" t="s">
        <v>681</v>
      </c>
      <c r="B184" t="s">
        <v>985</v>
      </c>
    </row>
    <row r="185" spans="1:2">
      <c r="A185" t="s">
        <v>681</v>
      </c>
      <c r="B185" t="s">
        <v>990</v>
      </c>
    </row>
    <row r="186" spans="1:2">
      <c r="A186" t="s">
        <v>681</v>
      </c>
      <c r="B186" t="s">
        <v>995</v>
      </c>
    </row>
    <row r="187" spans="1:2">
      <c r="A187" t="s">
        <v>681</v>
      </c>
      <c r="B187" t="s">
        <v>1000</v>
      </c>
    </row>
    <row r="188" spans="1:2">
      <c r="A188" t="s">
        <v>681</v>
      </c>
      <c r="B188" t="s">
        <v>1005</v>
      </c>
    </row>
    <row r="189" spans="1:2">
      <c r="A189" t="s">
        <v>681</v>
      </c>
      <c r="B189" t="s">
        <v>1010</v>
      </c>
    </row>
    <row r="190" spans="1:2">
      <c r="A190" t="s">
        <v>681</v>
      </c>
      <c r="B190" t="s">
        <v>1015</v>
      </c>
    </row>
    <row r="191" spans="1:2">
      <c r="A191" t="s">
        <v>681</v>
      </c>
      <c r="B191" t="s">
        <v>1020</v>
      </c>
    </row>
    <row r="192" spans="1:2">
      <c r="A192" t="s">
        <v>681</v>
      </c>
      <c r="B192" t="s">
        <v>1025</v>
      </c>
    </row>
    <row r="193" spans="1:2">
      <c r="A193" t="s">
        <v>681</v>
      </c>
      <c r="B193" t="s">
        <v>1030</v>
      </c>
    </row>
    <row r="194" spans="1:2">
      <c r="A194" t="s">
        <v>681</v>
      </c>
      <c r="B194" t="s">
        <v>1035</v>
      </c>
    </row>
    <row r="195" spans="1:2">
      <c r="A195" t="s">
        <v>681</v>
      </c>
      <c r="B195" t="s">
        <v>1039</v>
      </c>
    </row>
    <row r="196" spans="1:2">
      <c r="A196" t="s">
        <v>681</v>
      </c>
      <c r="B196" t="s">
        <v>1043</v>
      </c>
    </row>
    <row r="197" spans="1:2">
      <c r="A197" t="s">
        <v>681</v>
      </c>
      <c r="B197" t="s">
        <v>1046</v>
      </c>
    </row>
    <row r="198" spans="1:2">
      <c r="A198" t="s">
        <v>681</v>
      </c>
      <c r="B198" t="s">
        <v>1049</v>
      </c>
    </row>
    <row r="199" spans="1:2">
      <c r="A199" t="s">
        <v>681</v>
      </c>
      <c r="B199" t="s">
        <v>1052</v>
      </c>
    </row>
    <row r="200" spans="1:2">
      <c r="A200" t="s">
        <v>681</v>
      </c>
      <c r="B200" t="s">
        <v>1054</v>
      </c>
    </row>
    <row r="201" spans="1:2">
      <c r="A201" t="s">
        <v>681</v>
      </c>
      <c r="B201" t="s">
        <v>1056</v>
      </c>
    </row>
    <row r="202" spans="1:2">
      <c r="A202" t="s">
        <v>681</v>
      </c>
      <c r="B202" t="s">
        <v>1058</v>
      </c>
    </row>
    <row r="203" spans="1:2">
      <c r="A203" t="s">
        <v>681</v>
      </c>
      <c r="B203" t="s">
        <v>1060</v>
      </c>
    </row>
    <row r="204" spans="1:2">
      <c r="A204" t="s">
        <v>681</v>
      </c>
      <c r="B204" t="s">
        <v>1062</v>
      </c>
    </row>
    <row r="205" spans="1:2">
      <c r="A205" t="s">
        <v>681</v>
      </c>
      <c r="B205" t="s">
        <v>1064</v>
      </c>
    </row>
    <row r="206" spans="1:2">
      <c r="A206" t="s">
        <v>681</v>
      </c>
      <c r="B206" t="s">
        <v>1066</v>
      </c>
    </row>
    <row r="207" spans="1:2">
      <c r="A207" t="s">
        <v>681</v>
      </c>
      <c r="B207" t="s">
        <v>1067</v>
      </c>
    </row>
    <row r="208" spans="1:2">
      <c r="A208" t="s">
        <v>681</v>
      </c>
      <c r="B208" t="s">
        <v>1068</v>
      </c>
    </row>
    <row r="209" spans="1:2">
      <c r="A209" t="s">
        <v>681</v>
      </c>
      <c r="B209" t="s">
        <v>1069</v>
      </c>
    </row>
    <row r="210" spans="1:2">
      <c r="A210" t="s">
        <v>681</v>
      </c>
      <c r="B210" t="s">
        <v>1070</v>
      </c>
    </row>
    <row r="211" spans="1:2">
      <c r="A211" t="s">
        <v>681</v>
      </c>
      <c r="B211" t="s">
        <v>1071</v>
      </c>
    </row>
    <row r="212" spans="1:2">
      <c r="A212" t="s">
        <v>681</v>
      </c>
      <c r="B212" t="s">
        <v>1072</v>
      </c>
    </row>
    <row r="213" spans="1:2">
      <c r="A213" t="s">
        <v>681</v>
      </c>
      <c r="B213" t="s">
        <v>1073</v>
      </c>
    </row>
    <row r="214" spans="1:2">
      <c r="A214" t="s">
        <v>681</v>
      </c>
      <c r="B214" t="s">
        <v>1074</v>
      </c>
    </row>
    <row r="215" spans="1:2">
      <c r="A215" t="s">
        <v>681</v>
      </c>
      <c r="B215" t="s">
        <v>1075</v>
      </c>
    </row>
    <row r="216" spans="1:2">
      <c r="A216" t="s">
        <v>681</v>
      </c>
      <c r="B216" t="s">
        <v>1076</v>
      </c>
    </row>
    <row r="217" spans="1:2">
      <c r="A217" t="s">
        <v>681</v>
      </c>
      <c r="B217" t="s">
        <v>1077</v>
      </c>
    </row>
    <row r="218" spans="1:2">
      <c r="A218" t="s">
        <v>681</v>
      </c>
      <c r="B218" t="s">
        <v>1078</v>
      </c>
    </row>
    <row r="219" spans="1:2">
      <c r="A219" t="s">
        <v>681</v>
      </c>
      <c r="B219" t="s">
        <v>1079</v>
      </c>
    </row>
    <row r="220" spans="1:2">
      <c r="A220" t="s">
        <v>681</v>
      </c>
      <c r="B220" t="s">
        <v>1080</v>
      </c>
    </row>
    <row r="221" spans="1:2">
      <c r="A221" t="s">
        <v>681</v>
      </c>
      <c r="B221" t="s">
        <v>1081</v>
      </c>
    </row>
    <row r="222" spans="1:2">
      <c r="A222" t="s">
        <v>681</v>
      </c>
      <c r="B222" t="s">
        <v>1082</v>
      </c>
    </row>
    <row r="223" spans="1:2">
      <c r="A223" t="s">
        <v>682</v>
      </c>
      <c r="B223" t="s">
        <v>695</v>
      </c>
    </row>
    <row r="224" spans="1:2">
      <c r="A224" t="s">
        <v>682</v>
      </c>
      <c r="B224" t="s">
        <v>709</v>
      </c>
    </row>
    <row r="225" spans="1:2">
      <c r="A225" t="s">
        <v>682</v>
      </c>
      <c r="B225" t="s">
        <v>723</v>
      </c>
    </row>
    <row r="226" spans="1:2">
      <c r="A226" t="s">
        <v>682</v>
      </c>
      <c r="B226" t="s">
        <v>735</v>
      </c>
    </row>
    <row r="227" spans="1:2">
      <c r="A227" t="s">
        <v>682</v>
      </c>
      <c r="B227" t="s">
        <v>747</v>
      </c>
    </row>
    <row r="228" spans="1:2">
      <c r="A228" t="s">
        <v>682</v>
      </c>
      <c r="B228" t="s">
        <v>759</v>
      </c>
    </row>
    <row r="229" spans="1:2">
      <c r="A229" t="s">
        <v>682</v>
      </c>
      <c r="B229" t="s">
        <v>771</v>
      </c>
    </row>
    <row r="230" spans="1:2">
      <c r="A230" t="s">
        <v>682</v>
      </c>
      <c r="B230" t="s">
        <v>783</v>
      </c>
    </row>
    <row r="231" spans="1:2">
      <c r="A231" t="s">
        <v>682</v>
      </c>
      <c r="B231" t="s">
        <v>794</v>
      </c>
    </row>
    <row r="232" spans="1:2">
      <c r="A232" t="s">
        <v>682</v>
      </c>
      <c r="B232" t="s">
        <v>805</v>
      </c>
    </row>
    <row r="233" spans="1:2">
      <c r="A233" t="s">
        <v>682</v>
      </c>
      <c r="B233" t="s">
        <v>816</v>
      </c>
    </row>
    <row r="234" spans="1:2">
      <c r="A234" t="s">
        <v>682</v>
      </c>
      <c r="B234" t="s">
        <v>827</v>
      </c>
    </row>
    <row r="235" spans="1:2">
      <c r="A235" t="s">
        <v>682</v>
      </c>
      <c r="B235" t="s">
        <v>838</v>
      </c>
    </row>
    <row r="236" spans="1:2">
      <c r="A236" t="s">
        <v>682</v>
      </c>
      <c r="B236" t="s">
        <v>849</v>
      </c>
    </row>
    <row r="237" spans="1:2">
      <c r="A237" t="s">
        <v>682</v>
      </c>
      <c r="B237" t="s">
        <v>859</v>
      </c>
    </row>
    <row r="238" spans="1:2">
      <c r="A238" t="s">
        <v>682</v>
      </c>
      <c r="B238" t="s">
        <v>869</v>
      </c>
    </row>
    <row r="239" spans="1:2">
      <c r="A239" t="s">
        <v>682</v>
      </c>
      <c r="B239" t="s">
        <v>879</v>
      </c>
    </row>
    <row r="240" spans="1:2">
      <c r="A240" t="s">
        <v>682</v>
      </c>
      <c r="B240" t="s">
        <v>889</v>
      </c>
    </row>
    <row r="241" spans="1:2">
      <c r="A241" t="s">
        <v>682</v>
      </c>
      <c r="B241" t="s">
        <v>898</v>
      </c>
    </row>
    <row r="242" spans="1:2">
      <c r="A242" t="s">
        <v>683</v>
      </c>
      <c r="B242" t="s">
        <v>696</v>
      </c>
    </row>
    <row r="243" spans="1:2">
      <c r="A243" t="s">
        <v>683</v>
      </c>
      <c r="B243" t="s">
        <v>710</v>
      </c>
    </row>
    <row r="244" spans="1:2">
      <c r="A244" t="s">
        <v>683</v>
      </c>
      <c r="B244" t="s">
        <v>724</v>
      </c>
    </row>
    <row r="245" spans="1:2">
      <c r="A245" t="s">
        <v>683</v>
      </c>
      <c r="B245" t="s">
        <v>736</v>
      </c>
    </row>
    <row r="246" spans="1:2">
      <c r="A246" t="s">
        <v>683</v>
      </c>
      <c r="B246" t="s">
        <v>748</v>
      </c>
    </row>
    <row r="247" spans="1:2">
      <c r="A247" t="s">
        <v>683</v>
      </c>
      <c r="B247" t="s">
        <v>760</v>
      </c>
    </row>
    <row r="248" spans="1:2">
      <c r="A248" t="s">
        <v>683</v>
      </c>
      <c r="B248" t="s">
        <v>772</v>
      </c>
    </row>
    <row r="249" spans="1:2">
      <c r="A249" t="s">
        <v>683</v>
      </c>
      <c r="B249" t="s">
        <v>784</v>
      </c>
    </row>
    <row r="250" spans="1:2">
      <c r="A250" t="s">
        <v>683</v>
      </c>
      <c r="B250" t="s">
        <v>795</v>
      </c>
    </row>
    <row r="251" spans="1:2">
      <c r="A251" t="s">
        <v>683</v>
      </c>
      <c r="B251" t="s">
        <v>806</v>
      </c>
    </row>
    <row r="252" spans="1:2">
      <c r="A252" t="s">
        <v>683</v>
      </c>
      <c r="B252" t="s">
        <v>817</v>
      </c>
    </row>
    <row r="253" spans="1:2">
      <c r="A253" t="s">
        <v>683</v>
      </c>
      <c r="B253" t="s">
        <v>828</v>
      </c>
    </row>
    <row r="254" spans="1:2">
      <c r="A254" t="s">
        <v>683</v>
      </c>
      <c r="B254" t="s">
        <v>839</v>
      </c>
    </row>
    <row r="255" spans="1:2">
      <c r="A255" t="s">
        <v>683</v>
      </c>
      <c r="B255" t="s">
        <v>850</v>
      </c>
    </row>
    <row r="256" spans="1:2">
      <c r="A256" t="s">
        <v>683</v>
      </c>
      <c r="B256" t="s">
        <v>860</v>
      </c>
    </row>
    <row r="257" spans="1:2">
      <c r="A257" t="s">
        <v>683</v>
      </c>
      <c r="B257" t="s">
        <v>870</v>
      </c>
    </row>
    <row r="258" spans="1:2">
      <c r="A258" t="s">
        <v>683</v>
      </c>
      <c r="B258" t="s">
        <v>880</v>
      </c>
    </row>
    <row r="259" spans="1:2">
      <c r="A259" t="s">
        <v>683</v>
      </c>
      <c r="B259" t="s">
        <v>890</v>
      </c>
    </row>
    <row r="260" spans="1:2">
      <c r="A260" t="s">
        <v>683</v>
      </c>
      <c r="B260" t="s">
        <v>899</v>
      </c>
    </row>
    <row r="261" spans="1:2">
      <c r="A261" t="s">
        <v>683</v>
      </c>
      <c r="B261" t="s">
        <v>907</v>
      </c>
    </row>
    <row r="262" spans="1:2">
      <c r="A262" t="s">
        <v>683</v>
      </c>
      <c r="B262" t="s">
        <v>915</v>
      </c>
    </row>
    <row r="263" spans="1:2">
      <c r="A263" t="s">
        <v>683</v>
      </c>
      <c r="B263" t="s">
        <v>923</v>
      </c>
    </row>
    <row r="264" spans="1:2">
      <c r="A264" t="s">
        <v>683</v>
      </c>
      <c r="B264" t="s">
        <v>930</v>
      </c>
    </row>
    <row r="265" spans="1:2">
      <c r="A265" t="s">
        <v>683</v>
      </c>
      <c r="B265" t="s">
        <v>937</v>
      </c>
    </row>
    <row r="266" spans="1:2">
      <c r="A266" t="s">
        <v>683</v>
      </c>
      <c r="B266" t="s">
        <v>944</v>
      </c>
    </row>
    <row r="267" spans="1:2">
      <c r="A267" t="s">
        <v>683</v>
      </c>
      <c r="B267" t="s">
        <v>951</v>
      </c>
    </row>
    <row r="268" spans="1:2">
      <c r="A268" t="s">
        <v>683</v>
      </c>
      <c r="B268" t="s">
        <v>958</v>
      </c>
    </row>
    <row r="269" spans="1:2">
      <c r="A269" t="s">
        <v>683</v>
      </c>
      <c r="B269" t="s">
        <v>965</v>
      </c>
    </row>
    <row r="270" spans="1:2">
      <c r="A270" t="s">
        <v>683</v>
      </c>
      <c r="B270" t="s">
        <v>972</v>
      </c>
    </row>
    <row r="271" spans="1:2">
      <c r="A271" t="s">
        <v>683</v>
      </c>
      <c r="B271" t="s">
        <v>979</v>
      </c>
    </row>
    <row r="272" spans="1:2">
      <c r="A272" t="s">
        <v>683</v>
      </c>
      <c r="B272" t="s">
        <v>986</v>
      </c>
    </row>
    <row r="273" spans="1:2">
      <c r="A273" t="s">
        <v>683</v>
      </c>
      <c r="B273" t="s">
        <v>991</v>
      </c>
    </row>
    <row r="274" spans="1:2">
      <c r="A274" t="s">
        <v>683</v>
      </c>
      <c r="B274" t="s">
        <v>996</v>
      </c>
    </row>
    <row r="275" spans="1:2">
      <c r="A275" t="s">
        <v>683</v>
      </c>
      <c r="B275" t="s">
        <v>1001</v>
      </c>
    </row>
    <row r="276" spans="1:2">
      <c r="A276" t="s">
        <v>683</v>
      </c>
      <c r="B276" t="s">
        <v>1006</v>
      </c>
    </row>
    <row r="277" spans="1:2">
      <c r="A277" t="s">
        <v>683</v>
      </c>
      <c r="B277" t="s">
        <v>1011</v>
      </c>
    </row>
    <row r="278" spans="1:2">
      <c r="A278" t="s">
        <v>683</v>
      </c>
      <c r="B278" t="s">
        <v>1016</v>
      </c>
    </row>
    <row r="279" spans="1:2">
      <c r="A279" t="s">
        <v>683</v>
      </c>
      <c r="B279" t="s">
        <v>1021</v>
      </c>
    </row>
    <row r="280" spans="1:2">
      <c r="A280" t="s">
        <v>683</v>
      </c>
      <c r="B280" t="s">
        <v>1026</v>
      </c>
    </row>
    <row r="281" spans="1:2">
      <c r="A281" t="s">
        <v>683</v>
      </c>
      <c r="B281" t="s">
        <v>1031</v>
      </c>
    </row>
    <row r="282" spans="1:2">
      <c r="A282" t="s">
        <v>684</v>
      </c>
      <c r="B282" t="s">
        <v>697</v>
      </c>
    </row>
    <row r="283" spans="1:2">
      <c r="A283" t="s">
        <v>684</v>
      </c>
      <c r="B283" t="s">
        <v>711</v>
      </c>
    </row>
    <row r="284" spans="1:2">
      <c r="A284" t="s">
        <v>684</v>
      </c>
      <c r="B284" t="s">
        <v>725</v>
      </c>
    </row>
    <row r="285" spans="1:2">
      <c r="A285" t="s">
        <v>684</v>
      </c>
      <c r="B285" t="s">
        <v>737</v>
      </c>
    </row>
    <row r="286" spans="1:2">
      <c r="A286" t="s">
        <v>684</v>
      </c>
      <c r="B286" t="s">
        <v>749</v>
      </c>
    </row>
    <row r="287" spans="1:2">
      <c r="A287" t="s">
        <v>684</v>
      </c>
      <c r="B287" t="s">
        <v>761</v>
      </c>
    </row>
    <row r="288" spans="1:2">
      <c r="A288" t="s">
        <v>684</v>
      </c>
      <c r="B288" t="s">
        <v>773</v>
      </c>
    </row>
    <row r="289" spans="1:2">
      <c r="A289" t="s">
        <v>684</v>
      </c>
      <c r="B289" t="s">
        <v>785</v>
      </c>
    </row>
    <row r="290" spans="1:2">
      <c r="A290" t="s">
        <v>684</v>
      </c>
      <c r="B290" t="s">
        <v>796</v>
      </c>
    </row>
    <row r="291" spans="1:2">
      <c r="A291" t="s">
        <v>684</v>
      </c>
      <c r="B291" t="s">
        <v>807</v>
      </c>
    </row>
    <row r="292" spans="1:2">
      <c r="A292" t="s">
        <v>684</v>
      </c>
      <c r="B292" t="s">
        <v>818</v>
      </c>
    </row>
    <row r="293" spans="1:2">
      <c r="A293" t="s">
        <v>684</v>
      </c>
      <c r="B293" t="s">
        <v>829</v>
      </c>
    </row>
    <row r="294" spans="1:2">
      <c r="A294" t="s">
        <v>684</v>
      </c>
      <c r="B294" t="s">
        <v>840</v>
      </c>
    </row>
    <row r="295" spans="1:2">
      <c r="A295" t="s">
        <v>684</v>
      </c>
      <c r="B295" t="s">
        <v>851</v>
      </c>
    </row>
    <row r="296" spans="1:2">
      <c r="A296" t="s">
        <v>684</v>
      </c>
      <c r="B296" t="s">
        <v>861</v>
      </c>
    </row>
    <row r="297" spans="1:2">
      <c r="A297" t="s">
        <v>684</v>
      </c>
      <c r="B297" t="s">
        <v>871</v>
      </c>
    </row>
    <row r="298" spans="1:2">
      <c r="A298" t="s">
        <v>684</v>
      </c>
      <c r="B298" t="s">
        <v>881</v>
      </c>
    </row>
    <row r="299" spans="1:2">
      <c r="A299" t="s">
        <v>684</v>
      </c>
      <c r="B299" t="s">
        <v>891</v>
      </c>
    </row>
    <row r="300" spans="1:2">
      <c r="A300" t="s">
        <v>684</v>
      </c>
      <c r="B300" t="s">
        <v>900</v>
      </c>
    </row>
    <row r="301" spans="1:2">
      <c r="A301" t="s">
        <v>684</v>
      </c>
      <c r="B301" t="s">
        <v>908</v>
      </c>
    </row>
    <row r="302" spans="1:2">
      <c r="A302" t="s">
        <v>684</v>
      </c>
      <c r="B302" t="s">
        <v>916</v>
      </c>
    </row>
    <row r="303" spans="1:2">
      <c r="A303" t="s">
        <v>684</v>
      </c>
      <c r="B303" t="s">
        <v>924</v>
      </c>
    </row>
    <row r="304" spans="1:2">
      <c r="A304" t="s">
        <v>684</v>
      </c>
      <c r="B304" t="s">
        <v>931</v>
      </c>
    </row>
    <row r="305" spans="1:2">
      <c r="A305" t="s">
        <v>684</v>
      </c>
      <c r="B305" t="s">
        <v>938</v>
      </c>
    </row>
    <row r="306" spans="1:2">
      <c r="A306" t="s">
        <v>684</v>
      </c>
      <c r="B306" t="s">
        <v>945</v>
      </c>
    </row>
    <row r="307" spans="1:2">
      <c r="A307" t="s">
        <v>684</v>
      </c>
      <c r="B307" t="s">
        <v>952</v>
      </c>
    </row>
    <row r="308" spans="1:2">
      <c r="A308" t="s">
        <v>684</v>
      </c>
      <c r="B308" t="s">
        <v>959</v>
      </c>
    </row>
    <row r="309" spans="1:2">
      <c r="A309" t="s">
        <v>684</v>
      </c>
      <c r="B309" t="s">
        <v>966</v>
      </c>
    </row>
    <row r="310" spans="1:2">
      <c r="A310" t="s">
        <v>684</v>
      </c>
      <c r="B310" t="s">
        <v>973</v>
      </c>
    </row>
    <row r="311" spans="1:2">
      <c r="A311" t="s">
        <v>684</v>
      </c>
      <c r="B311" t="s">
        <v>980</v>
      </c>
    </row>
    <row r="312" spans="1:2">
      <c r="A312" t="s">
        <v>684</v>
      </c>
      <c r="B312" t="s">
        <v>987</v>
      </c>
    </row>
    <row r="313" spans="1:2">
      <c r="A313" t="s">
        <v>684</v>
      </c>
      <c r="B313" t="s">
        <v>992</v>
      </c>
    </row>
    <row r="314" spans="1:2">
      <c r="A314" t="s">
        <v>684</v>
      </c>
      <c r="B314" t="s">
        <v>997</v>
      </c>
    </row>
    <row r="315" spans="1:2">
      <c r="A315" t="s">
        <v>684</v>
      </c>
      <c r="B315" t="s">
        <v>1002</v>
      </c>
    </row>
    <row r="316" spans="1:2">
      <c r="A316" t="s">
        <v>684</v>
      </c>
      <c r="B316" t="s">
        <v>1007</v>
      </c>
    </row>
    <row r="317" spans="1:2">
      <c r="A317" t="s">
        <v>684</v>
      </c>
      <c r="B317" t="s">
        <v>1012</v>
      </c>
    </row>
    <row r="318" spans="1:2">
      <c r="A318" t="s">
        <v>684</v>
      </c>
      <c r="B318" t="s">
        <v>1017</v>
      </c>
    </row>
    <row r="319" spans="1:2">
      <c r="A319" t="s">
        <v>684</v>
      </c>
      <c r="B319" t="s">
        <v>1022</v>
      </c>
    </row>
    <row r="320" spans="1:2">
      <c r="A320" t="s">
        <v>684</v>
      </c>
      <c r="B320" t="s">
        <v>1027</v>
      </c>
    </row>
    <row r="321" spans="1:2">
      <c r="A321" t="s">
        <v>684</v>
      </c>
      <c r="B321" t="s">
        <v>1032</v>
      </c>
    </row>
    <row r="322" spans="1:2">
      <c r="A322" t="s">
        <v>684</v>
      </c>
      <c r="B322" t="s">
        <v>1036</v>
      </c>
    </row>
    <row r="323" spans="1:2">
      <c r="A323" t="s">
        <v>684</v>
      </c>
      <c r="B323" t="s">
        <v>1040</v>
      </c>
    </row>
    <row r="324" spans="1:2">
      <c r="A324" t="s">
        <v>684</v>
      </c>
      <c r="B324" t="s">
        <v>1044</v>
      </c>
    </row>
    <row r="325" spans="1:2">
      <c r="A325" t="s">
        <v>684</v>
      </c>
      <c r="B325" t="s">
        <v>1047</v>
      </c>
    </row>
    <row r="326" spans="1:2">
      <c r="A326" t="s">
        <v>684</v>
      </c>
      <c r="B326" t="s">
        <v>1050</v>
      </c>
    </row>
    <row r="327" spans="1:2">
      <c r="A327" t="s">
        <v>684</v>
      </c>
      <c r="B327" t="s">
        <v>1053</v>
      </c>
    </row>
    <row r="328" spans="1:2">
      <c r="A328" t="s">
        <v>684</v>
      </c>
      <c r="B328" t="s">
        <v>1055</v>
      </c>
    </row>
    <row r="329" spans="1:2">
      <c r="A329" t="s">
        <v>684</v>
      </c>
      <c r="B329" t="s">
        <v>1057</v>
      </c>
    </row>
    <row r="330" spans="1:2">
      <c r="A330" t="s">
        <v>684</v>
      </c>
      <c r="B330" t="s">
        <v>1059</v>
      </c>
    </row>
    <row r="331" spans="1:2">
      <c r="A331" t="s">
        <v>684</v>
      </c>
      <c r="B331" t="s">
        <v>1061</v>
      </c>
    </row>
    <row r="332" spans="1:2">
      <c r="A332" t="s">
        <v>684</v>
      </c>
      <c r="B332" t="s">
        <v>1063</v>
      </c>
    </row>
    <row r="333" spans="1:2">
      <c r="A333" t="s">
        <v>684</v>
      </c>
      <c r="B333" t="s">
        <v>1065</v>
      </c>
    </row>
    <row r="334" spans="1:2">
      <c r="A334" t="s">
        <v>685</v>
      </c>
      <c r="B334" t="s">
        <v>698</v>
      </c>
    </row>
    <row r="335" spans="1:2">
      <c r="A335" t="s">
        <v>685</v>
      </c>
      <c r="B335" t="s">
        <v>712</v>
      </c>
    </row>
    <row r="336" spans="1:2">
      <c r="A336" t="s">
        <v>685</v>
      </c>
      <c r="B336" t="s">
        <v>726</v>
      </c>
    </row>
    <row r="337" spans="1:2">
      <c r="A337" t="s">
        <v>685</v>
      </c>
      <c r="B337" t="s">
        <v>738</v>
      </c>
    </row>
    <row r="338" spans="1:2">
      <c r="A338" t="s">
        <v>685</v>
      </c>
      <c r="B338" t="s">
        <v>750</v>
      </c>
    </row>
    <row r="339" spans="1:2">
      <c r="A339" t="s">
        <v>685</v>
      </c>
      <c r="B339" t="s">
        <v>762</v>
      </c>
    </row>
    <row r="340" spans="1:2">
      <c r="A340" t="s">
        <v>685</v>
      </c>
      <c r="B340" t="s">
        <v>774</v>
      </c>
    </row>
    <row r="341" spans="1:2">
      <c r="A341" t="s">
        <v>32</v>
      </c>
      <c r="B341" t="s">
        <v>699</v>
      </c>
    </row>
    <row r="342" spans="1:2">
      <c r="A342" t="s">
        <v>32</v>
      </c>
      <c r="B342" t="s">
        <v>713</v>
      </c>
    </row>
    <row r="343" spans="1:2">
      <c r="A343" t="s">
        <v>32</v>
      </c>
      <c r="B343" t="s">
        <v>727</v>
      </c>
    </row>
    <row r="344" spans="1:2">
      <c r="A344" t="s">
        <v>32</v>
      </c>
      <c r="B344" t="s">
        <v>739</v>
      </c>
    </row>
    <row r="345" spans="1:2">
      <c r="A345" t="s">
        <v>32</v>
      </c>
      <c r="B345" t="s">
        <v>751</v>
      </c>
    </row>
    <row r="346" spans="1:2">
      <c r="A346" t="s">
        <v>32</v>
      </c>
      <c r="B346" t="s">
        <v>763</v>
      </c>
    </row>
    <row r="347" spans="1:2">
      <c r="A347" t="s">
        <v>32</v>
      </c>
      <c r="B347" t="s">
        <v>775</v>
      </c>
    </row>
    <row r="348" spans="1:2">
      <c r="A348" t="s">
        <v>32</v>
      </c>
      <c r="B348" t="s">
        <v>786</v>
      </c>
    </row>
    <row r="349" spans="1:2">
      <c r="A349" t="s">
        <v>32</v>
      </c>
      <c r="B349" t="s">
        <v>797</v>
      </c>
    </row>
    <row r="350" spans="1:2">
      <c r="A350" t="s">
        <v>32</v>
      </c>
      <c r="B350" t="s">
        <v>808</v>
      </c>
    </row>
    <row r="351" spans="1:2">
      <c r="A351" t="s">
        <v>32</v>
      </c>
      <c r="B351" t="s">
        <v>819</v>
      </c>
    </row>
    <row r="352" spans="1:2">
      <c r="A352" t="s">
        <v>32</v>
      </c>
      <c r="B352" t="s">
        <v>830</v>
      </c>
    </row>
    <row r="353" spans="1:2">
      <c r="A353" t="s">
        <v>32</v>
      </c>
      <c r="B353" t="s">
        <v>841</v>
      </c>
    </row>
    <row r="354" spans="1:2">
      <c r="A354" t="s">
        <v>32</v>
      </c>
      <c r="B354" t="s">
        <v>852</v>
      </c>
    </row>
    <row r="355" spans="1:2">
      <c r="A355" t="s">
        <v>32</v>
      </c>
      <c r="B355" t="s">
        <v>862</v>
      </c>
    </row>
    <row r="356" spans="1:2">
      <c r="A356" t="s">
        <v>32</v>
      </c>
      <c r="B356" t="s">
        <v>872</v>
      </c>
    </row>
    <row r="357" spans="1:2">
      <c r="A357" t="s">
        <v>32</v>
      </c>
      <c r="B357" t="s">
        <v>882</v>
      </c>
    </row>
    <row r="358" spans="1:2">
      <c r="A358" t="s">
        <v>32</v>
      </c>
      <c r="B358" t="s">
        <v>892</v>
      </c>
    </row>
    <row r="359" spans="1:2">
      <c r="A359" t="s">
        <v>32</v>
      </c>
      <c r="B359" t="s">
        <v>901</v>
      </c>
    </row>
    <row r="360" spans="1:2">
      <c r="A360" t="s">
        <v>32</v>
      </c>
      <c r="B360" t="s">
        <v>909</v>
      </c>
    </row>
    <row r="361" spans="1:2">
      <c r="A361" t="s">
        <v>32</v>
      </c>
      <c r="B361" t="s">
        <v>917</v>
      </c>
    </row>
    <row r="362" spans="1:2">
      <c r="A362" t="s">
        <v>32</v>
      </c>
      <c r="B362" t="s">
        <v>925</v>
      </c>
    </row>
    <row r="363" spans="1:2">
      <c r="A363" t="s">
        <v>32</v>
      </c>
      <c r="B363" t="s">
        <v>932</v>
      </c>
    </row>
    <row r="364" spans="1:2">
      <c r="A364" t="s">
        <v>32</v>
      </c>
      <c r="B364" t="s">
        <v>939</v>
      </c>
    </row>
    <row r="365" spans="1:2">
      <c r="A365" t="s">
        <v>32</v>
      </c>
      <c r="B365" t="s">
        <v>946</v>
      </c>
    </row>
    <row r="366" spans="1:2">
      <c r="A366" t="s">
        <v>32</v>
      </c>
      <c r="B366" t="s">
        <v>953</v>
      </c>
    </row>
    <row r="367" spans="1:2">
      <c r="A367" t="s">
        <v>32</v>
      </c>
      <c r="B367" t="s">
        <v>960</v>
      </c>
    </row>
    <row r="368" spans="1:2">
      <c r="A368" t="s">
        <v>32</v>
      </c>
      <c r="B368" t="s">
        <v>967</v>
      </c>
    </row>
    <row r="369" spans="1:2">
      <c r="A369" t="s">
        <v>32</v>
      </c>
      <c r="B369" t="s">
        <v>974</v>
      </c>
    </row>
    <row r="370" spans="1:2">
      <c r="A370" t="s">
        <v>32</v>
      </c>
      <c r="B370" t="s">
        <v>981</v>
      </c>
    </row>
    <row r="371" spans="1:2">
      <c r="A371" t="s">
        <v>32</v>
      </c>
      <c r="B371" t="s">
        <v>988</v>
      </c>
    </row>
    <row r="372" spans="1:2">
      <c r="A372" t="s">
        <v>32</v>
      </c>
      <c r="B372" t="s">
        <v>993</v>
      </c>
    </row>
    <row r="373" spans="1:2">
      <c r="A373" t="s">
        <v>32</v>
      </c>
      <c r="B373" t="s">
        <v>998</v>
      </c>
    </row>
    <row r="374" spans="1:2">
      <c r="A374" t="s">
        <v>32</v>
      </c>
      <c r="B374" t="s">
        <v>1003</v>
      </c>
    </row>
    <row r="375" spans="1:2">
      <c r="A375" t="s">
        <v>32</v>
      </c>
      <c r="B375" t="s">
        <v>1008</v>
      </c>
    </row>
    <row r="376" spans="1:2">
      <c r="A376" t="s">
        <v>32</v>
      </c>
      <c r="B376" t="s">
        <v>1013</v>
      </c>
    </row>
    <row r="377" spans="1:2">
      <c r="A377" t="s">
        <v>32</v>
      </c>
      <c r="B377" t="s">
        <v>1018</v>
      </c>
    </row>
    <row r="378" spans="1:2">
      <c r="A378" t="s">
        <v>32</v>
      </c>
      <c r="B378" t="s">
        <v>1023</v>
      </c>
    </row>
    <row r="379" spans="1:2">
      <c r="A379" t="s">
        <v>32</v>
      </c>
      <c r="B379" t="s">
        <v>1028</v>
      </c>
    </row>
    <row r="380" spans="1:2">
      <c r="A380" t="s">
        <v>32</v>
      </c>
      <c r="B380" t="s">
        <v>1033</v>
      </c>
    </row>
    <row r="381" spans="1:2">
      <c r="A381" t="s">
        <v>32</v>
      </c>
      <c r="B381" t="s">
        <v>1037</v>
      </c>
    </row>
    <row r="382" spans="1:2">
      <c r="A382" t="s">
        <v>32</v>
      </c>
      <c r="B382" t="s">
        <v>1041</v>
      </c>
    </row>
    <row r="383" spans="1:2">
      <c r="A383" t="s">
        <v>32</v>
      </c>
      <c r="B383" t="s">
        <v>1045</v>
      </c>
    </row>
    <row r="384" spans="1:2">
      <c r="A384" t="s">
        <v>32</v>
      </c>
      <c r="B384" t="s">
        <v>1048</v>
      </c>
    </row>
    <row r="385" spans="1:2">
      <c r="A385" t="s">
        <v>32</v>
      </c>
      <c r="B385" t="s">
        <v>1051</v>
      </c>
    </row>
    <row r="386" spans="1:2">
      <c r="A386" t="s">
        <v>686</v>
      </c>
      <c r="B386" t="s">
        <v>700</v>
      </c>
    </row>
    <row r="387" spans="1:2">
      <c r="A387" t="s">
        <v>686</v>
      </c>
      <c r="B387" t="s">
        <v>714</v>
      </c>
    </row>
    <row r="388" spans="1:2">
      <c r="A388" t="s">
        <v>686</v>
      </c>
      <c r="B388" t="s">
        <v>728</v>
      </c>
    </row>
    <row r="389" spans="1:2">
      <c r="A389" t="s">
        <v>686</v>
      </c>
      <c r="B389" t="s">
        <v>740</v>
      </c>
    </row>
    <row r="390" spans="1:2">
      <c r="A390" t="s">
        <v>686</v>
      </c>
      <c r="B390" t="s">
        <v>752</v>
      </c>
    </row>
    <row r="391" spans="1:2">
      <c r="A391" t="s">
        <v>686</v>
      </c>
      <c r="B391" t="s">
        <v>764</v>
      </c>
    </row>
    <row r="392" spans="1:2">
      <c r="A392" t="s">
        <v>686</v>
      </c>
      <c r="B392" t="s">
        <v>776</v>
      </c>
    </row>
    <row r="393" spans="1:2">
      <c r="A393" t="s">
        <v>686</v>
      </c>
      <c r="B393" t="s">
        <v>787</v>
      </c>
    </row>
    <row r="394" spans="1:2">
      <c r="A394" t="s">
        <v>686</v>
      </c>
      <c r="B394" t="s">
        <v>798</v>
      </c>
    </row>
    <row r="395" spans="1:2">
      <c r="A395" t="s">
        <v>686</v>
      </c>
      <c r="B395" t="s">
        <v>809</v>
      </c>
    </row>
    <row r="396" spans="1:2">
      <c r="A396" t="s">
        <v>686</v>
      </c>
      <c r="B396" t="s">
        <v>820</v>
      </c>
    </row>
    <row r="397" spans="1:2">
      <c r="A397" t="s">
        <v>686</v>
      </c>
      <c r="B397" t="s">
        <v>831</v>
      </c>
    </row>
    <row r="398" spans="1:2">
      <c r="A398" t="s">
        <v>686</v>
      </c>
      <c r="B398" t="s">
        <v>842</v>
      </c>
    </row>
    <row r="399" spans="1:2">
      <c r="A399" t="s">
        <v>686</v>
      </c>
      <c r="B399" t="s">
        <v>853</v>
      </c>
    </row>
  </sheetData>
  <sortState xmlns:xlrd2="http://schemas.microsoft.com/office/spreadsheetml/2017/richdata2" ref="B386:B399">
    <sortCondition ref="B386:B399"/>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dimension ref="A1:CC60"/>
  <sheetViews>
    <sheetView workbookViewId="0"/>
  </sheetViews>
  <sheetFormatPr defaultColWidth="9" defaultRowHeight="14.5"/>
  <cols>
    <col min="1" max="1" width="3" style="69" customWidth="1"/>
    <col min="2" max="2" width="15.54296875" style="19" customWidth="1"/>
    <col min="3" max="6" width="8.7265625" style="19" customWidth="1"/>
    <col min="8" max="8" width="15.54296875" style="19" customWidth="1"/>
    <col min="9" max="12" width="8.7265625" style="19" customWidth="1"/>
    <col min="14" max="14" width="15.54296875" style="19" customWidth="1"/>
    <col min="15" max="18" width="8.7265625" style="19" customWidth="1"/>
    <col min="20" max="20" width="15.54296875" style="19" customWidth="1"/>
    <col min="21" max="24" width="8.7265625" style="19" customWidth="1"/>
    <col min="26" max="26" width="15.54296875" style="19" customWidth="1"/>
    <col min="27" max="30" width="8.7265625" style="19" customWidth="1"/>
    <col min="32" max="32" width="15.54296875" style="19" customWidth="1"/>
    <col min="33" max="36" width="8.7265625" style="19" customWidth="1"/>
    <col min="38" max="38" width="15.54296875" style="19" customWidth="1"/>
    <col min="39" max="42" width="8.7265625" style="19" customWidth="1"/>
    <col min="44" max="44" width="15.54296875" style="19" customWidth="1"/>
    <col min="45" max="48" width="8.7265625" style="19" customWidth="1"/>
    <col min="50" max="50" width="15.54296875" style="19" customWidth="1"/>
    <col min="51" max="54" width="8.7265625" style="19" customWidth="1"/>
    <col min="56" max="56" width="28.453125" customWidth="1"/>
    <col min="57" max="57" width="15.7265625" customWidth="1"/>
    <col min="58" max="58" width="22.26953125" customWidth="1"/>
    <col min="59" max="59" width="23.54296875" customWidth="1"/>
    <col min="60" max="60" width="9" customWidth="1"/>
    <col min="61" max="61" width="16.7265625" customWidth="1"/>
    <col min="62" max="62" width="17.7265625" customWidth="1"/>
    <col min="68" max="68" width="18.7265625" customWidth="1"/>
  </cols>
  <sheetData>
    <row r="1" spans="2:54">
      <c r="B1" s="780" t="s">
        <v>69</v>
      </c>
      <c r="C1" s="781"/>
      <c r="D1" s="781"/>
      <c r="E1" s="781"/>
      <c r="F1" s="781"/>
      <c r="G1" s="85"/>
      <c r="H1" s="781" t="s">
        <v>70</v>
      </c>
      <c r="I1" s="781"/>
      <c r="J1" s="781"/>
      <c r="K1" s="781"/>
      <c r="L1" s="781"/>
      <c r="M1" s="85"/>
      <c r="N1" s="781" t="s">
        <v>1083</v>
      </c>
      <c r="O1" s="781"/>
      <c r="P1" s="781"/>
      <c r="Q1" s="781"/>
      <c r="R1" s="782"/>
      <c r="T1" s="783" t="s">
        <v>1084</v>
      </c>
      <c r="U1" s="775"/>
      <c r="V1" s="775"/>
      <c r="W1" s="775"/>
      <c r="X1" s="775"/>
      <c r="Y1" s="107"/>
      <c r="Z1" s="775" t="s">
        <v>1085</v>
      </c>
      <c r="AA1" s="775"/>
      <c r="AB1" s="775"/>
      <c r="AC1" s="775"/>
      <c r="AD1" s="775"/>
      <c r="AE1" s="107"/>
      <c r="AF1" s="775" t="s">
        <v>79</v>
      </c>
      <c r="AG1" s="775"/>
      <c r="AH1" s="775"/>
      <c r="AI1" s="775"/>
      <c r="AJ1" s="776"/>
      <c r="AL1" s="777" t="s">
        <v>1084</v>
      </c>
      <c r="AM1" s="778"/>
      <c r="AN1" s="778"/>
      <c r="AO1" s="778"/>
      <c r="AP1" s="778"/>
      <c r="AQ1" s="117"/>
      <c r="AR1" s="778" t="s">
        <v>1085</v>
      </c>
      <c r="AS1" s="778"/>
      <c r="AT1" s="778"/>
      <c r="AU1" s="778"/>
      <c r="AV1" s="778"/>
      <c r="AW1" s="117"/>
      <c r="AX1" s="778" t="s">
        <v>79</v>
      </c>
      <c r="AY1" s="778"/>
      <c r="AZ1" s="778"/>
      <c r="BA1" s="778"/>
      <c r="BB1" s="779"/>
    </row>
    <row r="2" spans="2:54" ht="58">
      <c r="B2" s="78" t="s">
        <v>43</v>
      </c>
      <c r="C2" s="79" t="str" cm="1">
        <f t="array" ref="C2:C26">_xlfn._xlws.SORT(TRANSPOSE('01.AGRMT'!AB14:AZ14))</f>
        <v/>
      </c>
      <c r="D2" s="79" t="str" cm="1">
        <f t="array" ref="D2">_xlfn._xlws.FILTER(_xlfn.ANCHORARRAY(C2),_xlfn.ANCHORARRAY(C2)&lt;&gt;0)</f>
        <v/>
      </c>
      <c r="E2" s="79" t="s">
        <v>1086</v>
      </c>
      <c r="F2" s="79" cm="1">
        <f t="array" ref="F2">IFERROR(_xlfn._xlws.FILTER(_xlfn.ANCHORARRAY(C28),(_xlfn.ANCHORARRAY(C28)&lt;&gt;0)*(COUNTIF(_xlfn.ANCHORARRAY(C2),_xlfn.ANCHORARRAY(C28))=0)),"N")</f>
        <v>3</v>
      </c>
      <c r="G2" s="86"/>
      <c r="H2" s="79" t="s">
        <v>43</v>
      </c>
      <c r="I2" s="79" cm="1">
        <f t="array" ref="I2:I26">_xlfn._xlws.SORT(TRANSPOSE('01.AGRMT'!AB15:AZ15))</f>
        <v>254</v>
      </c>
      <c r="J2" s="79" cm="1">
        <f t="array" ref="J2:J3">_xlfn._xlws.FILTER(_xlfn.ANCHORARRAY(I2),_xlfn.ANCHORARRAY(I2)&lt;&gt;0)</f>
        <v>254</v>
      </c>
      <c r="K2" s="79" t="s">
        <v>1086</v>
      </c>
      <c r="L2" s="79" t="str" cm="1">
        <f t="array" ref="L2">IFERROR(_xlfn._xlws.FILTER(_xlfn.ANCHORARRAY(I28),(_xlfn.ANCHORARRAY(I28)&lt;&gt;0)*(COUNTIF(_xlfn.ANCHORARRAY(I2),_xlfn.ANCHORARRAY(I28))=0)),"N")</f>
        <v>N</v>
      </c>
      <c r="M2" s="86"/>
      <c r="N2" s="79" t="s">
        <v>43</v>
      </c>
      <c r="O2" s="79" t="str" cm="1">
        <f t="array" ref="O2:O26">_xlfn._xlws.SORT(TRANSPOSE('01.AGRMT'!AB16:AZ16))</f>
        <v/>
      </c>
      <c r="P2" s="79" t="str" cm="1">
        <f t="array" ref="P2:P3">_xlfn._xlws.FILTER(_xlfn.ANCHORARRAY(O2),_xlfn.ANCHORARRAY(O2)&lt;&gt;0)</f>
        <v/>
      </c>
      <c r="Q2" s="79" t="s">
        <v>1086</v>
      </c>
      <c r="R2" s="88" t="str" cm="1">
        <f t="array" ref="R2">IFERROR(_xlfn._xlws.FILTER(_xlfn.ANCHORARRAY(O28),(_xlfn.ANCHORARRAY(O28)&lt;&gt;0)*(COUNTIF(_xlfn.ANCHORARRAY(O2),_xlfn.ANCHORARRAY(O28))=0)),"N")</f>
        <v>2-1</v>
      </c>
      <c r="T2" s="102" t="s">
        <v>43</v>
      </c>
      <c r="U2" s="103" t="str" cm="1">
        <f t="array" ref="U2:U26">_xlfn._xlws.SORT(TRANSPOSE('01.AGRMT'!AB17:AZ17))</f>
        <v/>
      </c>
      <c r="V2" s="103" t="str" cm="1">
        <f t="array" ref="V2">_xlfn._xlws.FILTER(_xlfn.ANCHORARRAY(U2),_xlfn.ANCHORARRAY(U2)&lt;&gt;0)</f>
        <v/>
      </c>
      <c r="W2" s="103" t="s">
        <v>1086</v>
      </c>
      <c r="X2" s="103" t="str" cm="1">
        <f t="array" ref="X2">IFERROR(_xlfn._xlws.FILTER(_xlfn.ANCHORARRAY(U28),(_xlfn.ANCHORARRAY(U28)&lt;&gt;0)*(COUNTIF(_xlfn.ANCHORARRAY(U2),_xlfn.ANCHORARRAY(U28))=0)),"N")</f>
        <v>N</v>
      </c>
      <c r="Y2" s="108"/>
      <c r="Z2" s="103" t="s">
        <v>43</v>
      </c>
      <c r="AA2" s="103" t="str" cm="1">
        <f t="array" ref="AA2:AA26">_xlfn._xlws.SORT(TRANSPOSE('01.AGRMT'!AB18:AZ18))</f>
        <v/>
      </c>
      <c r="AB2" s="103" t="str" cm="1">
        <f t="array" ref="AB2">_xlfn._xlws.FILTER(_xlfn.ANCHORARRAY(AA2),_xlfn.ANCHORARRAY(AA2)&lt;&gt;0)</f>
        <v/>
      </c>
      <c r="AC2" s="103" t="s">
        <v>1086</v>
      </c>
      <c r="AD2" s="103" t="str" cm="1">
        <f t="array" ref="AD2">IFERROR(_xlfn._xlws.FILTER(_xlfn.ANCHORARRAY(AA28),(_xlfn.ANCHORARRAY(AA28)&lt;&gt;0)*(COUNTIF(_xlfn.ANCHORARRAY(AA2),_xlfn.ANCHORARRAY(AA28))=0)),"N")</f>
        <v>N</v>
      </c>
      <c r="AE2" s="108"/>
      <c r="AF2" s="103" t="s">
        <v>43</v>
      </c>
      <c r="AG2" s="103" t="str" cm="1">
        <f t="array" ref="AG2:AG26">_xlfn._xlws.SORT(TRANSPOSE('01.AGRMT'!AB19:AZ19))</f>
        <v/>
      </c>
      <c r="AH2" s="103" t="str" cm="1">
        <f t="array" ref="AH2">_xlfn._xlws.FILTER(_xlfn.ANCHORARRAY(AG2),_xlfn.ANCHORARRAY(AG2)&lt;&gt;0)</f>
        <v/>
      </c>
      <c r="AI2" s="103" t="s">
        <v>1086</v>
      </c>
      <c r="AJ2" s="110" t="str" cm="1">
        <f t="array" ref="AJ2">IFERROR(_xlfn._xlws.FILTER(_xlfn.ANCHORARRAY(AG28),(_xlfn.ANCHORARRAY(AG28)&lt;&gt;0)*(COUNTIF(_xlfn.ANCHORARRAY(AG2),_xlfn.ANCHORARRAY(AG28))=0)),"N")</f>
        <v>N</v>
      </c>
      <c r="AL2" s="111" t="s">
        <v>43</v>
      </c>
      <c r="AM2" s="112" t="str" cm="1">
        <f t="array" ref="AM2:AM26">_xlfn._xlws.SORT(TRANSPOSE('01.AGRMT'!AB20:AZ20))</f>
        <v/>
      </c>
      <c r="AN2" s="112" t="str" cm="1">
        <f t="array" ref="AN2">_xlfn._xlws.FILTER(_xlfn.ANCHORARRAY(AM2),_xlfn.ANCHORARRAY(AM2)&lt;&gt;0)</f>
        <v/>
      </c>
      <c r="AO2" s="112" t="s">
        <v>1086</v>
      </c>
      <c r="AP2" s="112" t="str" cm="1">
        <f t="array" ref="AP2">IFERROR(_xlfn._xlws.FILTER(_xlfn.ANCHORARRAY(AM28),(_xlfn.ANCHORARRAY(AM28)&lt;&gt;0)*(COUNTIF(_xlfn.ANCHORARRAY(AM2),_xlfn.ANCHORARRAY(AM28))=0)),"N")</f>
        <v>N</v>
      </c>
      <c r="AQ2" s="118"/>
      <c r="AR2" s="112" t="s">
        <v>43</v>
      </c>
      <c r="AS2" s="112" t="str" cm="1">
        <f t="array" ref="AS2:AS26">_xlfn._xlws.SORT(TRANSPOSE('01.AGRMT'!AB21:AZ21))</f>
        <v/>
      </c>
      <c r="AT2" s="112" t="str" cm="1">
        <f t="array" ref="AT2">_xlfn._xlws.FILTER(_xlfn.ANCHORARRAY(AS2),_xlfn.ANCHORARRAY(AS2)&lt;&gt;0)</f>
        <v/>
      </c>
      <c r="AU2" s="112" t="s">
        <v>1086</v>
      </c>
      <c r="AV2" s="112" t="str" cm="1">
        <f t="array" ref="AV2">IFERROR(_xlfn._xlws.FILTER(_xlfn.ANCHORARRAY(AS28),(_xlfn.ANCHORARRAY(AS28)&lt;&gt;0)*(COUNTIF(_xlfn.ANCHORARRAY(AS2),_xlfn.ANCHORARRAY(AS28))=0)),"N")</f>
        <v>N</v>
      </c>
      <c r="AW2" s="118"/>
      <c r="AX2" s="112" t="s">
        <v>43</v>
      </c>
      <c r="AY2" s="112" t="str" cm="1">
        <f t="array" ref="AY2:AY26">_xlfn._xlws.SORT(TRANSPOSE('01.AGRMT'!AB22:AZ22))</f>
        <v/>
      </c>
      <c r="AZ2" s="112" t="str" cm="1">
        <f t="array" ref="AZ2">_xlfn._xlws.FILTER(_xlfn.ANCHORARRAY(AY2),_xlfn.ANCHORARRAY(AY2)&lt;&gt;0)</f>
        <v/>
      </c>
      <c r="BA2" s="112" t="s">
        <v>1086</v>
      </c>
      <c r="BB2" s="120" t="str" cm="1">
        <f t="array" ref="BB2">IFERROR(_xlfn._xlws.FILTER(_xlfn.ANCHORARRAY(AY28),(_xlfn.ANCHORARRAY(AY28)&lt;&gt;0)*(COUNTIF(_xlfn.ANCHORARRAY(AY2),_xlfn.ANCHORARRAY(AY28))=0)),"N")</f>
        <v>N</v>
      </c>
    </row>
    <row r="3" spans="2:54">
      <c r="B3" s="78"/>
      <c r="C3" s="79">
        <v>0</v>
      </c>
      <c r="D3" s="79"/>
      <c r="E3" s="79"/>
      <c r="F3" s="79"/>
      <c r="G3" s="86"/>
      <c r="H3" s="79"/>
      <c r="I3" s="79" t="str">
        <v/>
      </c>
      <c r="J3" s="79" t="str">
        <v/>
      </c>
      <c r="K3" s="79"/>
      <c r="L3" s="79"/>
      <c r="M3" s="86"/>
      <c r="N3" s="79"/>
      <c r="O3" s="79" t="str">
        <v>21-2</v>
      </c>
      <c r="P3" s="79" t="str">
        <v>21-2</v>
      </c>
      <c r="Q3" s="79"/>
      <c r="R3" s="88"/>
      <c r="T3" s="102"/>
      <c r="U3" s="103">
        <v>0</v>
      </c>
      <c r="V3" s="103"/>
      <c r="W3" s="103"/>
      <c r="X3" s="103"/>
      <c r="Y3" s="108"/>
      <c r="Z3" s="103"/>
      <c r="AA3" s="103">
        <v>0</v>
      </c>
      <c r="AB3" s="103"/>
      <c r="AC3" s="103"/>
      <c r="AD3" s="103"/>
      <c r="AE3" s="108"/>
      <c r="AF3" s="103"/>
      <c r="AG3" s="103">
        <v>0</v>
      </c>
      <c r="AH3" s="103"/>
      <c r="AI3" s="103"/>
      <c r="AJ3" s="110"/>
      <c r="AL3" s="111"/>
      <c r="AM3" s="112">
        <v>0</v>
      </c>
      <c r="AN3" s="112"/>
      <c r="AO3" s="112"/>
      <c r="AP3" s="112"/>
      <c r="AQ3" s="118"/>
      <c r="AR3" s="112"/>
      <c r="AS3" s="112">
        <v>0</v>
      </c>
      <c r="AT3" s="112"/>
      <c r="AU3" s="112"/>
      <c r="AV3" s="112"/>
      <c r="AW3" s="118"/>
      <c r="AX3" s="112"/>
      <c r="AY3" s="112">
        <v>0</v>
      </c>
      <c r="AZ3" s="112"/>
      <c r="BA3" s="112"/>
      <c r="BB3" s="120"/>
    </row>
    <row r="4" spans="2:54">
      <c r="B4" s="78"/>
      <c r="C4" s="79">
        <v>0</v>
      </c>
      <c r="D4" s="79"/>
      <c r="E4" s="79"/>
      <c r="F4" s="79"/>
      <c r="G4" s="86"/>
      <c r="H4" s="79"/>
      <c r="I4" s="79">
        <v>0</v>
      </c>
      <c r="J4" s="79"/>
      <c r="K4" s="79"/>
      <c r="L4" s="79"/>
      <c r="M4" s="86"/>
      <c r="N4" s="79"/>
      <c r="O4" s="79">
        <v>0</v>
      </c>
      <c r="P4" s="79"/>
      <c r="Q4" s="79"/>
      <c r="R4" s="88"/>
      <c r="T4" s="102"/>
      <c r="U4" s="103">
        <v>0</v>
      </c>
      <c r="V4" s="103"/>
      <c r="W4" s="103"/>
      <c r="X4" s="103"/>
      <c r="Y4" s="108"/>
      <c r="Z4" s="103"/>
      <c r="AA4" s="103">
        <v>0</v>
      </c>
      <c r="AB4" s="103"/>
      <c r="AC4" s="103"/>
      <c r="AD4" s="103"/>
      <c r="AE4" s="108"/>
      <c r="AF4" s="103"/>
      <c r="AG4" s="103">
        <v>0</v>
      </c>
      <c r="AH4" s="103"/>
      <c r="AI4" s="103"/>
      <c r="AJ4" s="110"/>
      <c r="AL4" s="111"/>
      <c r="AM4" s="112">
        <v>0</v>
      </c>
      <c r="AN4" s="112"/>
      <c r="AO4" s="112"/>
      <c r="AP4" s="112"/>
      <c r="AQ4" s="118"/>
      <c r="AR4" s="112"/>
      <c r="AS4" s="112">
        <v>0</v>
      </c>
      <c r="AT4" s="112"/>
      <c r="AU4" s="112"/>
      <c r="AV4" s="112"/>
      <c r="AW4" s="118"/>
      <c r="AX4" s="112"/>
      <c r="AY4" s="112">
        <v>0</v>
      </c>
      <c r="AZ4" s="112"/>
      <c r="BA4" s="112"/>
      <c r="BB4" s="120"/>
    </row>
    <row r="5" spans="2:54">
      <c r="B5" s="78"/>
      <c r="C5" s="79">
        <v>0</v>
      </c>
      <c r="D5" s="79"/>
      <c r="E5" s="79"/>
      <c r="F5" s="79"/>
      <c r="G5" s="86"/>
      <c r="H5" s="79"/>
      <c r="I5" s="79">
        <v>0</v>
      </c>
      <c r="J5" s="79"/>
      <c r="K5" s="79"/>
      <c r="L5" s="79"/>
      <c r="M5" s="86"/>
      <c r="N5" s="79"/>
      <c r="O5" s="79">
        <v>0</v>
      </c>
      <c r="P5" s="79"/>
      <c r="Q5" s="79"/>
      <c r="R5" s="88"/>
      <c r="T5" s="102"/>
      <c r="U5" s="103">
        <v>0</v>
      </c>
      <c r="V5" s="103"/>
      <c r="W5" s="103"/>
      <c r="X5" s="103"/>
      <c r="Y5" s="108"/>
      <c r="Z5" s="103"/>
      <c r="AA5" s="103">
        <v>0</v>
      </c>
      <c r="AB5" s="103"/>
      <c r="AC5" s="103"/>
      <c r="AD5" s="103"/>
      <c r="AE5" s="108"/>
      <c r="AF5" s="103"/>
      <c r="AG5" s="103">
        <v>0</v>
      </c>
      <c r="AH5" s="103"/>
      <c r="AI5" s="103"/>
      <c r="AJ5" s="110"/>
      <c r="AL5" s="111"/>
      <c r="AM5" s="112">
        <v>0</v>
      </c>
      <c r="AN5" s="112"/>
      <c r="AO5" s="112"/>
      <c r="AP5" s="112"/>
      <c r="AQ5" s="118"/>
      <c r="AR5" s="112"/>
      <c r="AS5" s="112">
        <v>0</v>
      </c>
      <c r="AT5" s="112"/>
      <c r="AU5" s="112"/>
      <c r="AV5" s="112"/>
      <c r="AW5" s="118"/>
      <c r="AX5" s="112"/>
      <c r="AY5" s="112">
        <v>0</v>
      </c>
      <c r="AZ5" s="112"/>
      <c r="BA5" s="112"/>
      <c r="BB5" s="120"/>
    </row>
    <row r="6" spans="2:54">
      <c r="B6" s="78"/>
      <c r="C6" s="79">
        <v>0</v>
      </c>
      <c r="D6" s="79"/>
      <c r="E6" s="79"/>
      <c r="F6" s="79"/>
      <c r="G6" s="86"/>
      <c r="H6" s="79"/>
      <c r="I6" s="79">
        <v>0</v>
      </c>
      <c r="J6" s="79"/>
      <c r="K6" s="79"/>
      <c r="L6" s="79"/>
      <c r="M6" s="86"/>
      <c r="N6" s="79"/>
      <c r="O6" s="79">
        <v>0</v>
      </c>
      <c r="P6" s="79"/>
      <c r="Q6" s="79"/>
      <c r="R6" s="88"/>
      <c r="T6" s="102"/>
      <c r="U6" s="103">
        <v>0</v>
      </c>
      <c r="V6" s="103"/>
      <c r="W6" s="103"/>
      <c r="X6" s="103"/>
      <c r="Y6" s="108"/>
      <c r="Z6" s="103"/>
      <c r="AA6" s="103">
        <v>0</v>
      </c>
      <c r="AB6" s="103"/>
      <c r="AC6" s="103"/>
      <c r="AD6" s="103"/>
      <c r="AE6" s="108"/>
      <c r="AF6" s="103"/>
      <c r="AG6" s="103">
        <v>0</v>
      </c>
      <c r="AH6" s="103"/>
      <c r="AI6" s="103"/>
      <c r="AJ6" s="110"/>
      <c r="AL6" s="111"/>
      <c r="AM6" s="112">
        <v>0</v>
      </c>
      <c r="AN6" s="112"/>
      <c r="AO6" s="112"/>
      <c r="AP6" s="112"/>
      <c r="AQ6" s="118"/>
      <c r="AR6" s="112"/>
      <c r="AS6" s="112">
        <v>0</v>
      </c>
      <c r="AT6" s="112"/>
      <c r="AU6" s="112"/>
      <c r="AV6" s="112"/>
      <c r="AW6" s="118"/>
      <c r="AX6" s="112"/>
      <c r="AY6" s="112">
        <v>0</v>
      </c>
      <c r="AZ6" s="112"/>
      <c r="BA6" s="112"/>
      <c r="BB6" s="120"/>
    </row>
    <row r="7" spans="2:54">
      <c r="B7" s="78"/>
      <c r="C7" s="79">
        <v>0</v>
      </c>
      <c r="D7" s="79"/>
      <c r="E7" s="79"/>
      <c r="F7" s="79"/>
      <c r="G7" s="86"/>
      <c r="H7" s="79"/>
      <c r="I7" s="79">
        <v>0</v>
      </c>
      <c r="J7" s="79"/>
      <c r="K7" s="79"/>
      <c r="L7" s="79"/>
      <c r="M7" s="86"/>
      <c r="N7" s="79"/>
      <c r="O7" s="79">
        <v>0</v>
      </c>
      <c r="P7" s="79"/>
      <c r="Q7" s="79"/>
      <c r="R7" s="88"/>
      <c r="T7" s="102"/>
      <c r="U7" s="103">
        <v>0</v>
      </c>
      <c r="V7" s="103"/>
      <c r="W7" s="103"/>
      <c r="X7" s="103"/>
      <c r="Y7" s="108"/>
      <c r="Z7" s="103"/>
      <c r="AA7" s="103">
        <v>0</v>
      </c>
      <c r="AB7" s="103"/>
      <c r="AC7" s="103"/>
      <c r="AD7" s="103"/>
      <c r="AE7" s="108"/>
      <c r="AF7" s="103"/>
      <c r="AG7" s="103">
        <v>0</v>
      </c>
      <c r="AH7" s="103"/>
      <c r="AI7" s="103"/>
      <c r="AJ7" s="110"/>
      <c r="AL7" s="111"/>
      <c r="AM7" s="112">
        <v>0</v>
      </c>
      <c r="AN7" s="112"/>
      <c r="AO7" s="112"/>
      <c r="AP7" s="112"/>
      <c r="AQ7" s="118"/>
      <c r="AR7" s="112"/>
      <c r="AS7" s="112">
        <v>0</v>
      </c>
      <c r="AT7" s="112"/>
      <c r="AU7" s="112"/>
      <c r="AV7" s="112"/>
      <c r="AW7" s="118"/>
      <c r="AX7" s="112"/>
      <c r="AY7" s="112">
        <v>0</v>
      </c>
      <c r="AZ7" s="112"/>
      <c r="BA7" s="112"/>
      <c r="BB7" s="120"/>
    </row>
    <row r="8" spans="2:54">
      <c r="B8" s="78"/>
      <c r="C8" s="79">
        <v>0</v>
      </c>
      <c r="D8" s="79"/>
      <c r="E8" s="79"/>
      <c r="F8" s="79"/>
      <c r="G8" s="86"/>
      <c r="H8" s="79"/>
      <c r="I8" s="79">
        <v>0</v>
      </c>
      <c r="J8" s="79"/>
      <c r="K8" s="79"/>
      <c r="L8" s="79"/>
      <c r="M8" s="86"/>
      <c r="N8" s="79"/>
      <c r="O8" s="79">
        <v>0</v>
      </c>
      <c r="P8" s="79"/>
      <c r="Q8" s="79"/>
      <c r="R8" s="88"/>
      <c r="T8" s="102"/>
      <c r="U8" s="103">
        <v>0</v>
      </c>
      <c r="V8" s="103"/>
      <c r="W8" s="103"/>
      <c r="X8" s="103"/>
      <c r="Y8" s="108"/>
      <c r="Z8" s="103"/>
      <c r="AA8" s="103">
        <v>0</v>
      </c>
      <c r="AB8" s="103"/>
      <c r="AC8" s="103"/>
      <c r="AD8" s="103"/>
      <c r="AE8" s="108"/>
      <c r="AF8" s="103"/>
      <c r="AG8" s="103">
        <v>0</v>
      </c>
      <c r="AH8" s="103"/>
      <c r="AI8" s="103"/>
      <c r="AJ8" s="110"/>
      <c r="AL8" s="111"/>
      <c r="AM8" s="112">
        <v>0</v>
      </c>
      <c r="AN8" s="112"/>
      <c r="AO8" s="112"/>
      <c r="AP8" s="112"/>
      <c r="AQ8" s="118"/>
      <c r="AR8" s="112"/>
      <c r="AS8" s="112">
        <v>0</v>
      </c>
      <c r="AT8" s="112"/>
      <c r="AU8" s="112"/>
      <c r="AV8" s="112"/>
      <c r="AW8" s="118"/>
      <c r="AX8" s="112"/>
      <c r="AY8" s="112">
        <v>0</v>
      </c>
      <c r="AZ8" s="112"/>
      <c r="BA8" s="112"/>
      <c r="BB8" s="120"/>
    </row>
    <row r="9" spans="2:54">
      <c r="B9" s="78"/>
      <c r="C9" s="79">
        <v>0</v>
      </c>
      <c r="D9" s="79"/>
      <c r="E9" s="79"/>
      <c r="F9" s="79"/>
      <c r="G9" s="86"/>
      <c r="H9" s="79"/>
      <c r="I9" s="79">
        <v>0</v>
      </c>
      <c r="J9" s="79"/>
      <c r="K9" s="79"/>
      <c r="L9" s="79"/>
      <c r="M9" s="86"/>
      <c r="N9" s="79"/>
      <c r="O9" s="79">
        <v>0</v>
      </c>
      <c r="P9" s="79"/>
      <c r="Q9" s="79"/>
      <c r="R9" s="88"/>
      <c r="T9" s="102"/>
      <c r="U9" s="103">
        <v>0</v>
      </c>
      <c r="V9" s="103"/>
      <c r="W9" s="103"/>
      <c r="X9" s="103"/>
      <c r="Y9" s="108"/>
      <c r="Z9" s="103"/>
      <c r="AA9" s="103">
        <v>0</v>
      </c>
      <c r="AB9" s="103"/>
      <c r="AC9" s="103"/>
      <c r="AD9" s="103"/>
      <c r="AE9" s="108"/>
      <c r="AF9" s="103"/>
      <c r="AG9" s="103">
        <v>0</v>
      </c>
      <c r="AH9" s="103"/>
      <c r="AI9" s="103"/>
      <c r="AJ9" s="110"/>
      <c r="AL9" s="111"/>
      <c r="AM9" s="112">
        <v>0</v>
      </c>
      <c r="AN9" s="112"/>
      <c r="AO9" s="112"/>
      <c r="AP9" s="112"/>
      <c r="AQ9" s="118"/>
      <c r="AR9" s="112"/>
      <c r="AS9" s="112">
        <v>0</v>
      </c>
      <c r="AT9" s="112"/>
      <c r="AU9" s="112"/>
      <c r="AV9" s="112"/>
      <c r="AW9" s="118"/>
      <c r="AX9" s="112"/>
      <c r="AY9" s="112">
        <v>0</v>
      </c>
      <c r="AZ9" s="112"/>
      <c r="BA9" s="112"/>
      <c r="BB9" s="120"/>
    </row>
    <row r="10" spans="2:54">
      <c r="B10" s="78"/>
      <c r="C10" s="79">
        <v>0</v>
      </c>
      <c r="D10" s="79"/>
      <c r="E10" s="79"/>
      <c r="F10" s="79"/>
      <c r="G10" s="86"/>
      <c r="H10" s="79"/>
      <c r="I10" s="79">
        <v>0</v>
      </c>
      <c r="J10" s="79"/>
      <c r="K10" s="79"/>
      <c r="L10" s="79"/>
      <c r="M10" s="86"/>
      <c r="N10" s="79"/>
      <c r="O10" s="79">
        <v>0</v>
      </c>
      <c r="P10" s="79"/>
      <c r="Q10" s="79"/>
      <c r="R10" s="88"/>
      <c r="T10" s="102"/>
      <c r="U10" s="103">
        <v>0</v>
      </c>
      <c r="V10" s="103"/>
      <c r="W10" s="103"/>
      <c r="X10" s="103"/>
      <c r="Y10" s="108"/>
      <c r="Z10" s="103"/>
      <c r="AA10" s="103">
        <v>0</v>
      </c>
      <c r="AB10" s="103"/>
      <c r="AC10" s="103"/>
      <c r="AD10" s="103"/>
      <c r="AE10" s="108"/>
      <c r="AF10" s="103"/>
      <c r="AG10" s="103">
        <v>0</v>
      </c>
      <c r="AH10" s="103"/>
      <c r="AI10" s="103"/>
      <c r="AJ10" s="110"/>
      <c r="AL10" s="111"/>
      <c r="AM10" s="112">
        <v>0</v>
      </c>
      <c r="AN10" s="112"/>
      <c r="AO10" s="112"/>
      <c r="AP10" s="112"/>
      <c r="AQ10" s="118"/>
      <c r="AR10" s="112"/>
      <c r="AS10" s="112">
        <v>0</v>
      </c>
      <c r="AT10" s="112"/>
      <c r="AU10" s="112"/>
      <c r="AV10" s="112"/>
      <c r="AW10" s="118"/>
      <c r="AX10" s="112"/>
      <c r="AY10" s="112">
        <v>0</v>
      </c>
      <c r="AZ10" s="112"/>
      <c r="BA10" s="112"/>
      <c r="BB10" s="120"/>
    </row>
    <row r="11" spans="2:54">
      <c r="B11" s="78"/>
      <c r="C11" s="79">
        <v>0</v>
      </c>
      <c r="D11" s="79"/>
      <c r="E11" s="79"/>
      <c r="F11" s="79"/>
      <c r="G11" s="86"/>
      <c r="H11" s="79"/>
      <c r="I11" s="79">
        <v>0</v>
      </c>
      <c r="J11" s="79"/>
      <c r="K11" s="79"/>
      <c r="L11" s="79"/>
      <c r="M11" s="86"/>
      <c r="N11" s="79"/>
      <c r="O11" s="79">
        <v>0</v>
      </c>
      <c r="P11" s="79"/>
      <c r="Q11" s="79"/>
      <c r="R11" s="88"/>
      <c r="T11" s="102"/>
      <c r="U11" s="103">
        <v>0</v>
      </c>
      <c r="V11" s="103"/>
      <c r="W11" s="103"/>
      <c r="X11" s="103"/>
      <c r="Y11" s="108"/>
      <c r="Z11" s="103"/>
      <c r="AA11" s="103">
        <v>0</v>
      </c>
      <c r="AB11" s="103"/>
      <c r="AC11" s="103"/>
      <c r="AD11" s="103"/>
      <c r="AE11" s="108"/>
      <c r="AF11" s="103"/>
      <c r="AG11" s="103">
        <v>0</v>
      </c>
      <c r="AH11" s="103"/>
      <c r="AI11" s="103"/>
      <c r="AJ11" s="110"/>
      <c r="AL11" s="111"/>
      <c r="AM11" s="112">
        <v>0</v>
      </c>
      <c r="AN11" s="112"/>
      <c r="AO11" s="112"/>
      <c r="AP11" s="112"/>
      <c r="AQ11" s="118"/>
      <c r="AR11" s="112"/>
      <c r="AS11" s="112">
        <v>0</v>
      </c>
      <c r="AT11" s="112"/>
      <c r="AU11" s="112"/>
      <c r="AV11" s="112"/>
      <c r="AW11" s="118"/>
      <c r="AX11" s="112"/>
      <c r="AY11" s="112">
        <v>0</v>
      </c>
      <c r="AZ11" s="112"/>
      <c r="BA11" s="112"/>
      <c r="BB11" s="120"/>
    </row>
    <row r="12" spans="2:54">
      <c r="B12" s="78"/>
      <c r="C12" s="79">
        <v>0</v>
      </c>
      <c r="D12" s="79"/>
      <c r="E12" s="79"/>
      <c r="F12" s="79"/>
      <c r="G12" s="86"/>
      <c r="H12" s="79"/>
      <c r="I12" s="79">
        <v>0</v>
      </c>
      <c r="J12" s="79"/>
      <c r="K12" s="79"/>
      <c r="L12" s="79"/>
      <c r="M12" s="86"/>
      <c r="N12" s="79"/>
      <c r="O12" s="79">
        <v>0</v>
      </c>
      <c r="P12" s="79"/>
      <c r="Q12" s="79"/>
      <c r="R12" s="88"/>
      <c r="T12" s="102"/>
      <c r="U12" s="103">
        <v>0</v>
      </c>
      <c r="V12" s="103"/>
      <c r="W12" s="103"/>
      <c r="X12" s="103"/>
      <c r="Y12" s="108"/>
      <c r="Z12" s="103"/>
      <c r="AA12" s="103">
        <v>0</v>
      </c>
      <c r="AB12" s="103"/>
      <c r="AC12" s="103"/>
      <c r="AD12" s="103"/>
      <c r="AE12" s="108"/>
      <c r="AF12" s="103"/>
      <c r="AG12" s="103">
        <v>0</v>
      </c>
      <c r="AH12" s="103"/>
      <c r="AI12" s="103"/>
      <c r="AJ12" s="110"/>
      <c r="AL12" s="111"/>
      <c r="AM12" s="112">
        <v>0</v>
      </c>
      <c r="AN12" s="112"/>
      <c r="AO12" s="112"/>
      <c r="AP12" s="112"/>
      <c r="AQ12" s="118"/>
      <c r="AR12" s="112"/>
      <c r="AS12" s="112">
        <v>0</v>
      </c>
      <c r="AT12" s="112"/>
      <c r="AU12" s="112"/>
      <c r="AV12" s="112"/>
      <c r="AW12" s="118"/>
      <c r="AX12" s="112"/>
      <c r="AY12" s="112">
        <v>0</v>
      </c>
      <c r="AZ12" s="112"/>
      <c r="BA12" s="112"/>
      <c r="BB12" s="120"/>
    </row>
    <row r="13" spans="2:54">
      <c r="B13" s="78"/>
      <c r="C13" s="79">
        <v>0</v>
      </c>
      <c r="D13" s="79"/>
      <c r="E13" s="79"/>
      <c r="F13" s="79"/>
      <c r="G13" s="86"/>
      <c r="H13" s="79"/>
      <c r="I13" s="79">
        <v>0</v>
      </c>
      <c r="J13" s="79"/>
      <c r="K13" s="79"/>
      <c r="L13" s="79"/>
      <c r="M13" s="86"/>
      <c r="N13" s="79"/>
      <c r="O13" s="79">
        <v>0</v>
      </c>
      <c r="P13" s="79"/>
      <c r="Q13" s="79"/>
      <c r="R13" s="88"/>
      <c r="T13" s="102"/>
      <c r="U13" s="103">
        <v>0</v>
      </c>
      <c r="V13" s="103"/>
      <c r="W13" s="103"/>
      <c r="X13" s="103"/>
      <c r="Y13" s="108"/>
      <c r="Z13" s="103"/>
      <c r="AA13" s="103">
        <v>0</v>
      </c>
      <c r="AB13" s="103"/>
      <c r="AC13" s="103"/>
      <c r="AD13" s="103"/>
      <c r="AE13" s="108"/>
      <c r="AF13" s="103"/>
      <c r="AG13" s="103">
        <v>0</v>
      </c>
      <c r="AH13" s="103"/>
      <c r="AI13" s="103"/>
      <c r="AJ13" s="110"/>
      <c r="AL13" s="111"/>
      <c r="AM13" s="112">
        <v>0</v>
      </c>
      <c r="AN13" s="112"/>
      <c r="AO13" s="112"/>
      <c r="AP13" s="112"/>
      <c r="AQ13" s="118"/>
      <c r="AR13" s="112"/>
      <c r="AS13" s="112">
        <v>0</v>
      </c>
      <c r="AT13" s="112"/>
      <c r="AU13" s="112"/>
      <c r="AV13" s="112"/>
      <c r="AW13" s="118"/>
      <c r="AX13" s="112"/>
      <c r="AY13" s="112">
        <v>0</v>
      </c>
      <c r="AZ13" s="112"/>
      <c r="BA13" s="112"/>
      <c r="BB13" s="120"/>
    </row>
    <row r="14" spans="2:54">
      <c r="B14" s="78"/>
      <c r="C14" s="79">
        <v>0</v>
      </c>
      <c r="D14" s="79"/>
      <c r="E14" s="79"/>
      <c r="F14" s="79"/>
      <c r="G14" s="86"/>
      <c r="H14" s="79"/>
      <c r="I14" s="79">
        <v>0</v>
      </c>
      <c r="J14" s="79"/>
      <c r="K14" s="79"/>
      <c r="L14" s="79"/>
      <c r="M14" s="86"/>
      <c r="N14" s="79"/>
      <c r="O14" s="79">
        <v>0</v>
      </c>
      <c r="P14" s="79"/>
      <c r="Q14" s="79"/>
      <c r="R14" s="88"/>
      <c r="T14" s="102"/>
      <c r="U14" s="103">
        <v>0</v>
      </c>
      <c r="V14" s="103"/>
      <c r="W14" s="103"/>
      <c r="X14" s="103"/>
      <c r="Y14" s="108"/>
      <c r="Z14" s="103"/>
      <c r="AA14" s="103">
        <v>0</v>
      </c>
      <c r="AB14" s="103"/>
      <c r="AC14" s="103"/>
      <c r="AD14" s="103"/>
      <c r="AE14" s="108"/>
      <c r="AF14" s="103"/>
      <c r="AG14" s="103">
        <v>0</v>
      </c>
      <c r="AH14" s="103"/>
      <c r="AI14" s="103"/>
      <c r="AJ14" s="110"/>
      <c r="AL14" s="111"/>
      <c r="AM14" s="112">
        <v>0</v>
      </c>
      <c r="AN14" s="112"/>
      <c r="AO14" s="112"/>
      <c r="AP14" s="112"/>
      <c r="AQ14" s="118"/>
      <c r="AR14" s="112"/>
      <c r="AS14" s="112">
        <v>0</v>
      </c>
      <c r="AT14" s="112"/>
      <c r="AU14" s="112"/>
      <c r="AV14" s="112"/>
      <c r="AW14" s="118"/>
      <c r="AX14" s="112"/>
      <c r="AY14" s="112">
        <v>0</v>
      </c>
      <c r="AZ14" s="112"/>
      <c r="BA14" s="112"/>
      <c r="BB14" s="120"/>
    </row>
    <row r="15" spans="2:54">
      <c r="B15" s="78"/>
      <c r="C15" s="79">
        <v>0</v>
      </c>
      <c r="D15" s="79"/>
      <c r="E15" s="79"/>
      <c r="F15" s="79"/>
      <c r="G15" s="86"/>
      <c r="H15" s="79"/>
      <c r="I15" s="79">
        <v>0</v>
      </c>
      <c r="J15" s="79"/>
      <c r="K15" s="79"/>
      <c r="L15" s="79"/>
      <c r="M15" s="86"/>
      <c r="N15" s="79"/>
      <c r="O15" s="79">
        <v>0</v>
      </c>
      <c r="P15" s="79"/>
      <c r="Q15" s="79"/>
      <c r="R15" s="88"/>
      <c r="T15" s="102"/>
      <c r="U15" s="103">
        <v>0</v>
      </c>
      <c r="V15" s="103"/>
      <c r="W15" s="103"/>
      <c r="X15" s="103"/>
      <c r="Y15" s="108"/>
      <c r="Z15" s="103"/>
      <c r="AA15" s="103">
        <v>0</v>
      </c>
      <c r="AB15" s="103"/>
      <c r="AC15" s="103"/>
      <c r="AD15" s="103"/>
      <c r="AE15" s="108"/>
      <c r="AF15" s="103"/>
      <c r="AG15" s="103">
        <v>0</v>
      </c>
      <c r="AH15" s="103"/>
      <c r="AI15" s="103"/>
      <c r="AJ15" s="110"/>
      <c r="AL15" s="111"/>
      <c r="AM15" s="112">
        <v>0</v>
      </c>
      <c r="AN15" s="112"/>
      <c r="AO15" s="112"/>
      <c r="AP15" s="112"/>
      <c r="AQ15" s="118"/>
      <c r="AR15" s="112"/>
      <c r="AS15" s="112">
        <v>0</v>
      </c>
      <c r="AT15" s="112"/>
      <c r="AU15" s="112"/>
      <c r="AV15" s="112"/>
      <c r="AW15" s="118"/>
      <c r="AX15" s="112"/>
      <c r="AY15" s="112">
        <v>0</v>
      </c>
      <c r="AZ15" s="112"/>
      <c r="BA15" s="112"/>
      <c r="BB15" s="120"/>
    </row>
    <row r="16" spans="2:54">
      <c r="B16" s="78"/>
      <c r="C16" s="79">
        <v>0</v>
      </c>
      <c r="D16" s="79"/>
      <c r="E16" s="79"/>
      <c r="F16" s="79"/>
      <c r="G16" s="86"/>
      <c r="H16" s="79"/>
      <c r="I16" s="79">
        <v>0</v>
      </c>
      <c r="J16" s="79"/>
      <c r="K16" s="79"/>
      <c r="L16" s="79"/>
      <c r="M16" s="86"/>
      <c r="N16" s="79"/>
      <c r="O16" s="79">
        <v>0</v>
      </c>
      <c r="P16" s="79"/>
      <c r="Q16" s="79"/>
      <c r="R16" s="88"/>
      <c r="T16" s="102"/>
      <c r="U16" s="103">
        <v>0</v>
      </c>
      <c r="V16" s="103"/>
      <c r="W16" s="103"/>
      <c r="X16" s="103"/>
      <c r="Y16" s="108"/>
      <c r="Z16" s="103"/>
      <c r="AA16" s="103">
        <v>0</v>
      </c>
      <c r="AB16" s="103"/>
      <c r="AC16" s="103"/>
      <c r="AD16" s="103"/>
      <c r="AE16" s="108"/>
      <c r="AF16" s="103"/>
      <c r="AG16" s="103">
        <v>0</v>
      </c>
      <c r="AH16" s="103"/>
      <c r="AI16" s="103"/>
      <c r="AJ16" s="110"/>
      <c r="AL16" s="111"/>
      <c r="AM16" s="112">
        <v>0</v>
      </c>
      <c r="AN16" s="112"/>
      <c r="AO16" s="112"/>
      <c r="AP16" s="112"/>
      <c r="AQ16" s="118"/>
      <c r="AR16" s="112"/>
      <c r="AS16" s="112">
        <v>0</v>
      </c>
      <c r="AT16" s="112"/>
      <c r="AU16" s="112"/>
      <c r="AV16" s="112"/>
      <c r="AW16" s="118"/>
      <c r="AX16" s="112"/>
      <c r="AY16" s="112">
        <v>0</v>
      </c>
      <c r="AZ16" s="112"/>
      <c r="BA16" s="112"/>
      <c r="BB16" s="120"/>
    </row>
    <row r="17" spans="2:54">
      <c r="B17" s="78"/>
      <c r="C17" s="79">
        <v>0</v>
      </c>
      <c r="D17" s="79"/>
      <c r="E17" s="79"/>
      <c r="F17" s="79"/>
      <c r="G17" s="86"/>
      <c r="H17" s="79"/>
      <c r="I17" s="79">
        <v>0</v>
      </c>
      <c r="J17" s="79"/>
      <c r="K17" s="79"/>
      <c r="L17" s="79"/>
      <c r="M17" s="86"/>
      <c r="N17" s="79"/>
      <c r="O17" s="79">
        <v>0</v>
      </c>
      <c r="P17" s="79"/>
      <c r="Q17" s="79"/>
      <c r="R17" s="88"/>
      <c r="T17" s="102"/>
      <c r="U17" s="103">
        <v>0</v>
      </c>
      <c r="V17" s="103"/>
      <c r="W17" s="103"/>
      <c r="X17" s="103"/>
      <c r="Y17" s="108"/>
      <c r="Z17" s="103"/>
      <c r="AA17" s="103">
        <v>0</v>
      </c>
      <c r="AB17" s="103"/>
      <c r="AC17" s="103"/>
      <c r="AD17" s="103"/>
      <c r="AE17" s="108"/>
      <c r="AF17" s="103"/>
      <c r="AG17" s="103">
        <v>0</v>
      </c>
      <c r="AH17" s="103"/>
      <c r="AI17" s="103"/>
      <c r="AJ17" s="110"/>
      <c r="AL17" s="111"/>
      <c r="AM17" s="112">
        <v>0</v>
      </c>
      <c r="AN17" s="112"/>
      <c r="AO17" s="112"/>
      <c r="AP17" s="112"/>
      <c r="AQ17" s="118"/>
      <c r="AR17" s="112"/>
      <c r="AS17" s="112">
        <v>0</v>
      </c>
      <c r="AT17" s="112"/>
      <c r="AU17" s="112"/>
      <c r="AV17" s="112"/>
      <c r="AW17" s="118"/>
      <c r="AX17" s="112"/>
      <c r="AY17" s="112">
        <v>0</v>
      </c>
      <c r="AZ17" s="112"/>
      <c r="BA17" s="112"/>
      <c r="BB17" s="120"/>
    </row>
    <row r="18" spans="2:54">
      <c r="B18" s="78"/>
      <c r="C18" s="79">
        <v>0</v>
      </c>
      <c r="D18" s="79"/>
      <c r="E18" s="79"/>
      <c r="F18" s="79"/>
      <c r="G18" s="86"/>
      <c r="H18" s="79"/>
      <c r="I18" s="79">
        <v>0</v>
      </c>
      <c r="J18" s="79"/>
      <c r="K18" s="79"/>
      <c r="L18" s="79"/>
      <c r="M18" s="86"/>
      <c r="N18" s="79"/>
      <c r="O18" s="79">
        <v>0</v>
      </c>
      <c r="P18" s="79"/>
      <c r="Q18" s="79"/>
      <c r="R18" s="88"/>
      <c r="T18" s="102"/>
      <c r="U18" s="103">
        <v>0</v>
      </c>
      <c r="V18" s="103"/>
      <c r="W18" s="103"/>
      <c r="X18" s="103"/>
      <c r="Y18" s="108"/>
      <c r="Z18" s="103"/>
      <c r="AA18" s="103">
        <v>0</v>
      </c>
      <c r="AB18" s="103"/>
      <c r="AC18" s="103"/>
      <c r="AD18" s="103"/>
      <c r="AE18" s="108"/>
      <c r="AF18" s="103"/>
      <c r="AG18" s="103">
        <v>0</v>
      </c>
      <c r="AH18" s="103"/>
      <c r="AI18" s="103"/>
      <c r="AJ18" s="110"/>
      <c r="AL18" s="111"/>
      <c r="AM18" s="112">
        <v>0</v>
      </c>
      <c r="AN18" s="112"/>
      <c r="AO18" s="112"/>
      <c r="AP18" s="112"/>
      <c r="AQ18" s="118"/>
      <c r="AR18" s="112"/>
      <c r="AS18" s="112">
        <v>0</v>
      </c>
      <c r="AT18" s="112"/>
      <c r="AU18" s="112"/>
      <c r="AV18" s="112"/>
      <c r="AW18" s="118"/>
      <c r="AX18" s="112"/>
      <c r="AY18" s="112">
        <v>0</v>
      </c>
      <c r="AZ18" s="112"/>
      <c r="BA18" s="112"/>
      <c r="BB18" s="120"/>
    </row>
    <row r="19" spans="2:54">
      <c r="B19" s="78"/>
      <c r="C19" s="79">
        <v>0</v>
      </c>
      <c r="D19" s="79"/>
      <c r="E19" s="79"/>
      <c r="F19" s="79"/>
      <c r="G19" s="86"/>
      <c r="H19" s="79"/>
      <c r="I19" s="79">
        <v>0</v>
      </c>
      <c r="J19" s="79"/>
      <c r="K19" s="79"/>
      <c r="L19" s="79"/>
      <c r="M19" s="86"/>
      <c r="N19" s="79"/>
      <c r="O19" s="79">
        <v>0</v>
      </c>
      <c r="P19" s="79"/>
      <c r="Q19" s="79"/>
      <c r="R19" s="88"/>
      <c r="T19" s="102"/>
      <c r="U19" s="103">
        <v>0</v>
      </c>
      <c r="V19" s="103"/>
      <c r="W19" s="103"/>
      <c r="X19" s="103"/>
      <c r="Y19" s="108"/>
      <c r="Z19" s="103"/>
      <c r="AA19" s="103">
        <v>0</v>
      </c>
      <c r="AB19" s="103"/>
      <c r="AC19" s="103"/>
      <c r="AD19" s="103"/>
      <c r="AE19" s="108"/>
      <c r="AF19" s="103"/>
      <c r="AG19" s="103">
        <v>0</v>
      </c>
      <c r="AH19" s="103"/>
      <c r="AI19" s="103"/>
      <c r="AJ19" s="110"/>
      <c r="AL19" s="111"/>
      <c r="AM19" s="112">
        <v>0</v>
      </c>
      <c r="AN19" s="112"/>
      <c r="AO19" s="112"/>
      <c r="AP19" s="112"/>
      <c r="AQ19" s="118"/>
      <c r="AR19" s="112"/>
      <c r="AS19" s="112">
        <v>0</v>
      </c>
      <c r="AT19" s="112"/>
      <c r="AU19" s="112"/>
      <c r="AV19" s="112"/>
      <c r="AW19" s="118"/>
      <c r="AX19" s="112"/>
      <c r="AY19" s="112">
        <v>0</v>
      </c>
      <c r="AZ19" s="112"/>
      <c r="BA19" s="112"/>
      <c r="BB19" s="120"/>
    </row>
    <row r="20" spans="2:54">
      <c r="B20" s="78"/>
      <c r="C20" s="79">
        <v>0</v>
      </c>
      <c r="D20" s="79"/>
      <c r="E20" s="79"/>
      <c r="F20" s="79"/>
      <c r="G20" s="86"/>
      <c r="H20" s="79"/>
      <c r="I20" s="79">
        <v>0</v>
      </c>
      <c r="J20" s="79"/>
      <c r="K20" s="79"/>
      <c r="L20" s="79"/>
      <c r="M20" s="86"/>
      <c r="N20" s="79"/>
      <c r="O20" s="79">
        <v>0</v>
      </c>
      <c r="P20" s="79"/>
      <c r="Q20" s="79"/>
      <c r="R20" s="88"/>
      <c r="T20" s="102"/>
      <c r="U20" s="103">
        <v>0</v>
      </c>
      <c r="V20" s="103"/>
      <c r="W20" s="103"/>
      <c r="X20" s="103"/>
      <c r="Y20" s="108"/>
      <c r="Z20" s="103"/>
      <c r="AA20" s="103">
        <v>0</v>
      </c>
      <c r="AB20" s="103"/>
      <c r="AC20" s="103"/>
      <c r="AD20" s="103"/>
      <c r="AE20" s="108"/>
      <c r="AF20" s="103"/>
      <c r="AG20" s="103">
        <v>0</v>
      </c>
      <c r="AH20" s="103"/>
      <c r="AI20" s="103"/>
      <c r="AJ20" s="110"/>
      <c r="AL20" s="111"/>
      <c r="AM20" s="112">
        <v>0</v>
      </c>
      <c r="AN20" s="112"/>
      <c r="AO20" s="112"/>
      <c r="AP20" s="112"/>
      <c r="AQ20" s="118"/>
      <c r="AR20" s="112"/>
      <c r="AS20" s="112">
        <v>0</v>
      </c>
      <c r="AT20" s="112"/>
      <c r="AU20" s="112"/>
      <c r="AV20" s="112"/>
      <c r="AW20" s="118"/>
      <c r="AX20" s="112"/>
      <c r="AY20" s="112">
        <v>0</v>
      </c>
      <c r="AZ20" s="112"/>
      <c r="BA20" s="112"/>
      <c r="BB20" s="120"/>
    </row>
    <row r="21" spans="2:54">
      <c r="B21" s="78"/>
      <c r="C21" s="79">
        <v>0</v>
      </c>
      <c r="D21" s="79"/>
      <c r="E21" s="79"/>
      <c r="F21" s="79"/>
      <c r="G21" s="86"/>
      <c r="H21" s="79"/>
      <c r="I21" s="79">
        <v>0</v>
      </c>
      <c r="J21" s="79"/>
      <c r="K21" s="79"/>
      <c r="L21" s="79"/>
      <c r="M21" s="86"/>
      <c r="N21" s="79"/>
      <c r="O21" s="79">
        <v>0</v>
      </c>
      <c r="P21" s="79"/>
      <c r="Q21" s="79"/>
      <c r="R21" s="88"/>
      <c r="T21" s="102"/>
      <c r="U21" s="103">
        <v>0</v>
      </c>
      <c r="V21" s="103"/>
      <c r="W21" s="103"/>
      <c r="X21" s="103"/>
      <c r="Y21" s="108"/>
      <c r="Z21" s="103"/>
      <c r="AA21" s="103">
        <v>0</v>
      </c>
      <c r="AB21" s="103"/>
      <c r="AC21" s="103"/>
      <c r="AD21" s="103"/>
      <c r="AE21" s="108"/>
      <c r="AF21" s="103"/>
      <c r="AG21" s="103">
        <v>0</v>
      </c>
      <c r="AH21" s="103"/>
      <c r="AI21" s="103"/>
      <c r="AJ21" s="110"/>
      <c r="AL21" s="111"/>
      <c r="AM21" s="112">
        <v>0</v>
      </c>
      <c r="AN21" s="112"/>
      <c r="AO21" s="112"/>
      <c r="AP21" s="112"/>
      <c r="AQ21" s="118"/>
      <c r="AR21" s="112"/>
      <c r="AS21" s="112">
        <v>0</v>
      </c>
      <c r="AT21" s="112"/>
      <c r="AU21" s="112"/>
      <c r="AV21" s="112"/>
      <c r="AW21" s="118"/>
      <c r="AX21" s="112"/>
      <c r="AY21" s="112">
        <v>0</v>
      </c>
      <c r="AZ21" s="112"/>
      <c r="BA21" s="112"/>
      <c r="BB21" s="120"/>
    </row>
    <row r="22" spans="2:54">
      <c r="B22" s="78"/>
      <c r="C22" s="79">
        <v>0</v>
      </c>
      <c r="D22" s="79"/>
      <c r="E22" s="79"/>
      <c r="F22" s="79"/>
      <c r="G22" s="86"/>
      <c r="H22" s="79"/>
      <c r="I22" s="79">
        <v>0</v>
      </c>
      <c r="J22" s="79"/>
      <c r="K22" s="79"/>
      <c r="L22" s="79"/>
      <c r="M22" s="86"/>
      <c r="N22" s="79"/>
      <c r="O22" s="79">
        <v>0</v>
      </c>
      <c r="P22" s="79"/>
      <c r="Q22" s="79"/>
      <c r="R22" s="88"/>
      <c r="T22" s="102"/>
      <c r="U22" s="103">
        <v>0</v>
      </c>
      <c r="V22" s="103"/>
      <c r="W22" s="103"/>
      <c r="X22" s="103"/>
      <c r="Y22" s="108"/>
      <c r="Z22" s="103"/>
      <c r="AA22" s="103">
        <v>0</v>
      </c>
      <c r="AB22" s="103"/>
      <c r="AC22" s="103"/>
      <c r="AD22" s="103"/>
      <c r="AE22" s="108"/>
      <c r="AF22" s="103"/>
      <c r="AG22" s="103">
        <v>0</v>
      </c>
      <c r="AH22" s="103"/>
      <c r="AI22" s="103"/>
      <c r="AJ22" s="110"/>
      <c r="AL22" s="111"/>
      <c r="AM22" s="112">
        <v>0</v>
      </c>
      <c r="AN22" s="112"/>
      <c r="AO22" s="112"/>
      <c r="AP22" s="112"/>
      <c r="AQ22" s="118"/>
      <c r="AR22" s="112"/>
      <c r="AS22" s="112">
        <v>0</v>
      </c>
      <c r="AT22" s="112"/>
      <c r="AU22" s="112"/>
      <c r="AV22" s="112"/>
      <c r="AW22" s="118"/>
      <c r="AX22" s="112"/>
      <c r="AY22" s="112">
        <v>0</v>
      </c>
      <c r="AZ22" s="112"/>
      <c r="BA22" s="112"/>
      <c r="BB22" s="120"/>
    </row>
    <row r="23" spans="2:54">
      <c r="B23" s="78"/>
      <c r="C23" s="79">
        <v>0</v>
      </c>
      <c r="D23" s="79"/>
      <c r="E23" s="79"/>
      <c r="F23" s="79"/>
      <c r="G23" s="86"/>
      <c r="H23" s="79"/>
      <c r="I23" s="79">
        <v>0</v>
      </c>
      <c r="J23" s="79"/>
      <c r="K23" s="79"/>
      <c r="L23" s="79"/>
      <c r="M23" s="86"/>
      <c r="N23" s="79"/>
      <c r="O23" s="79">
        <v>0</v>
      </c>
      <c r="P23" s="79"/>
      <c r="Q23" s="79"/>
      <c r="R23" s="88"/>
      <c r="T23" s="102"/>
      <c r="U23" s="103">
        <v>0</v>
      </c>
      <c r="V23" s="103"/>
      <c r="W23" s="103"/>
      <c r="X23" s="103"/>
      <c r="Y23" s="108"/>
      <c r="Z23" s="103"/>
      <c r="AA23" s="103">
        <v>0</v>
      </c>
      <c r="AB23" s="103"/>
      <c r="AC23" s="103"/>
      <c r="AD23" s="103"/>
      <c r="AE23" s="108"/>
      <c r="AF23" s="103"/>
      <c r="AG23" s="103">
        <v>0</v>
      </c>
      <c r="AH23" s="103"/>
      <c r="AI23" s="103"/>
      <c r="AJ23" s="110"/>
      <c r="AL23" s="111"/>
      <c r="AM23" s="112">
        <v>0</v>
      </c>
      <c r="AN23" s="112"/>
      <c r="AO23" s="112"/>
      <c r="AP23" s="112"/>
      <c r="AQ23" s="118"/>
      <c r="AR23" s="112"/>
      <c r="AS23" s="112">
        <v>0</v>
      </c>
      <c r="AT23" s="112"/>
      <c r="AU23" s="112"/>
      <c r="AV23" s="112"/>
      <c r="AW23" s="118"/>
      <c r="AX23" s="112"/>
      <c r="AY23" s="112">
        <v>0</v>
      </c>
      <c r="AZ23" s="112"/>
      <c r="BA23" s="112"/>
      <c r="BB23" s="120"/>
    </row>
    <row r="24" spans="2:54">
      <c r="B24" s="78"/>
      <c r="C24" s="79">
        <v>0</v>
      </c>
      <c r="D24" s="79"/>
      <c r="E24" s="79"/>
      <c r="F24" s="79"/>
      <c r="G24" s="86"/>
      <c r="H24" s="79"/>
      <c r="I24" s="79">
        <v>0</v>
      </c>
      <c r="J24" s="79"/>
      <c r="K24" s="79"/>
      <c r="L24" s="79"/>
      <c r="M24" s="86"/>
      <c r="N24" s="79"/>
      <c r="O24" s="79">
        <v>0</v>
      </c>
      <c r="P24" s="79"/>
      <c r="Q24" s="79"/>
      <c r="R24" s="88"/>
      <c r="T24" s="102"/>
      <c r="U24" s="103">
        <v>0</v>
      </c>
      <c r="V24" s="103"/>
      <c r="W24" s="103"/>
      <c r="X24" s="103"/>
      <c r="Y24" s="108"/>
      <c r="Z24" s="103"/>
      <c r="AA24" s="103">
        <v>0</v>
      </c>
      <c r="AB24" s="103"/>
      <c r="AC24" s="103"/>
      <c r="AD24" s="103"/>
      <c r="AE24" s="108"/>
      <c r="AF24" s="103"/>
      <c r="AG24" s="103">
        <v>0</v>
      </c>
      <c r="AH24" s="103"/>
      <c r="AI24" s="103"/>
      <c r="AJ24" s="110"/>
      <c r="AL24" s="111"/>
      <c r="AM24" s="112">
        <v>0</v>
      </c>
      <c r="AN24" s="112"/>
      <c r="AO24" s="112"/>
      <c r="AP24" s="112"/>
      <c r="AQ24" s="118"/>
      <c r="AR24" s="112"/>
      <c r="AS24" s="112">
        <v>0</v>
      </c>
      <c r="AT24" s="112"/>
      <c r="AU24" s="112"/>
      <c r="AV24" s="112"/>
      <c r="AW24" s="118"/>
      <c r="AX24" s="112"/>
      <c r="AY24" s="112">
        <v>0</v>
      </c>
      <c r="AZ24" s="112"/>
      <c r="BA24" s="112"/>
      <c r="BB24" s="120"/>
    </row>
    <row r="25" spans="2:54">
      <c r="B25" s="78"/>
      <c r="C25" s="79">
        <v>0</v>
      </c>
      <c r="D25" s="79"/>
      <c r="E25" s="79"/>
      <c r="F25" s="79"/>
      <c r="G25" s="86"/>
      <c r="H25" s="79"/>
      <c r="I25" s="79">
        <v>0</v>
      </c>
      <c r="J25" s="79"/>
      <c r="K25" s="79"/>
      <c r="L25" s="79"/>
      <c r="M25" s="86"/>
      <c r="N25" s="79"/>
      <c r="O25" s="79">
        <v>0</v>
      </c>
      <c r="P25" s="79"/>
      <c r="Q25" s="79"/>
      <c r="R25" s="88"/>
      <c r="T25" s="102"/>
      <c r="U25" s="103">
        <v>0</v>
      </c>
      <c r="V25" s="103"/>
      <c r="W25" s="103"/>
      <c r="X25" s="103"/>
      <c r="Y25" s="108"/>
      <c r="Z25" s="103"/>
      <c r="AA25" s="103">
        <v>0</v>
      </c>
      <c r="AB25" s="103"/>
      <c r="AC25" s="103"/>
      <c r="AD25" s="103"/>
      <c r="AE25" s="108"/>
      <c r="AF25" s="103"/>
      <c r="AG25" s="103">
        <v>0</v>
      </c>
      <c r="AH25" s="103"/>
      <c r="AI25" s="103"/>
      <c r="AJ25" s="110"/>
      <c r="AL25" s="111"/>
      <c r="AM25" s="112">
        <v>0</v>
      </c>
      <c r="AN25" s="112"/>
      <c r="AO25" s="112"/>
      <c r="AP25" s="112"/>
      <c r="AQ25" s="118"/>
      <c r="AR25" s="112"/>
      <c r="AS25" s="112">
        <v>0</v>
      </c>
      <c r="AT25" s="112"/>
      <c r="AU25" s="112"/>
      <c r="AV25" s="112"/>
      <c r="AW25" s="118"/>
      <c r="AX25" s="112"/>
      <c r="AY25" s="112">
        <v>0</v>
      </c>
      <c r="AZ25" s="112"/>
      <c r="BA25" s="112"/>
      <c r="BB25" s="120"/>
    </row>
    <row r="26" spans="2:54">
      <c r="B26" s="78"/>
      <c r="C26" s="79">
        <v>0</v>
      </c>
      <c r="D26" s="79"/>
      <c r="E26" s="79"/>
      <c r="F26" s="79"/>
      <c r="G26" s="86"/>
      <c r="H26" s="79"/>
      <c r="I26" s="79">
        <v>0</v>
      </c>
      <c r="J26" s="79"/>
      <c r="K26" s="79"/>
      <c r="L26" s="79"/>
      <c r="M26" s="86"/>
      <c r="N26" s="79"/>
      <c r="O26" s="79">
        <v>0</v>
      </c>
      <c r="P26" s="79"/>
      <c r="Q26" s="79"/>
      <c r="R26" s="88"/>
      <c r="T26" s="102"/>
      <c r="U26" s="103">
        <v>0</v>
      </c>
      <c r="V26" s="103"/>
      <c r="W26" s="103"/>
      <c r="X26" s="103"/>
      <c r="Y26" s="108"/>
      <c r="Z26" s="103"/>
      <c r="AA26" s="103">
        <v>0</v>
      </c>
      <c r="AB26" s="103"/>
      <c r="AC26" s="103"/>
      <c r="AD26" s="103"/>
      <c r="AE26" s="108"/>
      <c r="AF26" s="103"/>
      <c r="AG26" s="103">
        <v>0</v>
      </c>
      <c r="AH26" s="103"/>
      <c r="AI26" s="103"/>
      <c r="AJ26" s="110"/>
      <c r="AL26" s="111"/>
      <c r="AM26" s="112">
        <v>0</v>
      </c>
      <c r="AN26" s="112"/>
      <c r="AO26" s="112"/>
      <c r="AP26" s="112"/>
      <c r="AQ26" s="118"/>
      <c r="AR26" s="112"/>
      <c r="AS26" s="112">
        <v>0</v>
      </c>
      <c r="AT26" s="112"/>
      <c r="AU26" s="112"/>
      <c r="AV26" s="112"/>
      <c r="AW26" s="118"/>
      <c r="AX26" s="112"/>
      <c r="AY26" s="112">
        <v>0</v>
      </c>
      <c r="AZ26" s="112"/>
      <c r="BA26" s="112"/>
      <c r="BB26" s="120"/>
    </row>
    <row r="27" spans="2:54">
      <c r="B27" s="78"/>
      <c r="C27" s="79"/>
      <c r="D27" s="79"/>
      <c r="E27" s="79"/>
      <c r="F27" s="79"/>
      <c r="G27" s="86"/>
      <c r="H27" s="79"/>
      <c r="I27" s="79"/>
      <c r="J27" s="79"/>
      <c r="K27" s="79"/>
      <c r="L27" s="79"/>
      <c r="M27" s="86"/>
      <c r="N27" s="79"/>
      <c r="O27" s="79"/>
      <c r="P27" s="79"/>
      <c r="Q27" s="79"/>
      <c r="R27" s="88"/>
      <c r="T27" s="102"/>
      <c r="U27" s="103"/>
      <c r="V27" s="103"/>
      <c r="W27" s="103"/>
      <c r="X27" s="103"/>
      <c r="Y27" s="108"/>
      <c r="Z27" s="103"/>
      <c r="AA27" s="103"/>
      <c r="AB27" s="103"/>
      <c r="AC27" s="103"/>
      <c r="AD27" s="103"/>
      <c r="AE27" s="108"/>
      <c r="AF27" s="103"/>
      <c r="AG27" s="103"/>
      <c r="AH27" s="103"/>
      <c r="AI27" s="103"/>
      <c r="AJ27" s="110"/>
      <c r="AL27" s="111"/>
      <c r="AM27" s="112"/>
      <c r="AN27" s="112"/>
      <c r="AO27" s="112"/>
      <c r="AP27" s="112"/>
      <c r="AQ27" s="118"/>
      <c r="AR27" s="112"/>
      <c r="AS27" s="112"/>
      <c r="AT27" s="112"/>
      <c r="AU27" s="112"/>
      <c r="AV27" s="112"/>
      <c r="AW27" s="118"/>
      <c r="AX27" s="112"/>
      <c r="AY27" s="112"/>
      <c r="AZ27" s="112"/>
      <c r="BA27" s="112"/>
      <c r="BB27" s="120"/>
    </row>
    <row r="28" spans="2:54" ht="29">
      <c r="B28" s="78" t="s">
        <v>1087</v>
      </c>
      <c r="C28" s="79" t="str" cm="1">
        <f t="array" ref="C28:C52">TRANSPOSE('02.OTD'!AB14:AZ14)</f>
        <v/>
      </c>
      <c r="D28" s="79" t="str" cm="1">
        <f t="array" ref="D28:D29">_xlfn._xlws.FILTER(_xlfn.ANCHORARRAY(C28),_xlfn.ANCHORARRAY(C28)&lt;&gt;0)</f>
        <v/>
      </c>
      <c r="E28" s="79" t="s">
        <v>1088</v>
      </c>
      <c r="F28" s="79" t="str" cm="1">
        <f t="array" ref="F28">IFERROR(_xlfn._xlws.FILTER(_xlfn.ANCHORARRAY(C2),(_xlfn.ANCHORARRAY(C2)&lt;&gt;0)*(COUNTIF(_xlfn.ANCHORARRAY(C28),_xlfn.ANCHORARRAY(C2))=0)),"N")</f>
        <v>N</v>
      </c>
      <c r="G28" s="86"/>
      <c r="H28" s="79" t="s">
        <v>1087</v>
      </c>
      <c r="I28" s="79" t="str" cm="1">
        <f t="array" ref="I28:I52">TRANSPOSE('02.OTD'!AB15:AZ15)</f>
        <v/>
      </c>
      <c r="J28" s="79" t="str" cm="1">
        <f t="array" ref="J28:J29">_xlfn._xlws.FILTER(_xlfn.ANCHORARRAY(I28),_xlfn.ANCHORARRAY(I28)&lt;&gt;0)</f>
        <v/>
      </c>
      <c r="K28" s="79" t="s">
        <v>1088</v>
      </c>
      <c r="L28" s="79" t="str" cm="1">
        <f t="array" ref="L28">IFERROR(_xlfn._xlws.FILTER(_xlfn.ANCHORARRAY(I2),(_xlfn.ANCHORARRAY(I2)&lt;&gt;0)*(COUNTIF(_xlfn.ANCHORARRAY(I28),_xlfn.ANCHORARRAY(I2))=0)),"N")</f>
        <v>N</v>
      </c>
      <c r="M28" s="86"/>
      <c r="N28" s="79" t="s">
        <v>1087</v>
      </c>
      <c r="O28" s="79" t="str" cm="1">
        <f t="array" ref="O28:O52">TRANSPOSE('02.OTD'!AB16:AZ16)</f>
        <v/>
      </c>
      <c r="P28" s="79" t="str" cm="1">
        <f t="array" ref="P28:P29">_xlfn._xlws.FILTER(_xlfn.ANCHORARRAY(O28),_xlfn.ANCHORARRAY(O28)&lt;&gt;0)</f>
        <v/>
      </c>
      <c r="Q28" s="79" t="s">
        <v>1088</v>
      </c>
      <c r="R28" s="88" t="str" cm="1">
        <f t="array" ref="R28">IFERROR(_xlfn._xlws.FILTER(_xlfn.ANCHORARRAY(O2),(_xlfn.ANCHORARRAY(O2)&lt;&gt;0)*(COUNTIF(_xlfn.ANCHORARRAY(O28),_xlfn.ANCHORARRAY(O2))=0)),"N")</f>
        <v>21-2</v>
      </c>
      <c r="T28" s="102" t="s">
        <v>1087</v>
      </c>
      <c r="U28" s="103" t="str" cm="1">
        <f t="array" ref="U28:U52">TRANSPOSE('02.OTD'!AB17:AZ17)</f>
        <v/>
      </c>
      <c r="V28" s="103" t="str" cm="1">
        <f t="array" ref="V28">_xlfn._xlws.FILTER(_xlfn.ANCHORARRAY(U28),_xlfn.ANCHORARRAY(U28)&lt;&gt;0)</f>
        <v/>
      </c>
      <c r="W28" s="103" t="s">
        <v>1088</v>
      </c>
      <c r="X28" s="103" t="str" cm="1">
        <f t="array" ref="X28">IFERROR(_xlfn._xlws.FILTER(_xlfn.ANCHORARRAY(U2),(_xlfn.ANCHORARRAY(U2)&lt;&gt;0)*(COUNTIF(_xlfn.ANCHORARRAY(U28),_xlfn.ANCHORARRAY(U2))=0)),"N")</f>
        <v>N</v>
      </c>
      <c r="Y28" s="108"/>
      <c r="Z28" s="103" t="s">
        <v>1087</v>
      </c>
      <c r="AA28" s="103" t="str" cm="1">
        <f t="array" ref="AA28:AA52">TRANSPOSE('02.OTD'!AB18:AZ18)</f>
        <v/>
      </c>
      <c r="AB28" s="103" t="str" cm="1">
        <f t="array" ref="AB28">_xlfn._xlws.FILTER(_xlfn.ANCHORARRAY(AA28),_xlfn.ANCHORARRAY(AA28)&lt;&gt;0)</f>
        <v/>
      </c>
      <c r="AC28" s="103" t="s">
        <v>1088</v>
      </c>
      <c r="AD28" s="103" t="str" cm="1">
        <f t="array" ref="AD28">IFERROR(_xlfn._xlws.FILTER(_xlfn.ANCHORARRAY(AA2),(_xlfn.ANCHORARRAY(AA2)&lt;&gt;0)*(COUNTIF(_xlfn.ANCHORARRAY(AA28),_xlfn.ANCHORARRAY(AA2))=0)),"N")</f>
        <v>N</v>
      </c>
      <c r="AE28" s="108"/>
      <c r="AF28" s="103" t="s">
        <v>1087</v>
      </c>
      <c r="AG28" s="103" t="str" cm="1">
        <f t="array" ref="AG28:AG52">TRANSPOSE('02.OTD'!AB19:AZ19)</f>
        <v/>
      </c>
      <c r="AH28" s="103" t="str" cm="1">
        <f t="array" ref="AH28">_xlfn._xlws.FILTER(_xlfn.ANCHORARRAY(AG28),_xlfn.ANCHORARRAY(AG28)&lt;&gt;0)</f>
        <v/>
      </c>
      <c r="AI28" s="103" t="s">
        <v>1088</v>
      </c>
      <c r="AJ28" s="110" t="str" cm="1">
        <f t="array" ref="AJ28">IFERROR(_xlfn._xlws.FILTER(_xlfn.ANCHORARRAY(AG2),(_xlfn.ANCHORARRAY(AG2)&lt;&gt;0)*(COUNTIF(_xlfn.ANCHORARRAY(AG28),_xlfn.ANCHORARRAY(AG2))=0)),"N")</f>
        <v>N</v>
      </c>
      <c r="AL28" s="111" t="s">
        <v>1087</v>
      </c>
      <c r="AM28" s="112" t="str" cm="1">
        <f t="array" ref="AM28:AM52">TRANSPOSE('02.OTD'!AB20:AZ20)</f>
        <v/>
      </c>
      <c r="AN28" s="112" t="str" cm="1">
        <f t="array" ref="AN28">_xlfn._xlws.FILTER(_xlfn.ANCHORARRAY(AB28),_xlfn.ANCHORARRAY(AZ28)&lt;&gt;0)</f>
        <v/>
      </c>
      <c r="AO28" s="112" t="s">
        <v>1088</v>
      </c>
      <c r="AP28" s="112" t="str" cm="1">
        <f t="array" ref="AP28">IFERROR(_xlfn._xlws.FILTER(_xlfn.ANCHORARRAY(AM2),(_xlfn.ANCHORARRAY(AM2)&lt;&gt;0)*(COUNTIF(_xlfn.ANCHORARRAY(AM28),_xlfn.ANCHORARRAY(AM2))=0)),"N")</f>
        <v>N</v>
      </c>
      <c r="AQ28" s="118"/>
      <c r="AR28" s="112" t="s">
        <v>1087</v>
      </c>
      <c r="AS28" s="112" t="str" cm="1">
        <f t="array" ref="AS28:AS52">TRANSPOSE('02.OTD'!AB21:AZ21)</f>
        <v/>
      </c>
      <c r="AT28" s="112" t="str" cm="1">
        <f t="array" ref="AT28">_xlfn._xlws.FILTER(_xlfn.ANCHORARRAY(AS28),_xlfn.ANCHORARRAY(AS28)&lt;&gt;0)</f>
        <v/>
      </c>
      <c r="AU28" s="112" t="s">
        <v>1088</v>
      </c>
      <c r="AV28" s="112" t="str" cm="1">
        <f t="array" ref="AV28">IFERROR(_xlfn._xlws.FILTER(_xlfn.ANCHORARRAY(AS2),(_xlfn.ANCHORARRAY(AS2)&lt;&gt;0)*(COUNTIF(_xlfn.ANCHORARRAY(AS28),_xlfn.ANCHORARRAY(AS2))=0)),"N")</f>
        <v>N</v>
      </c>
      <c r="AW28" s="118"/>
      <c r="AX28" s="112" t="s">
        <v>1087</v>
      </c>
      <c r="AY28" s="112" t="str" cm="1">
        <f t="array" ref="AY28:AY52">TRANSPOSE('02.OTD'!AB22:AZ22)</f>
        <v/>
      </c>
      <c r="AZ28" s="112" t="str" cm="1">
        <f t="array" ref="AZ28">_xlfn._xlws.FILTER(_xlfn.ANCHORARRAY(AY28),_xlfn.ANCHORARRAY(AY28)&lt;&gt;0)</f>
        <v/>
      </c>
      <c r="BA28" s="112" t="s">
        <v>1088</v>
      </c>
      <c r="BB28" s="120" t="str" cm="1">
        <f t="array" ref="BB28">IFERROR(_xlfn._xlws.FILTER(_xlfn.ANCHORARRAY(AY2),(_xlfn.ANCHORARRAY(AY2)&lt;&gt;0)*(COUNTIF(_xlfn.ANCHORARRAY(AY28),_xlfn.ANCHORARRAY(AY2))=0)),"N")</f>
        <v>N</v>
      </c>
    </row>
    <row r="29" spans="2:54">
      <c r="B29" s="78"/>
      <c r="C29" s="79">
        <v>3</v>
      </c>
      <c r="D29" s="79">
        <v>3</v>
      </c>
      <c r="E29" s="79"/>
      <c r="F29" s="79"/>
      <c r="G29" s="86"/>
      <c r="H29" s="79"/>
      <c r="I29" s="79">
        <v>254</v>
      </c>
      <c r="J29" s="79">
        <v>254</v>
      </c>
      <c r="K29" s="79"/>
      <c r="L29" s="79"/>
      <c r="M29" s="86"/>
      <c r="N29" s="79"/>
      <c r="O29" s="79" t="str">
        <v>2-1</v>
      </c>
      <c r="P29" s="79" t="str">
        <v>2-1</v>
      </c>
      <c r="Q29" s="79"/>
      <c r="R29" s="88"/>
      <c r="T29" s="102"/>
      <c r="U29" s="103">
        <v>0</v>
      </c>
      <c r="V29" s="103"/>
      <c r="W29" s="103"/>
      <c r="X29" s="103"/>
      <c r="Y29" s="108"/>
      <c r="Z29" s="103"/>
      <c r="AA29" s="103">
        <v>0</v>
      </c>
      <c r="AB29" s="103"/>
      <c r="AC29" s="103"/>
      <c r="AD29" s="103"/>
      <c r="AE29" s="108"/>
      <c r="AF29" s="103"/>
      <c r="AG29" s="103">
        <v>0</v>
      </c>
      <c r="AH29" s="103"/>
      <c r="AI29" s="103"/>
      <c r="AJ29" s="110"/>
      <c r="AL29" s="111"/>
      <c r="AM29" s="112">
        <v>0</v>
      </c>
      <c r="AN29" s="112"/>
      <c r="AO29" s="112"/>
      <c r="AP29" s="112"/>
      <c r="AQ29" s="118"/>
      <c r="AR29" s="112"/>
      <c r="AS29" s="112">
        <v>0</v>
      </c>
      <c r="AT29" s="112"/>
      <c r="AU29" s="112"/>
      <c r="AV29" s="112"/>
      <c r="AW29" s="118"/>
      <c r="AX29" s="112"/>
      <c r="AY29" s="112">
        <v>0</v>
      </c>
      <c r="AZ29" s="112"/>
      <c r="BA29" s="112"/>
      <c r="BB29" s="120"/>
    </row>
    <row r="30" spans="2:54">
      <c r="B30" s="78"/>
      <c r="C30" s="79">
        <v>0</v>
      </c>
      <c r="D30" s="79"/>
      <c r="E30" s="79"/>
      <c r="F30" s="79"/>
      <c r="G30" s="86"/>
      <c r="H30" s="79"/>
      <c r="I30" s="79">
        <v>0</v>
      </c>
      <c r="J30" s="79"/>
      <c r="K30" s="79"/>
      <c r="L30" s="79"/>
      <c r="M30" s="86"/>
      <c r="N30" s="79"/>
      <c r="O30" s="79">
        <v>0</v>
      </c>
      <c r="P30" s="79"/>
      <c r="Q30" s="79"/>
      <c r="R30" s="88"/>
      <c r="T30" s="102"/>
      <c r="U30" s="103">
        <v>0</v>
      </c>
      <c r="V30" s="103"/>
      <c r="W30" s="103"/>
      <c r="X30" s="103"/>
      <c r="Y30" s="108"/>
      <c r="Z30" s="103"/>
      <c r="AA30" s="103">
        <v>0</v>
      </c>
      <c r="AB30" s="103"/>
      <c r="AC30" s="103"/>
      <c r="AD30" s="103"/>
      <c r="AE30" s="108"/>
      <c r="AF30" s="103"/>
      <c r="AG30" s="103">
        <v>0</v>
      </c>
      <c r="AH30" s="103"/>
      <c r="AI30" s="103"/>
      <c r="AJ30" s="110"/>
      <c r="AL30" s="111"/>
      <c r="AM30" s="112">
        <v>0</v>
      </c>
      <c r="AN30" s="112"/>
      <c r="AO30" s="112"/>
      <c r="AP30" s="112"/>
      <c r="AQ30" s="118"/>
      <c r="AR30" s="112"/>
      <c r="AS30" s="112">
        <v>0</v>
      </c>
      <c r="AT30" s="112"/>
      <c r="AU30" s="112"/>
      <c r="AV30" s="112"/>
      <c r="AW30" s="118"/>
      <c r="AX30" s="112"/>
      <c r="AY30" s="112">
        <v>0</v>
      </c>
      <c r="AZ30" s="112"/>
      <c r="BA30" s="112"/>
      <c r="BB30" s="120"/>
    </row>
    <row r="31" spans="2:54">
      <c r="B31" s="78"/>
      <c r="C31" s="79">
        <v>0</v>
      </c>
      <c r="D31" s="79"/>
      <c r="E31" s="79"/>
      <c r="F31" s="79"/>
      <c r="G31" s="86"/>
      <c r="H31" s="79"/>
      <c r="I31" s="79">
        <v>0</v>
      </c>
      <c r="J31" s="79"/>
      <c r="K31" s="79"/>
      <c r="L31" s="79"/>
      <c r="M31" s="86"/>
      <c r="N31" s="79"/>
      <c r="O31" s="79">
        <v>0</v>
      </c>
      <c r="P31" s="79"/>
      <c r="Q31" s="79"/>
      <c r="R31" s="88"/>
      <c r="T31" s="102"/>
      <c r="U31" s="103">
        <v>0</v>
      </c>
      <c r="V31" s="103"/>
      <c r="W31" s="103"/>
      <c r="X31" s="103"/>
      <c r="Y31" s="108"/>
      <c r="Z31" s="103"/>
      <c r="AA31" s="103">
        <v>0</v>
      </c>
      <c r="AB31" s="103"/>
      <c r="AC31" s="103"/>
      <c r="AD31" s="103"/>
      <c r="AE31" s="108"/>
      <c r="AF31" s="103"/>
      <c r="AG31" s="103">
        <v>0</v>
      </c>
      <c r="AH31" s="103"/>
      <c r="AI31" s="103"/>
      <c r="AJ31" s="110"/>
      <c r="AL31" s="111"/>
      <c r="AM31" s="112">
        <v>0</v>
      </c>
      <c r="AN31" s="112"/>
      <c r="AO31" s="112"/>
      <c r="AP31" s="112"/>
      <c r="AQ31" s="118"/>
      <c r="AR31" s="112"/>
      <c r="AS31" s="112">
        <v>0</v>
      </c>
      <c r="AT31" s="112"/>
      <c r="AU31" s="112"/>
      <c r="AV31" s="112"/>
      <c r="AW31" s="118"/>
      <c r="AX31" s="112"/>
      <c r="AY31" s="112">
        <v>0</v>
      </c>
      <c r="AZ31" s="112"/>
      <c r="BA31" s="112"/>
      <c r="BB31" s="120"/>
    </row>
    <row r="32" spans="2:54">
      <c r="B32" s="78"/>
      <c r="C32" s="79">
        <v>0</v>
      </c>
      <c r="D32" s="79"/>
      <c r="E32" s="79"/>
      <c r="F32" s="79"/>
      <c r="G32" s="86"/>
      <c r="H32" s="79"/>
      <c r="I32" s="79">
        <v>0</v>
      </c>
      <c r="J32" s="79"/>
      <c r="K32" s="79"/>
      <c r="L32" s="79"/>
      <c r="M32" s="86"/>
      <c r="N32" s="79"/>
      <c r="O32" s="79">
        <v>0</v>
      </c>
      <c r="P32" s="79"/>
      <c r="Q32" s="79"/>
      <c r="R32" s="88"/>
      <c r="T32" s="102"/>
      <c r="U32" s="103">
        <v>0</v>
      </c>
      <c r="V32" s="103"/>
      <c r="W32" s="103"/>
      <c r="X32" s="103"/>
      <c r="Y32" s="108"/>
      <c r="Z32" s="103"/>
      <c r="AA32" s="103">
        <v>0</v>
      </c>
      <c r="AB32" s="103"/>
      <c r="AC32" s="103"/>
      <c r="AD32" s="103"/>
      <c r="AE32" s="108"/>
      <c r="AF32" s="103"/>
      <c r="AG32" s="103">
        <v>0</v>
      </c>
      <c r="AH32" s="103"/>
      <c r="AI32" s="103"/>
      <c r="AJ32" s="110"/>
      <c r="AL32" s="111"/>
      <c r="AM32" s="112">
        <v>0</v>
      </c>
      <c r="AN32" s="112"/>
      <c r="AO32" s="112"/>
      <c r="AP32" s="112"/>
      <c r="AQ32" s="118"/>
      <c r="AR32" s="112"/>
      <c r="AS32" s="112">
        <v>0</v>
      </c>
      <c r="AT32" s="112"/>
      <c r="AU32" s="112"/>
      <c r="AV32" s="112"/>
      <c r="AW32" s="118"/>
      <c r="AX32" s="112"/>
      <c r="AY32" s="112">
        <v>0</v>
      </c>
      <c r="AZ32" s="112"/>
      <c r="BA32" s="112"/>
      <c r="BB32" s="120"/>
    </row>
    <row r="33" spans="2:54">
      <c r="B33" s="78"/>
      <c r="C33" s="79">
        <v>0</v>
      </c>
      <c r="D33" s="79"/>
      <c r="E33" s="79"/>
      <c r="F33" s="79"/>
      <c r="G33" s="86"/>
      <c r="H33" s="79"/>
      <c r="I33" s="79">
        <v>0</v>
      </c>
      <c r="J33" s="79"/>
      <c r="K33" s="79"/>
      <c r="L33" s="79"/>
      <c r="M33" s="86"/>
      <c r="N33" s="79"/>
      <c r="O33" s="79">
        <v>0</v>
      </c>
      <c r="P33" s="79"/>
      <c r="Q33" s="79"/>
      <c r="R33" s="88"/>
      <c r="T33" s="102"/>
      <c r="U33" s="103">
        <v>0</v>
      </c>
      <c r="V33" s="103"/>
      <c r="W33" s="103"/>
      <c r="X33" s="103"/>
      <c r="Y33" s="108"/>
      <c r="Z33" s="103"/>
      <c r="AA33" s="103">
        <v>0</v>
      </c>
      <c r="AB33" s="103"/>
      <c r="AC33" s="103"/>
      <c r="AD33" s="103"/>
      <c r="AE33" s="108"/>
      <c r="AF33" s="103"/>
      <c r="AG33" s="103">
        <v>0</v>
      </c>
      <c r="AH33" s="103"/>
      <c r="AI33" s="103"/>
      <c r="AJ33" s="110"/>
      <c r="AL33" s="111"/>
      <c r="AM33" s="112">
        <v>0</v>
      </c>
      <c r="AN33" s="112"/>
      <c r="AO33" s="112"/>
      <c r="AP33" s="112"/>
      <c r="AQ33" s="118"/>
      <c r="AR33" s="112"/>
      <c r="AS33" s="112">
        <v>0</v>
      </c>
      <c r="AT33" s="112"/>
      <c r="AU33" s="112"/>
      <c r="AV33" s="112"/>
      <c r="AW33" s="118"/>
      <c r="AX33" s="112"/>
      <c r="AY33" s="112">
        <v>0</v>
      </c>
      <c r="AZ33" s="112"/>
      <c r="BA33" s="112"/>
      <c r="BB33" s="120"/>
    </row>
    <row r="34" spans="2:54">
      <c r="B34" s="78"/>
      <c r="C34" s="79">
        <v>0</v>
      </c>
      <c r="D34" s="79"/>
      <c r="E34" s="79"/>
      <c r="F34" s="79"/>
      <c r="G34" s="86"/>
      <c r="H34" s="79"/>
      <c r="I34" s="79">
        <v>0</v>
      </c>
      <c r="J34" s="79"/>
      <c r="K34" s="79"/>
      <c r="L34" s="79"/>
      <c r="M34" s="86"/>
      <c r="N34" s="79"/>
      <c r="O34" s="79">
        <v>0</v>
      </c>
      <c r="P34" s="79"/>
      <c r="Q34" s="79"/>
      <c r="R34" s="88"/>
      <c r="T34" s="102"/>
      <c r="U34" s="103">
        <v>0</v>
      </c>
      <c r="V34" s="103"/>
      <c r="W34" s="103"/>
      <c r="X34" s="103"/>
      <c r="Y34" s="108"/>
      <c r="Z34" s="103"/>
      <c r="AA34" s="103">
        <v>0</v>
      </c>
      <c r="AB34" s="103"/>
      <c r="AC34" s="103"/>
      <c r="AD34" s="103"/>
      <c r="AE34" s="108"/>
      <c r="AF34" s="103"/>
      <c r="AG34" s="103">
        <v>0</v>
      </c>
      <c r="AH34" s="103"/>
      <c r="AI34" s="103"/>
      <c r="AJ34" s="110"/>
      <c r="AL34" s="111"/>
      <c r="AM34" s="112">
        <v>0</v>
      </c>
      <c r="AN34" s="112"/>
      <c r="AO34" s="112"/>
      <c r="AP34" s="112"/>
      <c r="AQ34" s="118"/>
      <c r="AR34" s="112"/>
      <c r="AS34" s="112">
        <v>0</v>
      </c>
      <c r="AT34" s="112"/>
      <c r="AU34" s="112"/>
      <c r="AV34" s="112"/>
      <c r="AW34" s="118"/>
      <c r="AX34" s="112"/>
      <c r="AY34" s="112">
        <v>0</v>
      </c>
      <c r="AZ34" s="112"/>
      <c r="BA34" s="112"/>
      <c r="BB34" s="120"/>
    </row>
    <row r="35" spans="2:54">
      <c r="B35" s="78"/>
      <c r="C35" s="79">
        <v>0</v>
      </c>
      <c r="D35" s="79"/>
      <c r="E35" s="79"/>
      <c r="F35" s="79"/>
      <c r="G35" s="86"/>
      <c r="H35" s="79"/>
      <c r="I35" s="79">
        <v>0</v>
      </c>
      <c r="J35" s="79"/>
      <c r="K35" s="79"/>
      <c r="L35" s="79"/>
      <c r="M35" s="86"/>
      <c r="N35" s="79"/>
      <c r="O35" s="79">
        <v>0</v>
      </c>
      <c r="P35" s="79"/>
      <c r="Q35" s="79"/>
      <c r="R35" s="88"/>
      <c r="T35" s="102"/>
      <c r="U35" s="103">
        <v>0</v>
      </c>
      <c r="V35" s="103"/>
      <c r="W35" s="103"/>
      <c r="X35" s="103"/>
      <c r="Y35" s="108"/>
      <c r="Z35" s="103"/>
      <c r="AA35" s="103">
        <v>0</v>
      </c>
      <c r="AB35" s="103"/>
      <c r="AC35" s="103"/>
      <c r="AD35" s="103"/>
      <c r="AE35" s="108"/>
      <c r="AF35" s="103"/>
      <c r="AG35" s="103">
        <v>0</v>
      </c>
      <c r="AH35" s="103"/>
      <c r="AI35" s="103"/>
      <c r="AJ35" s="110"/>
      <c r="AL35" s="111"/>
      <c r="AM35" s="112">
        <v>0</v>
      </c>
      <c r="AN35" s="112"/>
      <c r="AO35" s="112"/>
      <c r="AP35" s="112"/>
      <c r="AQ35" s="118"/>
      <c r="AR35" s="112"/>
      <c r="AS35" s="112">
        <v>0</v>
      </c>
      <c r="AT35" s="112"/>
      <c r="AU35" s="112"/>
      <c r="AV35" s="112"/>
      <c r="AW35" s="118"/>
      <c r="AX35" s="112"/>
      <c r="AY35" s="112">
        <v>0</v>
      </c>
      <c r="AZ35" s="112"/>
      <c r="BA35" s="112"/>
      <c r="BB35" s="120"/>
    </row>
    <row r="36" spans="2:54">
      <c r="B36" s="78"/>
      <c r="C36" s="79">
        <v>0</v>
      </c>
      <c r="D36" s="79"/>
      <c r="E36" s="79"/>
      <c r="F36" s="79"/>
      <c r="G36" s="86"/>
      <c r="H36" s="79"/>
      <c r="I36" s="79">
        <v>0</v>
      </c>
      <c r="J36" s="79"/>
      <c r="K36" s="79"/>
      <c r="L36" s="79"/>
      <c r="M36" s="86"/>
      <c r="N36" s="79"/>
      <c r="O36" s="79">
        <v>0</v>
      </c>
      <c r="P36" s="79"/>
      <c r="Q36" s="79"/>
      <c r="R36" s="88"/>
      <c r="T36" s="102"/>
      <c r="U36" s="103">
        <v>0</v>
      </c>
      <c r="V36" s="103"/>
      <c r="W36" s="103"/>
      <c r="X36" s="103"/>
      <c r="Y36" s="108"/>
      <c r="Z36" s="103"/>
      <c r="AA36" s="103">
        <v>0</v>
      </c>
      <c r="AB36" s="103"/>
      <c r="AC36" s="103"/>
      <c r="AD36" s="103"/>
      <c r="AE36" s="108"/>
      <c r="AF36" s="103"/>
      <c r="AG36" s="103">
        <v>0</v>
      </c>
      <c r="AH36" s="103"/>
      <c r="AI36" s="103"/>
      <c r="AJ36" s="110"/>
      <c r="AL36" s="111"/>
      <c r="AM36" s="112">
        <v>0</v>
      </c>
      <c r="AN36" s="112"/>
      <c r="AO36" s="112"/>
      <c r="AP36" s="112"/>
      <c r="AQ36" s="118"/>
      <c r="AR36" s="112"/>
      <c r="AS36" s="112">
        <v>0</v>
      </c>
      <c r="AT36" s="112"/>
      <c r="AU36" s="112"/>
      <c r="AV36" s="112"/>
      <c r="AW36" s="118"/>
      <c r="AX36" s="112"/>
      <c r="AY36" s="112">
        <v>0</v>
      </c>
      <c r="AZ36" s="112"/>
      <c r="BA36" s="112"/>
      <c r="BB36" s="120"/>
    </row>
    <row r="37" spans="2:54">
      <c r="B37" s="78"/>
      <c r="C37" s="79">
        <v>0</v>
      </c>
      <c r="D37" s="79"/>
      <c r="E37" s="79"/>
      <c r="F37" s="79"/>
      <c r="G37" s="86"/>
      <c r="H37" s="79"/>
      <c r="I37" s="79">
        <v>0</v>
      </c>
      <c r="J37" s="79"/>
      <c r="K37" s="79"/>
      <c r="L37" s="79"/>
      <c r="M37" s="86"/>
      <c r="N37" s="79"/>
      <c r="O37" s="79">
        <v>0</v>
      </c>
      <c r="P37" s="79"/>
      <c r="Q37" s="79"/>
      <c r="R37" s="88"/>
      <c r="T37" s="102"/>
      <c r="U37" s="103">
        <v>0</v>
      </c>
      <c r="V37" s="103"/>
      <c r="W37" s="103"/>
      <c r="X37" s="103"/>
      <c r="Y37" s="108"/>
      <c r="Z37" s="103"/>
      <c r="AA37" s="103">
        <v>0</v>
      </c>
      <c r="AB37" s="103"/>
      <c r="AC37" s="103"/>
      <c r="AD37" s="103"/>
      <c r="AE37" s="108"/>
      <c r="AF37" s="103"/>
      <c r="AG37" s="103">
        <v>0</v>
      </c>
      <c r="AH37" s="103"/>
      <c r="AI37" s="103"/>
      <c r="AJ37" s="110"/>
      <c r="AL37" s="111"/>
      <c r="AM37" s="112">
        <v>0</v>
      </c>
      <c r="AN37" s="112"/>
      <c r="AO37" s="112"/>
      <c r="AP37" s="112"/>
      <c r="AQ37" s="118"/>
      <c r="AR37" s="112"/>
      <c r="AS37" s="112">
        <v>0</v>
      </c>
      <c r="AT37" s="112"/>
      <c r="AU37" s="112"/>
      <c r="AV37" s="112"/>
      <c r="AW37" s="118"/>
      <c r="AX37" s="112"/>
      <c r="AY37" s="112">
        <v>0</v>
      </c>
      <c r="AZ37" s="112"/>
      <c r="BA37" s="112"/>
      <c r="BB37" s="120"/>
    </row>
    <row r="38" spans="2:54">
      <c r="B38" s="78"/>
      <c r="C38" s="79">
        <v>0</v>
      </c>
      <c r="D38" s="79"/>
      <c r="E38" s="79"/>
      <c r="F38" s="79"/>
      <c r="G38" s="86"/>
      <c r="H38" s="79"/>
      <c r="I38" s="79">
        <v>0</v>
      </c>
      <c r="J38" s="79"/>
      <c r="K38" s="79"/>
      <c r="L38" s="79"/>
      <c r="M38" s="86"/>
      <c r="N38" s="79"/>
      <c r="O38" s="79">
        <v>0</v>
      </c>
      <c r="P38" s="79"/>
      <c r="Q38" s="79"/>
      <c r="R38" s="88"/>
      <c r="T38" s="102"/>
      <c r="U38" s="103">
        <v>0</v>
      </c>
      <c r="V38" s="103"/>
      <c r="W38" s="103"/>
      <c r="X38" s="103"/>
      <c r="Y38" s="108"/>
      <c r="Z38" s="103"/>
      <c r="AA38" s="103">
        <v>0</v>
      </c>
      <c r="AB38" s="103"/>
      <c r="AC38" s="103"/>
      <c r="AD38" s="103"/>
      <c r="AE38" s="108"/>
      <c r="AF38" s="103"/>
      <c r="AG38" s="103">
        <v>0</v>
      </c>
      <c r="AH38" s="103"/>
      <c r="AI38" s="103"/>
      <c r="AJ38" s="110"/>
      <c r="AL38" s="111"/>
      <c r="AM38" s="112">
        <v>0</v>
      </c>
      <c r="AN38" s="112"/>
      <c r="AO38" s="112"/>
      <c r="AP38" s="112"/>
      <c r="AQ38" s="118"/>
      <c r="AR38" s="112"/>
      <c r="AS38" s="112">
        <v>0</v>
      </c>
      <c r="AT38" s="112"/>
      <c r="AU38" s="112"/>
      <c r="AV38" s="112"/>
      <c r="AW38" s="118"/>
      <c r="AX38" s="112"/>
      <c r="AY38" s="112">
        <v>0</v>
      </c>
      <c r="AZ38" s="112"/>
      <c r="BA38" s="112"/>
      <c r="BB38" s="120"/>
    </row>
    <row r="39" spans="2:54">
      <c r="B39" s="78"/>
      <c r="C39" s="79">
        <v>0</v>
      </c>
      <c r="D39" s="79"/>
      <c r="E39" s="79"/>
      <c r="F39" s="79"/>
      <c r="G39" s="86"/>
      <c r="H39" s="79"/>
      <c r="I39" s="79">
        <v>0</v>
      </c>
      <c r="J39" s="79"/>
      <c r="K39" s="79"/>
      <c r="L39" s="79"/>
      <c r="M39" s="86"/>
      <c r="N39" s="79"/>
      <c r="O39" s="79">
        <v>0</v>
      </c>
      <c r="P39" s="79"/>
      <c r="Q39" s="79"/>
      <c r="R39" s="88"/>
      <c r="T39" s="102"/>
      <c r="U39" s="103">
        <v>0</v>
      </c>
      <c r="V39" s="103"/>
      <c r="W39" s="103"/>
      <c r="X39" s="103"/>
      <c r="Y39" s="108"/>
      <c r="Z39" s="103"/>
      <c r="AA39" s="103">
        <v>0</v>
      </c>
      <c r="AB39" s="103"/>
      <c r="AC39" s="103"/>
      <c r="AD39" s="103"/>
      <c r="AE39" s="108"/>
      <c r="AF39" s="103"/>
      <c r="AG39" s="103">
        <v>0</v>
      </c>
      <c r="AH39" s="103"/>
      <c r="AI39" s="103"/>
      <c r="AJ39" s="110"/>
      <c r="AL39" s="111"/>
      <c r="AM39" s="112">
        <v>0</v>
      </c>
      <c r="AN39" s="112"/>
      <c r="AO39" s="112"/>
      <c r="AP39" s="112"/>
      <c r="AQ39" s="118"/>
      <c r="AR39" s="112"/>
      <c r="AS39" s="112">
        <v>0</v>
      </c>
      <c r="AT39" s="112"/>
      <c r="AU39" s="112"/>
      <c r="AV39" s="112"/>
      <c r="AW39" s="118"/>
      <c r="AX39" s="112"/>
      <c r="AY39" s="112">
        <v>0</v>
      </c>
      <c r="AZ39" s="112"/>
      <c r="BA39" s="112"/>
      <c r="BB39" s="120"/>
    </row>
    <row r="40" spans="2:54">
      <c r="B40" s="78"/>
      <c r="C40" s="79">
        <v>0</v>
      </c>
      <c r="D40" s="79"/>
      <c r="E40" s="79"/>
      <c r="F40" s="79"/>
      <c r="G40" s="86"/>
      <c r="H40" s="79"/>
      <c r="I40" s="79">
        <v>0</v>
      </c>
      <c r="J40" s="79"/>
      <c r="K40" s="79"/>
      <c r="L40" s="79"/>
      <c r="M40" s="86"/>
      <c r="N40" s="79"/>
      <c r="O40" s="79">
        <v>0</v>
      </c>
      <c r="P40" s="79"/>
      <c r="Q40" s="79"/>
      <c r="R40" s="88"/>
      <c r="T40" s="102"/>
      <c r="U40" s="103">
        <v>0</v>
      </c>
      <c r="V40" s="103"/>
      <c r="W40" s="103"/>
      <c r="X40" s="103"/>
      <c r="Y40" s="108"/>
      <c r="Z40" s="103"/>
      <c r="AA40" s="103">
        <v>0</v>
      </c>
      <c r="AB40" s="103"/>
      <c r="AC40" s="103"/>
      <c r="AD40" s="103"/>
      <c r="AE40" s="108"/>
      <c r="AF40" s="103"/>
      <c r="AG40" s="103">
        <v>0</v>
      </c>
      <c r="AH40" s="103"/>
      <c r="AI40" s="103"/>
      <c r="AJ40" s="110"/>
      <c r="AL40" s="111"/>
      <c r="AM40" s="112">
        <v>0</v>
      </c>
      <c r="AN40" s="112"/>
      <c r="AO40" s="112"/>
      <c r="AP40" s="112"/>
      <c r="AQ40" s="118"/>
      <c r="AR40" s="112"/>
      <c r="AS40" s="112">
        <v>0</v>
      </c>
      <c r="AT40" s="112"/>
      <c r="AU40" s="112"/>
      <c r="AV40" s="112"/>
      <c r="AW40" s="118"/>
      <c r="AX40" s="112"/>
      <c r="AY40" s="112">
        <v>0</v>
      </c>
      <c r="AZ40" s="112"/>
      <c r="BA40" s="112"/>
      <c r="BB40" s="120"/>
    </row>
    <row r="41" spans="2:54">
      <c r="B41" s="78"/>
      <c r="C41" s="79">
        <v>0</v>
      </c>
      <c r="D41" s="79"/>
      <c r="E41" s="79"/>
      <c r="F41" s="79"/>
      <c r="G41" s="86"/>
      <c r="H41" s="79"/>
      <c r="I41" s="79">
        <v>0</v>
      </c>
      <c r="J41" s="79"/>
      <c r="K41" s="79"/>
      <c r="L41" s="79"/>
      <c r="M41" s="86"/>
      <c r="N41" s="79"/>
      <c r="O41" s="79">
        <v>0</v>
      </c>
      <c r="P41" s="79"/>
      <c r="Q41" s="79"/>
      <c r="R41" s="88"/>
      <c r="T41" s="102"/>
      <c r="U41" s="103">
        <v>0</v>
      </c>
      <c r="V41" s="103"/>
      <c r="W41" s="103"/>
      <c r="X41" s="103"/>
      <c r="Y41" s="108"/>
      <c r="Z41" s="103"/>
      <c r="AA41" s="103">
        <v>0</v>
      </c>
      <c r="AB41" s="103"/>
      <c r="AC41" s="103"/>
      <c r="AD41" s="103"/>
      <c r="AE41" s="108"/>
      <c r="AF41" s="103"/>
      <c r="AG41" s="103">
        <v>0</v>
      </c>
      <c r="AH41" s="103"/>
      <c r="AI41" s="103"/>
      <c r="AJ41" s="110"/>
      <c r="AL41" s="111"/>
      <c r="AM41" s="112">
        <v>0</v>
      </c>
      <c r="AN41" s="112"/>
      <c r="AO41" s="112"/>
      <c r="AP41" s="112"/>
      <c r="AQ41" s="118"/>
      <c r="AR41" s="112"/>
      <c r="AS41" s="112">
        <v>0</v>
      </c>
      <c r="AT41" s="112"/>
      <c r="AU41" s="112"/>
      <c r="AV41" s="112"/>
      <c r="AW41" s="118"/>
      <c r="AX41" s="112"/>
      <c r="AY41" s="112">
        <v>0</v>
      </c>
      <c r="AZ41" s="112"/>
      <c r="BA41" s="112"/>
      <c r="BB41" s="120"/>
    </row>
    <row r="42" spans="2:54">
      <c r="B42" s="78"/>
      <c r="C42" s="79">
        <v>0</v>
      </c>
      <c r="D42" s="79"/>
      <c r="E42" s="79"/>
      <c r="F42" s="79"/>
      <c r="G42" s="86"/>
      <c r="H42" s="79"/>
      <c r="I42" s="79">
        <v>0</v>
      </c>
      <c r="J42" s="79"/>
      <c r="K42" s="79"/>
      <c r="L42" s="79"/>
      <c r="M42" s="86"/>
      <c r="N42" s="79"/>
      <c r="O42" s="79">
        <v>0</v>
      </c>
      <c r="P42" s="79"/>
      <c r="Q42" s="79"/>
      <c r="R42" s="88"/>
      <c r="T42" s="102"/>
      <c r="U42" s="103">
        <v>0</v>
      </c>
      <c r="V42" s="103"/>
      <c r="W42" s="103"/>
      <c r="X42" s="103"/>
      <c r="Y42" s="108"/>
      <c r="Z42" s="103"/>
      <c r="AA42" s="103">
        <v>0</v>
      </c>
      <c r="AB42" s="103"/>
      <c r="AC42" s="103"/>
      <c r="AD42" s="103"/>
      <c r="AE42" s="108"/>
      <c r="AF42" s="103"/>
      <c r="AG42" s="103">
        <v>0</v>
      </c>
      <c r="AH42" s="103"/>
      <c r="AI42" s="103"/>
      <c r="AJ42" s="110"/>
      <c r="AL42" s="111"/>
      <c r="AM42" s="112">
        <v>0</v>
      </c>
      <c r="AN42" s="112"/>
      <c r="AO42" s="112"/>
      <c r="AP42" s="112"/>
      <c r="AQ42" s="118"/>
      <c r="AR42" s="112"/>
      <c r="AS42" s="112">
        <v>0</v>
      </c>
      <c r="AT42" s="112"/>
      <c r="AU42" s="112"/>
      <c r="AV42" s="112"/>
      <c r="AW42" s="118"/>
      <c r="AX42" s="112"/>
      <c r="AY42" s="112">
        <v>0</v>
      </c>
      <c r="AZ42" s="112"/>
      <c r="BA42" s="112"/>
      <c r="BB42" s="120"/>
    </row>
    <row r="43" spans="2:54">
      <c r="B43" s="78"/>
      <c r="C43" s="79">
        <v>0</v>
      </c>
      <c r="D43" s="79"/>
      <c r="E43" s="79"/>
      <c r="F43" s="79"/>
      <c r="G43" s="86"/>
      <c r="H43" s="79"/>
      <c r="I43" s="79">
        <v>0</v>
      </c>
      <c r="J43" s="79"/>
      <c r="K43" s="79"/>
      <c r="L43" s="79"/>
      <c r="M43" s="86"/>
      <c r="N43" s="79"/>
      <c r="O43" s="79">
        <v>0</v>
      </c>
      <c r="P43" s="79"/>
      <c r="Q43" s="79"/>
      <c r="R43" s="88"/>
      <c r="T43" s="102"/>
      <c r="U43" s="103">
        <v>0</v>
      </c>
      <c r="V43" s="103"/>
      <c r="W43" s="103"/>
      <c r="X43" s="103"/>
      <c r="Y43" s="108"/>
      <c r="Z43" s="103"/>
      <c r="AA43" s="103">
        <v>0</v>
      </c>
      <c r="AB43" s="103"/>
      <c r="AC43" s="103"/>
      <c r="AD43" s="103"/>
      <c r="AE43" s="108"/>
      <c r="AF43" s="103"/>
      <c r="AG43" s="103">
        <v>0</v>
      </c>
      <c r="AH43" s="103"/>
      <c r="AI43" s="103"/>
      <c r="AJ43" s="110"/>
      <c r="AL43" s="111"/>
      <c r="AM43" s="112">
        <v>0</v>
      </c>
      <c r="AN43" s="112"/>
      <c r="AO43" s="112"/>
      <c r="AP43" s="112"/>
      <c r="AQ43" s="118"/>
      <c r="AR43" s="112"/>
      <c r="AS43" s="112">
        <v>0</v>
      </c>
      <c r="AT43" s="112"/>
      <c r="AU43" s="112"/>
      <c r="AV43" s="112"/>
      <c r="AW43" s="118"/>
      <c r="AX43" s="112"/>
      <c r="AY43" s="112">
        <v>0</v>
      </c>
      <c r="AZ43" s="112"/>
      <c r="BA43" s="112"/>
      <c r="BB43" s="120"/>
    </row>
    <row r="44" spans="2:54">
      <c r="B44" s="78"/>
      <c r="C44" s="79">
        <v>0</v>
      </c>
      <c r="D44" s="79"/>
      <c r="E44" s="79"/>
      <c r="F44" s="79"/>
      <c r="G44" s="86"/>
      <c r="H44" s="79"/>
      <c r="I44" s="79">
        <v>0</v>
      </c>
      <c r="J44" s="79"/>
      <c r="K44" s="79"/>
      <c r="L44" s="79"/>
      <c r="M44" s="86"/>
      <c r="N44" s="79"/>
      <c r="O44" s="79">
        <v>0</v>
      </c>
      <c r="P44" s="79"/>
      <c r="Q44" s="79"/>
      <c r="R44" s="88"/>
      <c r="T44" s="102"/>
      <c r="U44" s="103">
        <v>0</v>
      </c>
      <c r="V44" s="103"/>
      <c r="W44" s="103"/>
      <c r="X44" s="103"/>
      <c r="Y44" s="108"/>
      <c r="Z44" s="103"/>
      <c r="AA44" s="103">
        <v>0</v>
      </c>
      <c r="AB44" s="103"/>
      <c r="AC44" s="103"/>
      <c r="AD44" s="103"/>
      <c r="AE44" s="108"/>
      <c r="AF44" s="103"/>
      <c r="AG44" s="103">
        <v>0</v>
      </c>
      <c r="AH44" s="103"/>
      <c r="AI44" s="103"/>
      <c r="AJ44" s="110"/>
      <c r="AL44" s="111"/>
      <c r="AM44" s="112">
        <v>0</v>
      </c>
      <c r="AN44" s="112"/>
      <c r="AO44" s="112"/>
      <c r="AP44" s="112"/>
      <c r="AQ44" s="118"/>
      <c r="AR44" s="112"/>
      <c r="AS44" s="112">
        <v>0</v>
      </c>
      <c r="AT44" s="112"/>
      <c r="AU44" s="112"/>
      <c r="AV44" s="112"/>
      <c r="AW44" s="118"/>
      <c r="AX44" s="112"/>
      <c r="AY44" s="112">
        <v>0</v>
      </c>
      <c r="AZ44" s="112"/>
      <c r="BA44" s="112"/>
      <c r="BB44" s="120"/>
    </row>
    <row r="45" spans="2:54">
      <c r="B45" s="78"/>
      <c r="C45" s="79">
        <v>0</v>
      </c>
      <c r="D45" s="79"/>
      <c r="E45" s="79"/>
      <c r="F45" s="79"/>
      <c r="G45" s="86"/>
      <c r="H45" s="79"/>
      <c r="I45" s="79">
        <v>0</v>
      </c>
      <c r="J45" s="79"/>
      <c r="K45" s="79"/>
      <c r="L45" s="79"/>
      <c r="M45" s="86"/>
      <c r="N45" s="79"/>
      <c r="O45" s="79">
        <v>0</v>
      </c>
      <c r="P45" s="79"/>
      <c r="Q45" s="79"/>
      <c r="R45" s="88"/>
      <c r="T45" s="102"/>
      <c r="U45" s="103">
        <v>0</v>
      </c>
      <c r="V45" s="103"/>
      <c r="W45" s="103"/>
      <c r="X45" s="103"/>
      <c r="Y45" s="108"/>
      <c r="Z45" s="103"/>
      <c r="AA45" s="103">
        <v>0</v>
      </c>
      <c r="AB45" s="103"/>
      <c r="AC45" s="103"/>
      <c r="AD45" s="103"/>
      <c r="AE45" s="108"/>
      <c r="AF45" s="103"/>
      <c r="AG45" s="103">
        <v>0</v>
      </c>
      <c r="AH45" s="103"/>
      <c r="AI45" s="103"/>
      <c r="AJ45" s="110"/>
      <c r="AL45" s="111"/>
      <c r="AM45" s="112">
        <v>0</v>
      </c>
      <c r="AN45" s="112"/>
      <c r="AO45" s="112"/>
      <c r="AP45" s="112"/>
      <c r="AQ45" s="118"/>
      <c r="AR45" s="112"/>
      <c r="AS45" s="112">
        <v>0</v>
      </c>
      <c r="AT45" s="112"/>
      <c r="AU45" s="112"/>
      <c r="AV45" s="112"/>
      <c r="AW45" s="118"/>
      <c r="AX45" s="112"/>
      <c r="AY45" s="112">
        <v>0</v>
      </c>
      <c r="AZ45" s="112"/>
      <c r="BA45" s="112"/>
      <c r="BB45" s="120"/>
    </row>
    <row r="46" spans="2:54">
      <c r="B46" s="78"/>
      <c r="C46" s="79">
        <v>0</v>
      </c>
      <c r="D46" s="79"/>
      <c r="E46" s="79"/>
      <c r="F46" s="79"/>
      <c r="G46" s="86"/>
      <c r="H46" s="79"/>
      <c r="I46" s="79">
        <v>0</v>
      </c>
      <c r="J46" s="79"/>
      <c r="K46" s="79"/>
      <c r="L46" s="79"/>
      <c r="M46" s="86"/>
      <c r="N46" s="79"/>
      <c r="O46" s="79">
        <v>0</v>
      </c>
      <c r="P46" s="79"/>
      <c r="Q46" s="79"/>
      <c r="R46" s="88"/>
      <c r="T46" s="102"/>
      <c r="U46" s="103">
        <v>0</v>
      </c>
      <c r="V46" s="103"/>
      <c r="W46" s="103"/>
      <c r="X46" s="103"/>
      <c r="Y46" s="108"/>
      <c r="Z46" s="103"/>
      <c r="AA46" s="103">
        <v>0</v>
      </c>
      <c r="AB46" s="103"/>
      <c r="AC46" s="103"/>
      <c r="AD46" s="103"/>
      <c r="AE46" s="108"/>
      <c r="AF46" s="103"/>
      <c r="AG46" s="103">
        <v>0</v>
      </c>
      <c r="AH46" s="103"/>
      <c r="AI46" s="103"/>
      <c r="AJ46" s="110"/>
      <c r="AL46" s="111"/>
      <c r="AM46" s="112">
        <v>0</v>
      </c>
      <c r="AN46" s="112"/>
      <c r="AO46" s="112"/>
      <c r="AP46" s="112"/>
      <c r="AQ46" s="118"/>
      <c r="AR46" s="112"/>
      <c r="AS46" s="112">
        <v>0</v>
      </c>
      <c r="AT46" s="112"/>
      <c r="AU46" s="112"/>
      <c r="AV46" s="112"/>
      <c r="AW46" s="118"/>
      <c r="AX46" s="112"/>
      <c r="AY46" s="112">
        <v>0</v>
      </c>
      <c r="AZ46" s="112"/>
      <c r="BA46" s="112"/>
      <c r="BB46" s="120"/>
    </row>
    <row r="47" spans="2:54">
      <c r="B47" s="78"/>
      <c r="C47" s="79">
        <v>0</v>
      </c>
      <c r="D47" s="79"/>
      <c r="E47" s="79"/>
      <c r="F47" s="79"/>
      <c r="G47" s="86"/>
      <c r="H47" s="79"/>
      <c r="I47" s="79">
        <v>0</v>
      </c>
      <c r="J47" s="79"/>
      <c r="K47" s="79"/>
      <c r="L47" s="79"/>
      <c r="M47" s="86"/>
      <c r="N47" s="79"/>
      <c r="O47" s="79">
        <v>0</v>
      </c>
      <c r="P47" s="79"/>
      <c r="Q47" s="79"/>
      <c r="R47" s="88"/>
      <c r="T47" s="102"/>
      <c r="U47" s="103">
        <v>0</v>
      </c>
      <c r="V47" s="103"/>
      <c r="W47" s="103"/>
      <c r="X47" s="103"/>
      <c r="Y47" s="108"/>
      <c r="Z47" s="103"/>
      <c r="AA47" s="103">
        <v>0</v>
      </c>
      <c r="AB47" s="103"/>
      <c r="AC47" s="103"/>
      <c r="AD47" s="103"/>
      <c r="AE47" s="108"/>
      <c r="AF47" s="103"/>
      <c r="AG47" s="103">
        <v>0</v>
      </c>
      <c r="AH47" s="103"/>
      <c r="AI47" s="103"/>
      <c r="AJ47" s="110"/>
      <c r="AL47" s="111"/>
      <c r="AM47" s="112">
        <v>0</v>
      </c>
      <c r="AN47" s="112"/>
      <c r="AO47" s="112"/>
      <c r="AP47" s="112"/>
      <c r="AQ47" s="118"/>
      <c r="AR47" s="112"/>
      <c r="AS47" s="112">
        <v>0</v>
      </c>
      <c r="AT47" s="112"/>
      <c r="AU47" s="112"/>
      <c r="AV47" s="112"/>
      <c r="AW47" s="118"/>
      <c r="AX47" s="112"/>
      <c r="AY47" s="112">
        <v>0</v>
      </c>
      <c r="AZ47" s="112"/>
      <c r="BA47" s="112"/>
      <c r="BB47" s="120"/>
    </row>
    <row r="48" spans="2:54">
      <c r="B48" s="78"/>
      <c r="C48" s="79">
        <v>0</v>
      </c>
      <c r="D48" s="79"/>
      <c r="E48" s="79"/>
      <c r="F48" s="79"/>
      <c r="G48" s="86"/>
      <c r="H48" s="79"/>
      <c r="I48" s="79">
        <v>0</v>
      </c>
      <c r="J48" s="79"/>
      <c r="K48" s="79"/>
      <c r="L48" s="79"/>
      <c r="M48" s="86"/>
      <c r="N48" s="79"/>
      <c r="O48" s="79">
        <v>0</v>
      </c>
      <c r="P48" s="79"/>
      <c r="Q48" s="79"/>
      <c r="R48" s="88"/>
      <c r="T48" s="102"/>
      <c r="U48" s="103">
        <v>0</v>
      </c>
      <c r="V48" s="103"/>
      <c r="W48" s="103"/>
      <c r="X48" s="103"/>
      <c r="Y48" s="108"/>
      <c r="Z48" s="103"/>
      <c r="AA48" s="103">
        <v>0</v>
      </c>
      <c r="AB48" s="103"/>
      <c r="AC48" s="103"/>
      <c r="AD48" s="103"/>
      <c r="AE48" s="108"/>
      <c r="AF48" s="103"/>
      <c r="AG48" s="103">
        <v>0</v>
      </c>
      <c r="AH48" s="103"/>
      <c r="AI48" s="103"/>
      <c r="AJ48" s="110"/>
      <c r="AL48" s="111"/>
      <c r="AM48" s="112">
        <v>0</v>
      </c>
      <c r="AN48" s="112"/>
      <c r="AO48" s="112"/>
      <c r="AP48" s="112"/>
      <c r="AQ48" s="118"/>
      <c r="AR48" s="112"/>
      <c r="AS48" s="112">
        <v>0</v>
      </c>
      <c r="AT48" s="112"/>
      <c r="AU48" s="112"/>
      <c r="AV48" s="112"/>
      <c r="AW48" s="118"/>
      <c r="AX48" s="112"/>
      <c r="AY48" s="112">
        <v>0</v>
      </c>
      <c r="AZ48" s="112"/>
      <c r="BA48" s="112"/>
      <c r="BB48" s="120"/>
    </row>
    <row r="49" spans="2:81">
      <c r="B49" s="78"/>
      <c r="C49" s="79">
        <v>0</v>
      </c>
      <c r="D49" s="79"/>
      <c r="E49" s="79"/>
      <c r="F49" s="79"/>
      <c r="G49" s="86"/>
      <c r="H49" s="79"/>
      <c r="I49" s="79">
        <v>0</v>
      </c>
      <c r="J49" s="79"/>
      <c r="K49" s="79"/>
      <c r="L49" s="79"/>
      <c r="M49" s="86"/>
      <c r="N49" s="79"/>
      <c r="O49" s="79">
        <v>0</v>
      </c>
      <c r="P49" s="79"/>
      <c r="Q49" s="79"/>
      <c r="R49" s="88"/>
      <c r="T49" s="102"/>
      <c r="U49" s="103">
        <v>0</v>
      </c>
      <c r="V49" s="103"/>
      <c r="W49" s="103"/>
      <c r="X49" s="103"/>
      <c r="Y49" s="108"/>
      <c r="Z49" s="103"/>
      <c r="AA49" s="103">
        <v>0</v>
      </c>
      <c r="AB49" s="103"/>
      <c r="AC49" s="103"/>
      <c r="AD49" s="103"/>
      <c r="AE49" s="108"/>
      <c r="AF49" s="103"/>
      <c r="AG49" s="103">
        <v>0</v>
      </c>
      <c r="AH49" s="103"/>
      <c r="AI49" s="103"/>
      <c r="AJ49" s="110"/>
      <c r="AL49" s="111"/>
      <c r="AM49" s="112">
        <v>0</v>
      </c>
      <c r="AN49" s="112"/>
      <c r="AO49" s="112"/>
      <c r="AP49" s="112"/>
      <c r="AQ49" s="118"/>
      <c r="AR49" s="112"/>
      <c r="AS49" s="112">
        <v>0</v>
      </c>
      <c r="AT49" s="112"/>
      <c r="AU49" s="112"/>
      <c r="AV49" s="112"/>
      <c r="AW49" s="118"/>
      <c r="AX49" s="112"/>
      <c r="AY49" s="112">
        <v>0</v>
      </c>
      <c r="AZ49" s="112"/>
      <c r="BA49" s="112"/>
      <c r="BB49" s="120"/>
    </row>
    <row r="50" spans="2:81">
      <c r="B50" s="78"/>
      <c r="C50" s="79">
        <v>0</v>
      </c>
      <c r="D50" s="79"/>
      <c r="E50" s="79"/>
      <c r="F50" s="79"/>
      <c r="G50" s="86"/>
      <c r="H50" s="79"/>
      <c r="I50" s="79">
        <v>0</v>
      </c>
      <c r="J50" s="79"/>
      <c r="K50" s="79"/>
      <c r="L50" s="79"/>
      <c r="M50" s="86"/>
      <c r="N50" s="79"/>
      <c r="O50" s="79">
        <v>0</v>
      </c>
      <c r="P50" s="79"/>
      <c r="Q50" s="79"/>
      <c r="R50" s="88"/>
      <c r="T50" s="102"/>
      <c r="U50" s="103">
        <v>0</v>
      </c>
      <c r="V50" s="103"/>
      <c r="W50" s="103"/>
      <c r="X50" s="103"/>
      <c r="Y50" s="108"/>
      <c r="Z50" s="103"/>
      <c r="AA50" s="103">
        <v>0</v>
      </c>
      <c r="AB50" s="103"/>
      <c r="AC50" s="103"/>
      <c r="AD50" s="103"/>
      <c r="AE50" s="108"/>
      <c r="AF50" s="103"/>
      <c r="AG50" s="103">
        <v>0</v>
      </c>
      <c r="AH50" s="103"/>
      <c r="AI50" s="103"/>
      <c r="AJ50" s="110"/>
      <c r="AL50" s="111"/>
      <c r="AM50" s="112">
        <v>0</v>
      </c>
      <c r="AN50" s="112"/>
      <c r="AO50" s="112"/>
      <c r="AP50" s="112"/>
      <c r="AQ50" s="118"/>
      <c r="AR50" s="112"/>
      <c r="AS50" s="112">
        <v>0</v>
      </c>
      <c r="AT50" s="112"/>
      <c r="AU50" s="112"/>
      <c r="AV50" s="112"/>
      <c r="AW50" s="118"/>
      <c r="AX50" s="112"/>
      <c r="AY50" s="112">
        <v>0</v>
      </c>
      <c r="AZ50" s="112"/>
      <c r="BA50" s="112"/>
      <c r="BB50" s="120"/>
    </row>
    <row r="51" spans="2:81">
      <c r="B51" s="78"/>
      <c r="C51" s="79">
        <v>0</v>
      </c>
      <c r="D51" s="79"/>
      <c r="E51" s="79"/>
      <c r="F51" s="79"/>
      <c r="G51" s="86"/>
      <c r="H51" s="79"/>
      <c r="I51" s="79">
        <v>0</v>
      </c>
      <c r="J51" s="79"/>
      <c r="K51" s="79"/>
      <c r="L51" s="79"/>
      <c r="M51" s="86"/>
      <c r="N51" s="79"/>
      <c r="O51" s="79">
        <v>0</v>
      </c>
      <c r="P51" s="79"/>
      <c r="Q51" s="79"/>
      <c r="R51" s="88"/>
      <c r="T51" s="102"/>
      <c r="U51" s="103">
        <v>0</v>
      </c>
      <c r="V51" s="103"/>
      <c r="W51" s="103"/>
      <c r="X51" s="103"/>
      <c r="Y51" s="108"/>
      <c r="Z51" s="103"/>
      <c r="AA51" s="103">
        <v>0</v>
      </c>
      <c r="AB51" s="103"/>
      <c r="AC51" s="103"/>
      <c r="AD51" s="103"/>
      <c r="AE51" s="108"/>
      <c r="AF51" s="103"/>
      <c r="AG51" s="103">
        <v>0</v>
      </c>
      <c r="AH51" s="103"/>
      <c r="AI51" s="103"/>
      <c r="AJ51" s="110"/>
      <c r="AL51" s="111"/>
      <c r="AM51" s="112">
        <v>0</v>
      </c>
      <c r="AN51" s="112"/>
      <c r="AO51" s="112"/>
      <c r="AP51" s="112"/>
      <c r="AQ51" s="118"/>
      <c r="AR51" s="112"/>
      <c r="AS51" s="112">
        <v>0</v>
      </c>
      <c r="AT51" s="112"/>
      <c r="AU51" s="112"/>
      <c r="AV51" s="112"/>
      <c r="AW51" s="118"/>
      <c r="AX51" s="112"/>
      <c r="AY51" s="112">
        <v>0</v>
      </c>
      <c r="AZ51" s="112"/>
      <c r="BA51" s="112"/>
      <c r="BB51" s="120"/>
    </row>
    <row r="52" spans="2:81">
      <c r="B52" s="81"/>
      <c r="C52" s="82">
        <v>0</v>
      </c>
      <c r="D52" s="82"/>
      <c r="E52" s="82"/>
      <c r="F52" s="82"/>
      <c r="G52" s="87"/>
      <c r="H52" s="82"/>
      <c r="I52" s="82">
        <v>0</v>
      </c>
      <c r="J52" s="82"/>
      <c r="K52" s="82"/>
      <c r="L52" s="82"/>
      <c r="M52" s="87"/>
      <c r="N52" s="82"/>
      <c r="O52" s="82">
        <v>0</v>
      </c>
      <c r="P52" s="82"/>
      <c r="Q52" s="82"/>
      <c r="R52" s="89"/>
      <c r="T52" s="104"/>
      <c r="U52" s="105">
        <v>0</v>
      </c>
      <c r="V52" s="105"/>
      <c r="W52" s="105"/>
      <c r="X52" s="105"/>
      <c r="Y52" s="109"/>
      <c r="Z52" s="105"/>
      <c r="AA52" s="105">
        <v>0</v>
      </c>
      <c r="AB52" s="105"/>
      <c r="AC52" s="105"/>
      <c r="AD52" s="105"/>
      <c r="AE52" s="109"/>
      <c r="AF52" s="105"/>
      <c r="AG52" s="105">
        <v>0</v>
      </c>
      <c r="AH52" s="105"/>
      <c r="AI52" s="105"/>
      <c r="AJ52" s="113"/>
      <c r="AL52" s="114"/>
      <c r="AM52" s="115">
        <v>0</v>
      </c>
      <c r="AN52" s="115"/>
      <c r="AO52" s="115"/>
      <c r="AP52" s="115"/>
      <c r="AQ52" s="119"/>
      <c r="AR52" s="115"/>
      <c r="AS52" s="115">
        <v>0</v>
      </c>
      <c r="AT52" s="115"/>
      <c r="AU52" s="115"/>
      <c r="AV52" s="115"/>
      <c r="AW52" s="119"/>
      <c r="AX52" s="115"/>
      <c r="AY52" s="115">
        <v>0</v>
      </c>
      <c r="AZ52" s="115"/>
      <c r="BA52" s="115"/>
      <c r="BB52" s="121"/>
    </row>
    <row r="54" spans="2:81" ht="41.25" customHeight="1">
      <c r="B54" s="84" t="str">
        <f>IF(F28="N","N",CONCATENATE(B1,_xlfn.TEXTJOIN(", ",TRUE,_xlfn.ANCHORARRAY(F28))))</f>
        <v>N</v>
      </c>
      <c r="C54" s="84"/>
      <c r="D54" s="84"/>
      <c r="E54" s="84"/>
      <c r="F54" s="84"/>
      <c r="H54" s="84" t="str">
        <f>IF(L28="N","N",CONCATENATE(H1,_xlfn.TEXTJOIN(", ",TRUE,_xlfn.ANCHORARRAY(L28))))</f>
        <v>N</v>
      </c>
      <c r="I54" s="84"/>
      <c r="J54" s="84"/>
      <c r="K54" s="84"/>
      <c r="L54" s="84"/>
      <c r="N54" s="84" t="str">
        <f>IF(R28="N","N",CONCATENATE(N1,_xlfn.TEXTJOIN(", ",TRUE,_xlfn.ANCHORARRAY(R28))))</f>
        <v>Re-Sy Sub-Div no.21-2</v>
      </c>
      <c r="O54" s="84"/>
      <c r="P54" s="84"/>
      <c r="Q54" s="84"/>
      <c r="R54" s="84"/>
      <c r="T54" s="84" t="str">
        <f>IF(X28="N","N",CONCATENATE(T1,_xlfn.TEXTJOIN(", ",TRUE,_xlfn.ANCHORARRAY(X28))))</f>
        <v>N</v>
      </c>
      <c r="U54" s="106"/>
      <c r="V54" s="106"/>
      <c r="W54" s="106"/>
      <c r="X54" s="106"/>
      <c r="Z54" s="84" t="str">
        <f>IF(AD28="N","N",CONCATENATE(Z1,_xlfn.TEXTJOIN(", ",TRUE,_xlfn.ANCHORARRAY(AD28))))</f>
        <v>N</v>
      </c>
      <c r="AA54" s="106"/>
      <c r="AB54" s="106"/>
      <c r="AC54" s="106"/>
      <c r="AD54" s="106"/>
      <c r="AF54" s="84" t="str">
        <f>IF(AJ28="N","N",CONCATENATE(AF1,_xlfn.TEXTJOIN(", ",TRUE,_xlfn.ANCHORARRAY(AJ28))))</f>
        <v>N</v>
      </c>
      <c r="AG54" s="106"/>
      <c r="AH54" s="106"/>
      <c r="AI54" s="106"/>
      <c r="AJ54" s="106"/>
      <c r="AL54" s="84" t="str">
        <f>IF(AP28="N","N",CONCATENATE(AL1,_xlfn.TEXTJOIN(", ",TRUE,_xlfn.ANCHORARRAY(AP28))))</f>
        <v>N</v>
      </c>
      <c r="AM54" s="116"/>
      <c r="AN54" s="116"/>
      <c r="AO54" s="116"/>
      <c r="AP54" s="116"/>
      <c r="AR54" s="84" t="str">
        <f>IF(AV28="N","N",CONCATENATE(AR1,_xlfn.TEXTJOIN(", ",TRUE,_xlfn.ANCHORARRAY(AV28))))</f>
        <v>N</v>
      </c>
      <c r="AS54" s="116"/>
      <c r="AT54" s="116"/>
      <c r="AU54" s="116"/>
      <c r="AV54" s="116"/>
      <c r="AX54" s="84" t="str">
        <f>IF(BB28="N","N",CONCATENATE(AX1,_xlfn.TEXTJOIN(", ",TRUE,_xlfn.ANCHORARRAY(BB28))))</f>
        <v>N</v>
      </c>
      <c r="AY54" s="116"/>
      <c r="AZ54" s="116"/>
      <c r="BA54" s="116"/>
      <c r="BB54" s="116"/>
      <c r="BD54" s="90" t="str" cm="1">
        <f t="array" ref="BD54:BF54">_xlfn.UNIQUE(B54:BB54,TRUE,FALSE)</f>
        <v>N</v>
      </c>
      <c r="BE54" s="91">
        <v>0</v>
      </c>
      <c r="BF54" s="91" t="str">
        <v>Re-Sy Sub-Div no.21-2</v>
      </c>
      <c r="BG54" s="91"/>
      <c r="BH54" s="91"/>
      <c r="BI54" s="91"/>
      <c r="BJ54" s="91"/>
      <c r="BK54" s="91"/>
      <c r="BL54" s="91"/>
      <c r="BM54" s="91"/>
      <c r="BN54" s="91"/>
      <c r="BO54" s="91"/>
      <c r="BP54" s="91"/>
      <c r="BQ54" s="91"/>
      <c r="BR54" s="91"/>
      <c r="BS54" s="91"/>
      <c r="BT54" s="91"/>
      <c r="BU54" s="91"/>
      <c r="BV54" s="91"/>
      <c r="BW54" s="91"/>
      <c r="BX54" s="91"/>
      <c r="BY54" s="91"/>
      <c r="BZ54" s="91"/>
      <c r="CA54" s="91"/>
      <c r="CB54" s="91"/>
      <c r="CC54" s="96"/>
    </row>
    <row r="55" spans="2:81">
      <c r="B55" s="84"/>
      <c r="C55" s="84"/>
      <c r="D55" s="84"/>
      <c r="E55" s="84"/>
      <c r="F55" s="84"/>
      <c r="H55" s="84"/>
      <c r="I55" s="84"/>
      <c r="J55" s="84"/>
      <c r="K55" s="84"/>
      <c r="L55" s="84"/>
      <c r="N55" s="84"/>
      <c r="O55" s="84"/>
      <c r="P55" s="84"/>
      <c r="Q55" s="84"/>
      <c r="R55" s="84"/>
      <c r="T55" s="106"/>
      <c r="U55" s="106"/>
      <c r="V55" s="106"/>
      <c r="W55" s="106"/>
      <c r="X55" s="106"/>
      <c r="Z55" s="106"/>
      <c r="AA55" s="106"/>
      <c r="AB55" s="106"/>
      <c r="AC55" s="106"/>
      <c r="AD55" s="106"/>
      <c r="AF55" s="106"/>
      <c r="AG55" s="106"/>
      <c r="AH55" s="106"/>
      <c r="AI55" s="106"/>
      <c r="AJ55" s="106"/>
      <c r="AL55" s="116"/>
      <c r="AM55" s="116"/>
      <c r="AN55" s="116"/>
      <c r="AO55" s="116"/>
      <c r="AP55" s="116"/>
      <c r="AR55" s="116"/>
      <c r="AS55" s="116"/>
      <c r="AT55" s="116"/>
      <c r="AU55" s="116"/>
      <c r="AV55" s="116"/>
      <c r="AX55" s="116"/>
      <c r="AY55" s="116"/>
      <c r="AZ55" s="116"/>
      <c r="BA55" s="116"/>
      <c r="BB55" s="116"/>
      <c r="BD55" s="92"/>
      <c r="BE55" s="93"/>
      <c r="BF55" s="93"/>
      <c r="BG55" s="93"/>
      <c r="BH55" s="93"/>
      <c r="BI55" s="93"/>
      <c r="BJ55" s="93"/>
      <c r="BK55" s="93"/>
      <c r="BL55" s="93"/>
      <c r="BM55" s="93"/>
      <c r="BN55" s="93"/>
      <c r="BO55" s="93"/>
      <c r="BP55" s="93"/>
      <c r="BQ55" s="93"/>
      <c r="BR55" s="93"/>
      <c r="BS55" s="93"/>
      <c r="BT55" s="93"/>
      <c r="BU55" s="93"/>
      <c r="BV55" s="93"/>
      <c r="BW55" s="93"/>
      <c r="BX55" s="93"/>
      <c r="BY55" s="93"/>
      <c r="BZ55" s="93"/>
      <c r="CA55" s="93"/>
      <c r="CB55" s="93"/>
      <c r="CC55" s="97"/>
    </row>
    <row r="56" spans="2:81">
      <c r="B56" s="66"/>
      <c r="C56" s="66"/>
      <c r="D56" s="66"/>
      <c r="E56" s="66"/>
      <c r="F56" s="66"/>
      <c r="BD56" s="92" cm="1">
        <f t="array" ref="BD56:CC56">_xlfn._xlws.FILTER(BD54:CD54,BD54:CD54&lt;&gt;"N")</f>
        <v>0</v>
      </c>
      <c r="BE56" s="93" t="str">
        <v>Re-Sy Sub-Div no.21-2</v>
      </c>
      <c r="BF56" s="93">
        <v>0</v>
      </c>
      <c r="BG56" s="93">
        <v>0</v>
      </c>
      <c r="BH56" s="93">
        <v>0</v>
      </c>
      <c r="BI56" s="93">
        <v>0</v>
      </c>
      <c r="BJ56" s="93">
        <v>0</v>
      </c>
      <c r="BK56" s="93">
        <v>0</v>
      </c>
      <c r="BL56" s="93">
        <v>0</v>
      </c>
      <c r="BM56" s="93">
        <v>0</v>
      </c>
      <c r="BN56" s="93">
        <v>0</v>
      </c>
      <c r="BO56" s="93">
        <v>0</v>
      </c>
      <c r="BP56" s="93">
        <v>0</v>
      </c>
      <c r="BQ56" s="93">
        <v>0</v>
      </c>
      <c r="BR56" s="93">
        <v>0</v>
      </c>
      <c r="BS56" s="93">
        <v>0</v>
      </c>
      <c r="BT56" s="93">
        <v>0</v>
      </c>
      <c r="BU56" s="93">
        <v>0</v>
      </c>
      <c r="BV56" s="93">
        <v>0</v>
      </c>
      <c r="BW56" s="93">
        <v>0</v>
      </c>
      <c r="BX56" s="93">
        <v>0</v>
      </c>
      <c r="BY56" s="93">
        <v>0</v>
      </c>
      <c r="BZ56" s="93">
        <v>0</v>
      </c>
      <c r="CA56" s="93">
        <v>0</v>
      </c>
      <c r="CB56" s="93">
        <v>0</v>
      </c>
      <c r="CC56" s="97">
        <v>0</v>
      </c>
    </row>
    <row r="57" spans="2:81">
      <c r="B57" s="66"/>
      <c r="C57" s="66"/>
      <c r="D57" s="66"/>
      <c r="E57" s="66"/>
      <c r="F57" s="66"/>
      <c r="BD57" s="92"/>
      <c r="BE57" s="93"/>
      <c r="BF57" s="93"/>
      <c r="BG57" s="93"/>
      <c r="BH57" s="93"/>
      <c r="BI57" s="93"/>
      <c r="BJ57" s="93"/>
      <c r="BK57" s="93"/>
      <c r="BL57" s="93"/>
      <c r="BM57" s="93"/>
      <c r="BN57" s="93"/>
      <c r="BO57" s="93"/>
      <c r="BP57" s="93"/>
      <c r="BQ57" s="93"/>
      <c r="BR57" s="93"/>
      <c r="BS57" s="93"/>
      <c r="BT57" s="93"/>
      <c r="BU57" s="93"/>
      <c r="BV57" s="93"/>
      <c r="BW57" s="93"/>
      <c r="BX57" s="93"/>
      <c r="BY57" s="93"/>
      <c r="BZ57" s="93"/>
      <c r="CA57" s="93"/>
      <c r="CB57" s="93"/>
      <c r="CC57" s="97"/>
    </row>
    <row r="58" spans="2:81">
      <c r="B58" s="66"/>
      <c r="C58" s="66"/>
      <c r="D58" s="66"/>
      <c r="E58" s="66"/>
      <c r="F58" s="66"/>
      <c r="BD58" s="94" t="str" cm="1">
        <f t="array" ref="BD58">_xlfn._xlws.FILTER(BD56:CD56,BD56:CD56&lt;&gt;0)</f>
        <v>Re-Sy Sub-Div no.21-2</v>
      </c>
      <c r="BE58" s="95"/>
      <c r="BF58" s="95"/>
      <c r="BG58" s="95"/>
      <c r="BH58" s="95"/>
      <c r="BI58" s="95"/>
      <c r="BJ58" s="95"/>
      <c r="BK58" s="95"/>
      <c r="BL58" s="95"/>
      <c r="BM58" s="95"/>
      <c r="BN58" s="95"/>
      <c r="BO58" s="95"/>
      <c r="BP58" s="95"/>
      <c r="BQ58" s="95"/>
      <c r="BR58" s="95"/>
      <c r="BS58" s="95"/>
      <c r="BT58" s="95"/>
      <c r="BU58" s="95"/>
      <c r="BV58" s="95"/>
      <c r="BW58" s="95"/>
      <c r="BX58" s="95"/>
      <c r="BY58" s="95"/>
      <c r="BZ58" s="95"/>
      <c r="CA58" s="95"/>
      <c r="CB58" s="95"/>
      <c r="CC58" s="98"/>
    </row>
    <row r="60" spans="2:81">
      <c r="BD60" s="20" t="str">
        <f>_xlfn.TEXTJOIN(", ",TRUE,BD58:CC58)</f>
        <v>Re-Sy Sub-Div no.21-2</v>
      </c>
    </row>
  </sheetData>
  <mergeCells count="9">
    <mergeCell ref="AF1:AJ1"/>
    <mergeCell ref="AL1:AP1"/>
    <mergeCell ref="AR1:AV1"/>
    <mergeCell ref="AX1:BB1"/>
    <mergeCell ref="B1:F1"/>
    <mergeCell ref="H1:L1"/>
    <mergeCell ref="N1:R1"/>
    <mergeCell ref="T1:X1"/>
    <mergeCell ref="Z1:AD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1"/>
  <dimension ref="A1:AA30"/>
  <sheetViews>
    <sheetView workbookViewId="0"/>
  </sheetViews>
  <sheetFormatPr defaultColWidth="12.7265625" defaultRowHeight="14.5"/>
  <cols>
    <col min="1" max="2" width="12.7265625" style="25"/>
    <col min="3" max="3" width="44.81640625" style="25" customWidth="1"/>
    <col min="4" max="4" width="34.7265625" style="25" customWidth="1"/>
    <col min="5" max="5" width="12.7265625" style="25"/>
    <col min="6" max="6" width="12" style="25" customWidth="1"/>
    <col min="7" max="16384" width="12.7265625" style="25"/>
  </cols>
  <sheetData>
    <row r="1" spans="1:27" s="99" customFormat="1">
      <c r="E1" s="99">
        <v>1</v>
      </c>
      <c r="F1" s="99">
        <v>2</v>
      </c>
      <c r="G1" s="99">
        <v>3</v>
      </c>
      <c r="I1" s="99">
        <v>4</v>
      </c>
      <c r="J1" s="99">
        <v>5</v>
      </c>
      <c r="K1" s="99">
        <v>6</v>
      </c>
      <c r="L1" s="99">
        <v>7</v>
      </c>
      <c r="M1" s="99">
        <v>8</v>
      </c>
      <c r="N1" s="99">
        <v>9</v>
      </c>
      <c r="O1" s="99">
        <v>10</v>
      </c>
      <c r="P1" s="99">
        <v>11</v>
      </c>
      <c r="Q1" s="99">
        <v>12</v>
      </c>
      <c r="R1" s="99">
        <v>13</v>
      </c>
      <c r="S1" s="99">
        <v>14</v>
      </c>
      <c r="T1" s="99">
        <v>15</v>
      </c>
      <c r="U1" s="99">
        <v>16</v>
      </c>
      <c r="V1" s="99">
        <v>17</v>
      </c>
      <c r="W1" s="99">
        <v>18</v>
      </c>
      <c r="X1" s="99">
        <v>19</v>
      </c>
      <c r="Y1" s="99">
        <v>20</v>
      </c>
      <c r="Z1" s="99">
        <v>21</v>
      </c>
      <c r="AA1" s="99">
        <v>22</v>
      </c>
    </row>
    <row r="2" spans="1:27" s="100" customFormat="1" ht="29">
      <c r="E2" s="100" t="s">
        <v>43</v>
      </c>
      <c r="F2" s="100" t="s">
        <v>236</v>
      </c>
      <c r="G2" s="100" t="s">
        <v>44</v>
      </c>
      <c r="H2" s="100" t="s">
        <v>46</v>
      </c>
      <c r="I2" s="100" t="s">
        <v>45</v>
      </c>
      <c r="J2" s="100" t="s">
        <v>208</v>
      </c>
      <c r="K2" s="100" t="s">
        <v>220</v>
      </c>
      <c r="L2" s="100" t="s">
        <v>223</v>
      </c>
      <c r="M2" s="100" t="s">
        <v>230</v>
      </c>
      <c r="N2" s="100" t="s">
        <v>232</v>
      </c>
      <c r="O2" s="100" t="s">
        <v>1089</v>
      </c>
    </row>
    <row r="3" spans="1:27" ht="29">
      <c r="B3" s="25" t="s">
        <v>1090</v>
      </c>
      <c r="E3" s="25">
        <f>'01.AGRMT'!AA2</f>
        <v>1</v>
      </c>
      <c r="F3" s="25">
        <f>'01B.SDEC'!AA2</f>
        <v>0</v>
      </c>
      <c r="G3" s="25">
        <f>'02.OTD'!AA2</f>
        <v>1</v>
      </c>
      <c r="H3" s="25">
        <f>'03.LTR'!AA2</f>
        <v>1</v>
      </c>
      <c r="I3" s="25">
        <f>'04.POSN'!AA2</f>
        <v>1</v>
      </c>
      <c r="J3" s="25">
        <f>'05.TIR'!AA2</f>
        <v>0</v>
      </c>
      <c r="K3" s="25">
        <f>'06.BPER'!AA2</f>
        <v>0</v>
      </c>
      <c r="L3" s="25">
        <f>'07.DPER'!AA2</f>
        <v>0</v>
      </c>
      <c r="M3" s="25">
        <f>'08.BTAX'!AA2</f>
        <v>0</v>
      </c>
      <c r="N3" s="25">
        <f>'09.BCER'!AA2</f>
        <v>0</v>
      </c>
    </row>
    <row r="4" spans="1:27">
      <c r="E4" s="25" t="str">
        <f>'01.AGRMT'!AA3</f>
        <v>153/2022</v>
      </c>
      <c r="F4" s="25" t="str">
        <f>'01B.SDEC'!AA3</f>
        <v/>
      </c>
      <c r="G4" s="25" t="str">
        <f>'02.OTD'!AA3</f>
        <v>153/2022</v>
      </c>
      <c r="H4" s="25" t="str">
        <f>'03.LTR'!AA3</f>
        <v>153/2022</v>
      </c>
      <c r="I4" s="25" t="str">
        <f>'04.POSN'!AA3</f>
        <v>153/2022</v>
      </c>
      <c r="J4" s="25" t="str">
        <f>'05.TIR'!AA3</f>
        <v/>
      </c>
      <c r="K4" s="25" t="str">
        <f>'06.BPER'!AA3</f>
        <v/>
      </c>
      <c r="L4" s="25" t="str">
        <f>'07.DPER'!AA3</f>
        <v/>
      </c>
      <c r="M4" s="25" t="str">
        <f>'08.BTAX'!AA3</f>
        <v/>
      </c>
      <c r="N4" s="25" t="str">
        <f>'09.BCER'!AA3</f>
        <v/>
      </c>
    </row>
    <row r="5" spans="1:27" ht="29">
      <c r="G5" s="25" t="str">
        <f t="shared" ref="G5" si="0">IF(G4="","",CONCATENATE("(Doc No. ",G4,") "))</f>
        <v>(Doc No. 153/2022)</v>
      </c>
      <c r="H5" s="25" t="str">
        <f>IF(H4="","",CONCATENATE("(No. ",H4,") "))</f>
        <v>(No. 153/2022)</v>
      </c>
      <c r="I5" s="25" t="str">
        <f>IF(I4="","",CONCATENATE("(Doc No. ",I4,") "))</f>
        <v>(Doc No. 153/2022)</v>
      </c>
      <c r="J5" s="25" t="str">
        <f t="shared" ref="J5" si="1">IF(J4="","",CONCATENATE("(Doc No. ",J4,") "))</f>
        <v/>
      </c>
      <c r="K5" s="25" t="str">
        <f>IF(K4="","",CONCATENATE("(Permit No. ",K4,") "))</f>
        <v/>
      </c>
      <c r="L5" s="25" t="str">
        <f>IF(L4="","",CONCATENATE("(Permit No. ",L4,") "))</f>
        <v/>
      </c>
      <c r="M5" s="25" t="str">
        <f>IF(M4="","",CONCATENATE("(Receipt No. ",M4,") "))</f>
        <v/>
      </c>
      <c r="N5" s="25" t="str">
        <f>IF(N4="","",CONCATENATE("(Cert No. ",N4,") "))</f>
        <v/>
      </c>
    </row>
    <row r="6" spans="1:27" ht="145.9" customHeight="1">
      <c r="A6" s="25">
        <v>1</v>
      </c>
      <c r="B6" s="25" t="s">
        <v>1091</v>
      </c>
      <c r="C6" s="25" t="str">
        <f>CONCATENATE("Digital extract of ",D6," produced of perusal.")</f>
        <v>Digital extract of Agreement,Title Deed(Doc No. 153/2022) ,Land Tax Receipt(No. 153/2022) ,Possession Certificate(Doc No. 153/2022)  produced of perusal.</v>
      </c>
      <c r="D6" s="25" t="str">
        <f>_xlfn.TEXTJOIN(",",TRUE,E6:AB6)</f>
        <v>Agreement,Title Deed(Doc No. 153/2022) ,Land Tax Receipt(No. 153/2022) ,Possession Certificate(Doc No. 153/2022)</v>
      </c>
      <c r="E6" s="25" t="str">
        <f t="shared" ref="E6:G6" si="2">IF(E3=0,"",CONCATENATE(E2,E5))</f>
        <v>Agreement</v>
      </c>
      <c r="F6" s="25" t="str">
        <f t="shared" si="2"/>
        <v/>
      </c>
      <c r="G6" s="25" t="str">
        <f t="shared" si="2"/>
        <v>Title Deed(Doc No. 153/2022)</v>
      </c>
      <c r="H6" s="25" t="str">
        <f t="shared" ref="H6:N6" si="3">IF(H3=0,"",CONCATENATE(H2,H5))</f>
        <v>Land Tax Receipt(No. 153/2022)</v>
      </c>
      <c r="I6" s="25" t="str">
        <f t="shared" si="3"/>
        <v>Possession Certificate(Doc No. 153/2022)</v>
      </c>
      <c r="J6" s="25" t="str">
        <f t="shared" si="3"/>
        <v/>
      </c>
      <c r="K6" s="25" t="str">
        <f t="shared" si="3"/>
        <v/>
      </c>
      <c r="L6" s="25" t="str">
        <f t="shared" si="3"/>
        <v/>
      </c>
      <c r="M6" s="25" t="str">
        <f t="shared" si="3"/>
        <v/>
      </c>
      <c r="N6" s="25" t="str">
        <f t="shared" si="3"/>
        <v/>
      </c>
    </row>
    <row r="7" spans="1:27">
      <c r="E7" s="25" t="str">
        <f>VLOOKUP('02.GeneralFileDetails'!L9,AppDropdown!G2:H12,2,FALSE)</f>
        <v>REQ</v>
      </c>
      <c r="F7" s="25" t="str">
        <f>VLOOKUP('02.GeneralFileDetails'!L9,AppDropdown!G2:H12,2,FALSE)</f>
        <v>REQ</v>
      </c>
    </row>
    <row r="8" spans="1:27" ht="319">
      <c r="A8" s="25">
        <v>2</v>
      </c>
      <c r="B8" s="25" t="s">
        <v>1092</v>
      </c>
      <c r="E8" s="25" t="s">
        <v>1093</v>
      </c>
      <c r="F8" s="25" t="s">
        <v>1094</v>
      </c>
      <c r="G8" s="25" t="s">
        <v>1095</v>
      </c>
      <c r="H8" s="25" t="s">
        <v>1096</v>
      </c>
    </row>
    <row r="9" spans="1:27" ht="207.4" customHeight="1">
      <c r="E9" s="25" t="str">
        <f>IF(IF(E7="NREQ","",E3)=0,E8,"")</f>
        <v/>
      </c>
      <c r="F9" s="101" t="str">
        <f>IF(F3=0,E9,F8)</f>
        <v/>
      </c>
      <c r="H9" s="25">
        <f>H3+I3</f>
        <v>2</v>
      </c>
    </row>
    <row r="10" spans="1:27" ht="345.75" customHeight="1">
      <c r="B10" s="25" t="s">
        <v>1097</v>
      </c>
      <c r="C10" s="25" t="str">
        <f>_xlfn.TEXTJOIN(",",TRUE,F10:Z10)</f>
        <v/>
      </c>
      <c r="F10" s="25" t="str">
        <f>F9</f>
        <v/>
      </c>
      <c r="G10" s="25" t="str">
        <f>IF(G3=0,G8,"")</f>
        <v/>
      </c>
      <c r="H10" s="25" t="str">
        <f>IF(H9=0,H8,"")</f>
        <v/>
      </c>
    </row>
    <row r="30" spans="3:3" ht="132" customHeight="1">
      <c r="C30" s="25" t="str">
        <f>_xlfn.TEXTJOIN(",",TRUE,C6:C29)</f>
        <v>Digital extract of Agreement,Title Deed(Doc No. 153/2022) ,Land Tax Receipt(No. 153/2022) ,Possession Certificate(Doc No. 153/2022)  produced of perusal.</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CJ60"/>
  <sheetViews>
    <sheetView workbookViewId="0"/>
  </sheetViews>
  <sheetFormatPr defaultColWidth="9" defaultRowHeight="14.5"/>
  <cols>
    <col min="2" max="2" width="15.54296875" style="19" customWidth="1"/>
    <col min="3" max="5" width="8.7265625" style="19" customWidth="1"/>
    <col min="6" max="7" width="16.453125" style="19" customWidth="1"/>
    <col min="8" max="8" width="15.54296875" style="19" customWidth="1"/>
    <col min="9" max="11" width="8.7265625" style="19" customWidth="1"/>
    <col min="12" max="13" width="16.453125" style="19" customWidth="1"/>
    <col min="14" max="14" width="15.54296875" style="19" customWidth="1"/>
    <col min="15" max="15" width="8.7265625" style="19" customWidth="1"/>
    <col min="16" max="16" width="12" style="19" customWidth="1"/>
    <col min="17" max="17" width="8.7265625" style="19" customWidth="1"/>
    <col min="18" max="19" width="16.453125" style="19" customWidth="1"/>
    <col min="20" max="20" width="15.54296875" style="19" customWidth="1"/>
    <col min="21" max="23" width="8.7265625" style="19" customWidth="1"/>
    <col min="24" max="24" width="16.453125" style="19" customWidth="1"/>
    <col min="26" max="26" width="15.54296875" style="19" customWidth="1"/>
    <col min="27" max="29" width="8.7265625" style="19" customWidth="1"/>
    <col min="30" max="31" width="16.453125" style="19" customWidth="1"/>
    <col min="32" max="32" width="15.54296875" style="19" customWidth="1"/>
    <col min="33" max="35" width="8.7265625" style="19" customWidth="1"/>
    <col min="36" max="36" width="16.453125" style="19" customWidth="1"/>
    <col min="38" max="38" width="15.54296875" style="19" customWidth="1"/>
    <col min="39" max="42" width="8.7265625" style="19" customWidth="1"/>
    <col min="44" max="44" width="15.54296875" style="19" customWidth="1"/>
    <col min="45" max="47" width="8.7265625" style="19" customWidth="1"/>
    <col min="48" max="48" width="16.453125" style="19" customWidth="1"/>
    <col min="50" max="50" width="15.54296875" style="19" customWidth="1"/>
    <col min="51" max="54" width="8.7265625" style="19" customWidth="1"/>
    <col min="56" max="56" width="15.54296875" style="19" customWidth="1"/>
    <col min="57" max="60" width="8.7265625" style="19" customWidth="1"/>
    <col min="63" max="63" width="28.453125" customWidth="1"/>
    <col min="64" max="64" width="15.7265625" customWidth="1"/>
    <col min="65" max="65" width="22.26953125" customWidth="1"/>
    <col min="66" max="66" width="23.54296875" customWidth="1"/>
    <col min="67" max="67" width="9" customWidth="1"/>
    <col min="68" max="68" width="16.7265625" customWidth="1"/>
    <col min="69" max="69" width="17.7265625" customWidth="1"/>
    <col min="75" max="75" width="18.7265625" customWidth="1"/>
  </cols>
  <sheetData>
    <row r="1" spans="1:60" ht="15" customHeight="1">
      <c r="A1">
        <v>2244</v>
      </c>
      <c r="B1" s="780" t="s">
        <v>1098</v>
      </c>
      <c r="C1" s="781"/>
      <c r="D1" s="781"/>
      <c r="E1" s="781"/>
      <c r="F1" s="781"/>
      <c r="G1" s="77"/>
      <c r="H1" s="780" t="str">
        <f>CONCATENATE("Discrepancy noted between the ",H2," and the Title Deed: The owner mentioned in the ",H2," is not reflected in the Title Deed.")</f>
        <v>Discrepancy noted between the Agreement and the Title Deed: The owner mentioned in the Agreement is not reflected in the Title Deed.</v>
      </c>
      <c r="I1" s="781"/>
      <c r="J1" s="781"/>
      <c r="K1" s="781"/>
      <c r="L1" s="781"/>
      <c r="M1" s="77"/>
      <c r="N1" s="780" t="str">
        <f>CONCATENATE("Discrepancy noted between the ",N2," and the Title Deed: The owner mentioned in the ",N2," is not reflected in the Title Deed.")</f>
        <v>Discrepancy noted between the Sale Declaration and the Title Deed: The owner mentioned in the Sale Declaration is not reflected in the Title Deed.</v>
      </c>
      <c r="O1" s="781"/>
      <c r="P1" s="781"/>
      <c r="Q1" s="781"/>
      <c r="R1" s="781"/>
      <c r="S1" s="77"/>
      <c r="T1" s="780" t="str">
        <f>CONCATENATE("Discrepancy noted between the ",T2," and the Title Deed: The owner mentioned in the ",T2," is not reflected in the Title Deed.")</f>
        <v>Discrepancy noted between the Land tax receipt and the Title Deed: The owner mentioned in the Land tax receipt is not reflected in the Title Deed.</v>
      </c>
      <c r="U1" s="781"/>
      <c r="V1" s="781"/>
      <c r="W1" s="781"/>
      <c r="X1" s="781"/>
      <c r="Y1" s="85"/>
      <c r="Z1" s="780" t="str">
        <f>CONCATENATE("Discrepancy noted between the ",Z2," and the Title Deed: The owner mentioned in the ",Z2," is not reflected in the Title Deed.")</f>
        <v>Discrepancy noted between the Possession Certificate and the Title Deed: The owner mentioned in the Possession Certificate is not reflected in the Title Deed.</v>
      </c>
      <c r="AA1" s="781"/>
      <c r="AB1" s="781"/>
      <c r="AC1" s="781"/>
      <c r="AD1" s="781"/>
      <c r="AE1" s="77"/>
      <c r="AF1" s="780" t="str">
        <f>CONCATENATE("Discrepancy noted between the ",AF2," and the Title Deed: The owner mentioned in the ",AF2," is not reflected in the Title Deed.")</f>
        <v>Discrepancy noted between the TIR Report and the Title Deed: The owner mentioned in the TIR Report is not reflected in the Title Deed.</v>
      </c>
      <c r="AG1" s="781"/>
      <c r="AH1" s="781"/>
      <c r="AI1" s="781"/>
      <c r="AJ1" s="781"/>
      <c r="AK1" s="85"/>
      <c r="AL1" s="780" t="str">
        <f>CONCATENATE("Discrepancy noted between the ",AL2," and the Title Deed: The owner mentioned in the ",AL2," is not reflected in the Title Deed.")</f>
        <v>Discrepancy noted between the Building Permit and the Title Deed: The owner mentioned in the Building Permit is not reflected in the Title Deed.</v>
      </c>
      <c r="AM1" s="781"/>
      <c r="AN1" s="781"/>
      <c r="AO1" s="781"/>
      <c r="AP1" s="781"/>
      <c r="AQ1" s="85"/>
      <c r="AR1" s="780" t="str">
        <f>CONCATENATE("Discrepancy noted between the ",AR2," and the Title Deed: The owner mentioned in the ",AR2," is not reflected in the Title Deed.")</f>
        <v>Discrepancy noted between the Development Permit and the Title Deed: The owner mentioned in the Development Permit is not reflected in the Title Deed.</v>
      </c>
      <c r="AS1" s="781"/>
      <c r="AT1" s="781"/>
      <c r="AU1" s="781"/>
      <c r="AV1" s="781"/>
      <c r="AW1" s="85"/>
      <c r="AX1" s="780" t="str">
        <f>CONCATENATE("Discrepancy noted between the ",AX2," and the Title Deed: The owner mentioned in the ",AX2," is not reflected in the Title Deed.")</f>
        <v>Discrepancy noted between the Building Tax Receipt and the Title Deed: The owner mentioned in the Building Tax Receipt is not reflected in the Title Deed.</v>
      </c>
      <c r="AY1" s="781"/>
      <c r="AZ1" s="781"/>
      <c r="BA1" s="781"/>
      <c r="BB1" s="781"/>
      <c r="BC1" s="85"/>
      <c r="BD1" s="780" t="str">
        <f>CONCATENATE("Discrepancy noted between the ",BD2," and the Title Deed: The owner mentioned in the ",BD2," is not reflected in the Title Deed.")</f>
        <v>Discrepancy noted between the Building Certificate and the Title Deed: The owner mentioned in the Building Certificate is not reflected in the Title Deed.</v>
      </c>
      <c r="BE1" s="781"/>
      <c r="BF1" s="781"/>
      <c r="BG1" s="781"/>
      <c r="BH1" s="781"/>
    </row>
    <row r="2" spans="1:60" ht="58">
      <c r="B2" s="78" t="s">
        <v>1090</v>
      </c>
      <c r="C2" s="79" t="str" cm="1">
        <f t="array" ref="C2:C26">_xlfn._xlws.SORT(TRANSPOSE('01.AGRMT'!AB3:AZ3))</f>
        <v/>
      </c>
      <c r="D2" s="79" t="str" cm="1">
        <f t="array" ref="D2:D3">_xlfn._xlws.FILTER(_xlfn.ANCHORARRAY(C2),_xlfn.ANCHORARRAY(C2)&lt;&gt;0)</f>
        <v/>
      </c>
      <c r="E2" s="79" t="s">
        <v>1086</v>
      </c>
      <c r="F2" s="79" t="str" cm="1">
        <f t="array" ref="F2">IFERROR(_xlfn._xlws.FILTER(_xlfn.ANCHORARRAY(C28),(_xlfn.ANCHORARRAY(C28)&lt;&gt;0)*(COUNTIF(_xlfn.ANCHORARRAY(C2),_xlfn.ANCHORARRAY(C28))=0)),"N")</f>
        <v>N</v>
      </c>
      <c r="G2" s="80"/>
      <c r="H2" s="78" t="s">
        <v>43</v>
      </c>
      <c r="I2" s="79" t="str" cm="1">
        <f t="array" ref="I2:I26">_xlfn._xlws.SORT(TRANSPOSE('01.AGRMT'!U6:AS6))</f>
        <v/>
      </c>
      <c r="J2" s="79" t="str" cm="1">
        <f t="array" ref="J2:J10">_xlfn._xlws.FILTER(_xlfn.ANCHORARRAY(I2),_xlfn.ANCHORARRAY(I2)&lt;&gt;0)</f>
        <v/>
      </c>
      <c r="K2" s="79" t="s">
        <v>1086</v>
      </c>
      <c r="L2" s="79" t="str" cm="1">
        <f t="array" ref="L2:L3">IFERROR(_xlfn._xlws.FILTER(_xlfn.ANCHORARRAY(I28),(_xlfn.ANCHORARRAY(I28)&lt;&gt;0)*(COUNTIF(_xlfn.ANCHORARRAY(I2),_xlfn.ANCHORARRAY(I28))=0)),"N")</f>
        <v>Jobin</v>
      </c>
      <c r="M2" s="80"/>
      <c r="N2" s="78" t="s">
        <v>236</v>
      </c>
      <c r="O2" s="79" t="str" cm="1">
        <f t="array" ref="O2:O26">_xlfn._xlws.SORT(TRANSPOSE('01B.SDEC'!AB6:AZ6))</f>
        <v/>
      </c>
      <c r="P2" s="79" t="str" cm="1">
        <f t="array" ref="P2">_xlfn._xlws.FILTER(_xlfn.ANCHORARRAY(O2),_xlfn.ANCHORARRAY(O2)&lt;&gt;0)</f>
        <v/>
      </c>
      <c r="Q2" s="79" t="s">
        <v>1086</v>
      </c>
      <c r="R2" s="79" t="str" cm="1">
        <f t="array" ref="R2">IFERROR(_xlfn._xlws.FILTER(_xlfn.ANCHORARRAY(O28),(_xlfn.ANCHORARRAY(O28)&lt;&gt;0)*(COUNTIF(_xlfn.ANCHORARRAY(O2),_xlfn.ANCHORARRAY(O28))=0)),"N")</f>
        <v>Jobin</v>
      </c>
      <c r="S2" s="80"/>
      <c r="T2" s="78" t="s">
        <v>1099</v>
      </c>
      <c r="U2" s="79" t="str" cm="1">
        <f t="array" ref="U2:U26">_xlfn._xlws.SORT(TRANSPOSE('03.LTR'!AB7:AZ7))</f>
        <v/>
      </c>
      <c r="V2" s="79" t="str" cm="1">
        <f t="array" ref="V2:V3">_xlfn._xlws.FILTER(_xlfn.ANCHORARRAY(U2),_xlfn.ANCHORARRAY(U2)&lt;&gt;0)</f>
        <v/>
      </c>
      <c r="W2" s="79" t="s">
        <v>1086</v>
      </c>
      <c r="X2" s="79" t="str" cm="1">
        <f t="array" ref="X2">IFERROR(_xlfn._xlws.FILTER(_xlfn.ANCHORARRAY(U28),(_xlfn.ANCHORARRAY(U28)&lt;&gt;0)*(COUNTIF(_xlfn.ANCHORARRAY(U2),_xlfn.ANCHORARRAY(U28))=0)),"N")</f>
        <v>Jobin</v>
      </c>
      <c r="Y2" s="86"/>
      <c r="Z2" s="78" t="s">
        <v>45</v>
      </c>
      <c r="AA2" s="79" t="str" cm="1">
        <f t="array" ref="AA2:AA26">_xlfn._xlws.SORT(TRANSPOSE('04.POSN'!AB7:AZ7))</f>
        <v/>
      </c>
      <c r="AB2" s="79" t="str" cm="1">
        <f t="array" ref="AB2:AB3">_xlfn._xlws.FILTER(_xlfn.ANCHORARRAY(AA2),_xlfn.ANCHORARRAY(AA2)&lt;&gt;0)</f>
        <v/>
      </c>
      <c r="AC2" s="79" t="s">
        <v>1086</v>
      </c>
      <c r="AD2" s="79" t="str" cm="1">
        <f t="array" ref="AD2">IFERROR(_xlfn._xlws.FILTER(_xlfn.ANCHORARRAY(AA28),(_xlfn.ANCHORARRAY(AA28)&lt;&gt;0)*(COUNTIF(_xlfn.ANCHORARRAY(AA2),_xlfn.ANCHORARRAY(AA28))=0)),"N")</f>
        <v>N</v>
      </c>
      <c r="AE2" s="80"/>
      <c r="AF2" s="78" t="s">
        <v>208</v>
      </c>
      <c r="AG2" s="79" t="str" cm="1">
        <f t="array" ref="AG2:AG26">_xlfn._xlws.SORT(TRANSPOSE('05.TIR'!AB7:AZ7))</f>
        <v/>
      </c>
      <c r="AH2" s="79" t="str" cm="1">
        <f t="array" ref="AH2">_xlfn._xlws.FILTER(_xlfn.ANCHORARRAY(AG2),_xlfn.ANCHORARRAY(AG2)&lt;&gt;0)</f>
        <v/>
      </c>
      <c r="AI2" s="79" t="s">
        <v>1086</v>
      </c>
      <c r="AJ2" s="79" t="str" cm="1">
        <f t="array" ref="AJ2">IFERROR(_xlfn._xlws.FILTER(_xlfn.ANCHORARRAY(AG28),(_xlfn.ANCHORARRAY(AG28)&lt;&gt;0)*(COUNTIF(_xlfn.ANCHORARRAY(AG2),_xlfn.ANCHORARRAY(AG28))=0)),"N")</f>
        <v>Jobin</v>
      </c>
      <c r="AK2" s="86"/>
      <c r="AL2" s="79" t="s">
        <v>220</v>
      </c>
      <c r="AM2" s="79" t="str" cm="1">
        <f t="array" ref="AM2:AM26">_xlfn._xlws.SORT(TRANSPOSE('06.BPER'!AB7:AZ7))</f>
        <v/>
      </c>
      <c r="AN2" s="79" t="str" cm="1">
        <f t="array" ref="AN2">_xlfn._xlws.FILTER(_xlfn.ANCHORARRAY(AM2),_xlfn.ANCHORARRAY(AM2)&lt;&gt;0)</f>
        <v/>
      </c>
      <c r="AO2" s="79" t="s">
        <v>1086</v>
      </c>
      <c r="AP2" s="79" t="str" cm="1">
        <f t="array" ref="AP2">IFERROR(_xlfn._xlws.FILTER(_xlfn.ANCHORARRAY(AM28),(_xlfn.ANCHORARRAY(AM28)&lt;&gt;0)*(COUNTIF(_xlfn.ANCHORARRAY(AM2),_xlfn.ANCHORARRAY(AM28))=0)),"N")</f>
        <v>Jobin</v>
      </c>
      <c r="AQ2" s="86"/>
      <c r="AR2" s="78" t="s">
        <v>223</v>
      </c>
      <c r="AS2" s="79" t="str" cm="1">
        <f t="array" ref="AS2:AS26">_xlfn._xlws.SORT(TRANSPOSE('07.DPER'!AB7:AZ7))</f>
        <v/>
      </c>
      <c r="AT2" s="79" t="str" cm="1">
        <f t="array" ref="AT2">_xlfn._xlws.FILTER(_xlfn.ANCHORARRAY(AS2),_xlfn.ANCHORARRAY(AS2)&lt;&gt;0)</f>
        <v/>
      </c>
      <c r="AU2" s="79" t="s">
        <v>1086</v>
      </c>
      <c r="AV2" s="79" t="str" cm="1">
        <f t="array" ref="AV2">IFERROR(_xlfn._xlws.FILTER(_xlfn.ANCHORARRAY(AS28),(_xlfn.ANCHORARRAY(AS28)&lt;&gt;0)*(COUNTIF(_xlfn.ANCHORARRAY(AS2),_xlfn.ANCHORARRAY(AS28))=0)),"N")</f>
        <v>Jobin</v>
      </c>
      <c r="AW2" s="86"/>
      <c r="AX2" s="79" t="s">
        <v>230</v>
      </c>
      <c r="AY2" s="79" t="str" cm="1">
        <f t="array" ref="AY2:AY26">_xlfn._xlws.SORT(TRANSPOSE('08.BTAX'!AB7:AZ7))</f>
        <v/>
      </c>
      <c r="AZ2" s="79" t="str" cm="1">
        <f t="array" ref="AZ2">_xlfn._xlws.FILTER(_xlfn.ANCHORARRAY(AY2),_xlfn.ANCHORARRAY(AY2)&lt;&gt;0)</f>
        <v/>
      </c>
      <c r="BA2" s="79" t="s">
        <v>1086</v>
      </c>
      <c r="BB2" s="79" t="str" cm="1">
        <f t="array" ref="BB2">IFERROR(_xlfn._xlws.FILTER(_xlfn.ANCHORARRAY(AY28),(_xlfn.ANCHORARRAY(AY28)&lt;&gt;0)*(COUNTIF(_xlfn.ANCHORARRAY(AY2),_xlfn.ANCHORARRAY(AY28))=0)),"N")</f>
        <v>Jobin</v>
      </c>
      <c r="BC2" s="86"/>
      <c r="BD2" s="79" t="s">
        <v>232</v>
      </c>
      <c r="BE2" s="79" t="str" cm="1">
        <f t="array" ref="BE2:BE26">_xlfn._xlws.SORT(TRANSPOSE('09.BCER'!AB7:AZ7))</f>
        <v/>
      </c>
      <c r="BF2" s="79" t="str" cm="1">
        <f t="array" ref="BF2">_xlfn._xlws.FILTER(_xlfn.ANCHORARRAY(BE2),_xlfn.ANCHORARRAY(BE2)&lt;&gt;0)</f>
        <v/>
      </c>
      <c r="BG2" s="79" t="s">
        <v>1086</v>
      </c>
      <c r="BH2" s="88" t="str" cm="1">
        <f t="array" ref="BH2">IFERROR(_xlfn._xlws.FILTER(_xlfn.ANCHORARRAY(BE28),(_xlfn.ANCHORARRAY(BE28)&lt;&gt;0)*(COUNTIF(_xlfn.ANCHORARRAY(BE2),_xlfn.ANCHORARRAY(BE28))=0)),"N")</f>
        <v>Jobin</v>
      </c>
    </row>
    <row r="3" spans="1:60">
      <c r="B3" s="78"/>
      <c r="C3" s="79" t="str">
        <v>153/2022</v>
      </c>
      <c r="D3" s="79" t="str">
        <v>153/2022</v>
      </c>
      <c r="E3" s="79"/>
      <c r="F3" s="79"/>
      <c r="G3" s="80"/>
      <c r="H3" s="78"/>
      <c r="I3" s="79" t="str">
        <v/>
      </c>
      <c r="J3" s="79" t="str">
        <v/>
      </c>
      <c r="K3" s="79"/>
      <c r="L3" s="79" t="str">
        <v>Jobin</v>
      </c>
      <c r="M3" s="80"/>
      <c r="N3" s="78"/>
      <c r="O3" s="79">
        <v>0</v>
      </c>
      <c r="P3" s="79"/>
      <c r="Q3" s="79"/>
      <c r="R3" s="79"/>
      <c r="S3" s="80"/>
      <c r="T3" s="78"/>
      <c r="U3" s="79" t="str">
        <v>Jayan</v>
      </c>
      <c r="V3" s="79" t="str">
        <v>Jayan</v>
      </c>
      <c r="W3" s="79"/>
      <c r="X3" s="79"/>
      <c r="Y3" s="86"/>
      <c r="Z3" s="78"/>
      <c r="AA3" s="79" t="str">
        <v>Jobin</v>
      </c>
      <c r="AB3" s="79" t="str">
        <v>Jobin</v>
      </c>
      <c r="AC3" s="79"/>
      <c r="AD3" s="79"/>
      <c r="AE3" s="80"/>
      <c r="AF3" s="78"/>
      <c r="AG3" s="79">
        <v>0</v>
      </c>
      <c r="AH3" s="79"/>
      <c r="AI3" s="79"/>
      <c r="AJ3" s="79"/>
      <c r="AK3" s="86"/>
      <c r="AL3" s="79"/>
      <c r="AM3" s="79">
        <v>0</v>
      </c>
      <c r="AN3" s="79"/>
      <c r="AO3" s="79"/>
      <c r="AP3" s="79"/>
      <c r="AQ3" s="86"/>
      <c r="AR3" s="78"/>
      <c r="AS3" s="79">
        <v>0</v>
      </c>
      <c r="AT3" s="79"/>
      <c r="AU3" s="79"/>
      <c r="AV3" s="79"/>
      <c r="AW3" s="86"/>
      <c r="AX3" s="79"/>
      <c r="AY3" s="79">
        <v>0</v>
      </c>
      <c r="AZ3" s="79"/>
      <c r="BA3" s="79"/>
      <c r="BB3" s="79"/>
      <c r="BC3" s="86"/>
      <c r="BD3" s="79"/>
      <c r="BE3" s="79">
        <v>0</v>
      </c>
      <c r="BF3" s="79"/>
      <c r="BG3" s="79"/>
      <c r="BH3" s="88"/>
    </row>
    <row r="4" spans="1:60">
      <c r="B4" s="78"/>
      <c r="C4" s="79">
        <v>0</v>
      </c>
      <c r="D4" s="79"/>
      <c r="E4" s="79"/>
      <c r="F4" s="79"/>
      <c r="G4" s="80"/>
      <c r="H4" s="78"/>
      <c r="I4" s="79" t="str">
        <v/>
      </c>
      <c r="J4" s="79" t="str">
        <v/>
      </c>
      <c r="K4" s="79"/>
      <c r="L4" s="79"/>
      <c r="M4" s="80"/>
      <c r="N4" s="78"/>
      <c r="O4" s="79">
        <v>0</v>
      </c>
      <c r="P4" s="79"/>
      <c r="Q4" s="79"/>
      <c r="R4" s="79"/>
      <c r="S4" s="80"/>
      <c r="T4" s="78"/>
      <c r="U4" s="79">
        <v>0</v>
      </c>
      <c r="V4" s="79"/>
      <c r="W4" s="79"/>
      <c r="X4" s="79"/>
      <c r="Y4" s="86"/>
      <c r="Z4" s="78"/>
      <c r="AA4" s="79">
        <v>0</v>
      </c>
      <c r="AB4" s="79"/>
      <c r="AC4" s="79"/>
      <c r="AD4" s="79"/>
      <c r="AE4" s="80"/>
      <c r="AF4" s="78"/>
      <c r="AG4" s="79">
        <v>0</v>
      </c>
      <c r="AH4" s="79"/>
      <c r="AI4" s="79"/>
      <c r="AJ4" s="79"/>
      <c r="AK4" s="86"/>
      <c r="AL4" s="79"/>
      <c r="AM4" s="79">
        <v>0</v>
      </c>
      <c r="AN4" s="79"/>
      <c r="AO4" s="79"/>
      <c r="AP4" s="79"/>
      <c r="AQ4" s="86"/>
      <c r="AR4" s="78"/>
      <c r="AS4" s="79">
        <v>0</v>
      </c>
      <c r="AT4" s="79"/>
      <c r="AU4" s="79"/>
      <c r="AV4" s="79"/>
      <c r="AW4" s="86"/>
      <c r="AX4" s="79"/>
      <c r="AY4" s="79">
        <v>0</v>
      </c>
      <c r="AZ4" s="79"/>
      <c r="BA4" s="79"/>
      <c r="BB4" s="79"/>
      <c r="BC4" s="86"/>
      <c r="BD4" s="79"/>
      <c r="BE4" s="79">
        <v>0</v>
      </c>
      <c r="BF4" s="79"/>
      <c r="BG4" s="79"/>
      <c r="BH4" s="88"/>
    </row>
    <row r="5" spans="1:60">
      <c r="B5" s="78"/>
      <c r="C5" s="79">
        <v>0</v>
      </c>
      <c r="D5" s="79"/>
      <c r="E5" s="79"/>
      <c r="F5" s="79"/>
      <c r="G5" s="80"/>
      <c r="H5" s="78"/>
      <c r="I5" s="79" t="str">
        <v/>
      </c>
      <c r="J5" s="79" t="str">
        <v/>
      </c>
      <c r="K5" s="79"/>
      <c r="L5" s="79"/>
      <c r="M5" s="80"/>
      <c r="N5" s="78"/>
      <c r="O5" s="79">
        <v>0</v>
      </c>
      <c r="P5" s="79"/>
      <c r="Q5" s="79"/>
      <c r="R5" s="79"/>
      <c r="S5" s="80"/>
      <c r="T5" s="78"/>
      <c r="U5" s="79">
        <v>0</v>
      </c>
      <c r="V5" s="79"/>
      <c r="W5" s="79"/>
      <c r="X5" s="79"/>
      <c r="Y5" s="86"/>
      <c r="Z5" s="78"/>
      <c r="AA5" s="79">
        <v>0</v>
      </c>
      <c r="AB5" s="79"/>
      <c r="AC5" s="79"/>
      <c r="AD5" s="79"/>
      <c r="AE5" s="80"/>
      <c r="AF5" s="78"/>
      <c r="AG5" s="79">
        <v>0</v>
      </c>
      <c r="AH5" s="79"/>
      <c r="AI5" s="79"/>
      <c r="AJ5" s="79"/>
      <c r="AK5" s="86"/>
      <c r="AL5" s="79"/>
      <c r="AM5" s="79">
        <v>0</v>
      </c>
      <c r="AN5" s="79"/>
      <c r="AO5" s="79"/>
      <c r="AP5" s="79"/>
      <c r="AQ5" s="86"/>
      <c r="AR5" s="78"/>
      <c r="AS5" s="79">
        <v>0</v>
      </c>
      <c r="AT5" s="79"/>
      <c r="AU5" s="79"/>
      <c r="AV5" s="79"/>
      <c r="AW5" s="86"/>
      <c r="AX5" s="79"/>
      <c r="AY5" s="79">
        <v>0</v>
      </c>
      <c r="AZ5" s="79"/>
      <c r="BA5" s="79"/>
      <c r="BB5" s="79"/>
      <c r="BC5" s="86"/>
      <c r="BD5" s="79"/>
      <c r="BE5" s="79">
        <v>0</v>
      </c>
      <c r="BF5" s="79"/>
      <c r="BG5" s="79"/>
      <c r="BH5" s="88"/>
    </row>
    <row r="6" spans="1:60">
      <c r="B6" s="78"/>
      <c r="C6" s="79">
        <v>0</v>
      </c>
      <c r="D6" s="79"/>
      <c r="E6" s="79"/>
      <c r="F6" s="79"/>
      <c r="G6" s="80"/>
      <c r="H6" s="78"/>
      <c r="I6" s="79" t="str">
        <v/>
      </c>
      <c r="J6" s="79" t="str">
        <v/>
      </c>
      <c r="K6" s="79"/>
      <c r="L6" s="79"/>
      <c r="M6" s="80"/>
      <c r="N6" s="78"/>
      <c r="O6" s="79">
        <v>0</v>
      </c>
      <c r="P6" s="79"/>
      <c r="Q6" s="79"/>
      <c r="R6" s="79"/>
      <c r="S6" s="80"/>
      <c r="T6" s="78"/>
      <c r="U6" s="79">
        <v>0</v>
      </c>
      <c r="V6" s="79"/>
      <c r="W6" s="79"/>
      <c r="X6" s="79"/>
      <c r="Y6" s="86"/>
      <c r="Z6" s="78"/>
      <c r="AA6" s="79">
        <v>0</v>
      </c>
      <c r="AB6" s="79"/>
      <c r="AC6" s="79"/>
      <c r="AD6" s="79"/>
      <c r="AE6" s="80"/>
      <c r="AF6" s="78"/>
      <c r="AG6" s="79">
        <v>0</v>
      </c>
      <c r="AH6" s="79"/>
      <c r="AI6" s="79"/>
      <c r="AJ6" s="79"/>
      <c r="AK6" s="86"/>
      <c r="AL6" s="79"/>
      <c r="AM6" s="79">
        <v>0</v>
      </c>
      <c r="AN6" s="79"/>
      <c r="AO6" s="79"/>
      <c r="AP6" s="79"/>
      <c r="AQ6" s="86"/>
      <c r="AR6" s="78"/>
      <c r="AS6" s="79">
        <v>0</v>
      </c>
      <c r="AT6" s="79"/>
      <c r="AU6" s="79"/>
      <c r="AV6" s="79"/>
      <c r="AW6" s="86"/>
      <c r="AX6" s="79"/>
      <c r="AY6" s="79">
        <v>0</v>
      </c>
      <c r="AZ6" s="79"/>
      <c r="BA6" s="79"/>
      <c r="BB6" s="79"/>
      <c r="BC6" s="86"/>
      <c r="BD6" s="79"/>
      <c r="BE6" s="79">
        <v>0</v>
      </c>
      <c r="BF6" s="79"/>
      <c r="BG6" s="79"/>
      <c r="BH6" s="88"/>
    </row>
    <row r="7" spans="1:60">
      <c r="B7" s="78"/>
      <c r="C7" s="79">
        <v>0</v>
      </c>
      <c r="D7" s="79"/>
      <c r="E7" s="79"/>
      <c r="F7" s="79"/>
      <c r="G7" s="80"/>
      <c r="H7" s="78"/>
      <c r="I7" s="79" t="str">
        <v/>
      </c>
      <c r="J7" s="79" t="str">
        <v/>
      </c>
      <c r="K7" s="79"/>
      <c r="L7" s="79"/>
      <c r="M7" s="80"/>
      <c r="N7" s="78"/>
      <c r="O7" s="79">
        <v>0</v>
      </c>
      <c r="P7" s="79"/>
      <c r="Q7" s="79"/>
      <c r="R7" s="79"/>
      <c r="S7" s="80"/>
      <c r="T7" s="78"/>
      <c r="U7" s="79">
        <v>0</v>
      </c>
      <c r="V7" s="79"/>
      <c r="W7" s="79"/>
      <c r="X7" s="79"/>
      <c r="Y7" s="86"/>
      <c r="Z7" s="78"/>
      <c r="AA7" s="79">
        <v>0</v>
      </c>
      <c r="AB7" s="79"/>
      <c r="AC7" s="79"/>
      <c r="AD7" s="79"/>
      <c r="AE7" s="80"/>
      <c r="AF7" s="78"/>
      <c r="AG7" s="79">
        <v>0</v>
      </c>
      <c r="AH7" s="79"/>
      <c r="AI7" s="79"/>
      <c r="AJ7" s="79"/>
      <c r="AK7" s="86"/>
      <c r="AL7" s="79"/>
      <c r="AM7" s="79">
        <v>0</v>
      </c>
      <c r="AN7" s="79"/>
      <c r="AO7" s="79"/>
      <c r="AP7" s="79"/>
      <c r="AQ7" s="86"/>
      <c r="AR7" s="78"/>
      <c r="AS7" s="79">
        <v>0</v>
      </c>
      <c r="AT7" s="79"/>
      <c r="AU7" s="79"/>
      <c r="AV7" s="79"/>
      <c r="AW7" s="86"/>
      <c r="AX7" s="79"/>
      <c r="AY7" s="79">
        <v>0</v>
      </c>
      <c r="AZ7" s="79"/>
      <c r="BA7" s="79"/>
      <c r="BB7" s="79"/>
      <c r="BC7" s="86"/>
      <c r="BD7" s="79"/>
      <c r="BE7" s="79">
        <v>0</v>
      </c>
      <c r="BF7" s="79"/>
      <c r="BG7" s="79"/>
      <c r="BH7" s="88"/>
    </row>
    <row r="8" spans="1:60">
      <c r="B8" s="78"/>
      <c r="C8" s="79">
        <v>0</v>
      </c>
      <c r="D8" s="79"/>
      <c r="E8" s="79"/>
      <c r="F8" s="79"/>
      <c r="G8" s="80"/>
      <c r="H8" s="78"/>
      <c r="I8" s="79" t="str">
        <v/>
      </c>
      <c r="J8" s="79" t="str">
        <v/>
      </c>
      <c r="K8" s="79"/>
      <c r="L8" s="79"/>
      <c r="M8" s="80"/>
      <c r="N8" s="78"/>
      <c r="O8" s="79">
        <v>0</v>
      </c>
      <c r="P8" s="79"/>
      <c r="Q8" s="79"/>
      <c r="R8" s="79"/>
      <c r="S8" s="80"/>
      <c r="T8" s="78"/>
      <c r="U8" s="79">
        <v>0</v>
      </c>
      <c r="V8" s="79"/>
      <c r="W8" s="79"/>
      <c r="X8" s="79"/>
      <c r="Y8" s="86"/>
      <c r="Z8" s="78"/>
      <c r="AA8" s="79">
        <v>0</v>
      </c>
      <c r="AB8" s="79"/>
      <c r="AC8" s="79"/>
      <c r="AD8" s="79"/>
      <c r="AE8" s="80"/>
      <c r="AF8" s="78"/>
      <c r="AG8" s="79">
        <v>0</v>
      </c>
      <c r="AH8" s="79"/>
      <c r="AI8" s="79"/>
      <c r="AJ8" s="79"/>
      <c r="AK8" s="86"/>
      <c r="AL8" s="79"/>
      <c r="AM8" s="79">
        <v>0</v>
      </c>
      <c r="AN8" s="79"/>
      <c r="AO8" s="79"/>
      <c r="AP8" s="79"/>
      <c r="AQ8" s="86"/>
      <c r="AR8" s="78"/>
      <c r="AS8" s="79">
        <v>0</v>
      </c>
      <c r="AT8" s="79"/>
      <c r="AU8" s="79"/>
      <c r="AV8" s="79"/>
      <c r="AW8" s="86"/>
      <c r="AX8" s="79"/>
      <c r="AY8" s="79">
        <v>0</v>
      </c>
      <c r="AZ8" s="79"/>
      <c r="BA8" s="79"/>
      <c r="BB8" s="79"/>
      <c r="BC8" s="86"/>
      <c r="BD8" s="79"/>
      <c r="BE8" s="79">
        <v>0</v>
      </c>
      <c r="BF8" s="79"/>
      <c r="BG8" s="79"/>
      <c r="BH8" s="88"/>
    </row>
    <row r="9" spans="1:60">
      <c r="B9" s="78"/>
      <c r="C9" s="79">
        <v>0</v>
      </c>
      <c r="D9" s="79"/>
      <c r="E9" s="79"/>
      <c r="F9" s="79"/>
      <c r="G9" s="80"/>
      <c r="H9" s="78"/>
      <c r="I9" s="79" t="str">
        <v>Jayan</v>
      </c>
      <c r="J9" s="79" t="str">
        <v>Jayan</v>
      </c>
      <c r="K9" s="79"/>
      <c r="L9" s="79"/>
      <c r="M9" s="80"/>
      <c r="N9" s="78"/>
      <c r="O9" s="79">
        <v>0</v>
      </c>
      <c r="P9" s="79"/>
      <c r="Q9" s="79"/>
      <c r="R9" s="79"/>
      <c r="S9" s="80"/>
      <c r="T9" s="78"/>
      <c r="U9" s="79">
        <v>0</v>
      </c>
      <c r="V9" s="79"/>
      <c r="W9" s="79"/>
      <c r="X9" s="79"/>
      <c r="Y9" s="86"/>
      <c r="Z9" s="78"/>
      <c r="AA9" s="79">
        <v>0</v>
      </c>
      <c r="AB9" s="79"/>
      <c r="AC9" s="79"/>
      <c r="AD9" s="79"/>
      <c r="AE9" s="80"/>
      <c r="AF9" s="78"/>
      <c r="AG9" s="79">
        <v>0</v>
      </c>
      <c r="AH9" s="79"/>
      <c r="AI9" s="79"/>
      <c r="AJ9" s="79"/>
      <c r="AK9" s="86"/>
      <c r="AL9" s="79"/>
      <c r="AM9" s="79">
        <v>0</v>
      </c>
      <c r="AN9" s="79"/>
      <c r="AO9" s="79"/>
      <c r="AP9" s="79"/>
      <c r="AQ9" s="86"/>
      <c r="AR9" s="78"/>
      <c r="AS9" s="79">
        <v>0</v>
      </c>
      <c r="AT9" s="79"/>
      <c r="AU9" s="79"/>
      <c r="AV9" s="79"/>
      <c r="AW9" s="86"/>
      <c r="AX9" s="79"/>
      <c r="AY9" s="79">
        <v>0</v>
      </c>
      <c r="AZ9" s="79"/>
      <c r="BA9" s="79"/>
      <c r="BB9" s="79"/>
      <c r="BC9" s="86"/>
      <c r="BD9" s="79"/>
      <c r="BE9" s="79">
        <v>0</v>
      </c>
      <c r="BF9" s="79"/>
      <c r="BG9" s="79"/>
      <c r="BH9" s="88"/>
    </row>
    <row r="10" spans="1:60">
      <c r="B10" s="78"/>
      <c r="C10" s="79">
        <v>0</v>
      </c>
      <c r="D10" s="79"/>
      <c r="E10" s="79"/>
      <c r="F10" s="79"/>
      <c r="G10" s="80"/>
      <c r="H10" s="78"/>
      <c r="I10" s="79" t="str">
        <v>Jayan</v>
      </c>
      <c r="J10" s="79" t="str">
        <v>Jayan</v>
      </c>
      <c r="K10" s="79"/>
      <c r="L10" s="79"/>
      <c r="M10" s="80"/>
      <c r="N10" s="78"/>
      <c r="O10" s="79">
        <v>0</v>
      </c>
      <c r="P10" s="79"/>
      <c r="Q10" s="79"/>
      <c r="R10" s="79"/>
      <c r="S10" s="80"/>
      <c r="T10" s="78"/>
      <c r="U10" s="79">
        <v>0</v>
      </c>
      <c r="V10" s="79"/>
      <c r="W10" s="79"/>
      <c r="X10" s="79"/>
      <c r="Y10" s="86"/>
      <c r="Z10" s="78"/>
      <c r="AA10" s="79">
        <v>0</v>
      </c>
      <c r="AB10" s="79"/>
      <c r="AC10" s="79"/>
      <c r="AD10" s="79"/>
      <c r="AE10" s="80"/>
      <c r="AF10" s="78"/>
      <c r="AG10" s="79">
        <v>0</v>
      </c>
      <c r="AH10" s="79"/>
      <c r="AI10" s="79"/>
      <c r="AJ10" s="79"/>
      <c r="AK10" s="86"/>
      <c r="AL10" s="79"/>
      <c r="AM10" s="79">
        <v>0</v>
      </c>
      <c r="AN10" s="79"/>
      <c r="AO10" s="79"/>
      <c r="AP10" s="79"/>
      <c r="AQ10" s="86"/>
      <c r="AR10" s="78"/>
      <c r="AS10" s="79">
        <v>0</v>
      </c>
      <c r="AT10" s="79"/>
      <c r="AU10" s="79"/>
      <c r="AV10" s="79"/>
      <c r="AW10" s="86"/>
      <c r="AX10" s="79"/>
      <c r="AY10" s="79">
        <v>0</v>
      </c>
      <c r="AZ10" s="79"/>
      <c r="BA10" s="79"/>
      <c r="BB10" s="79"/>
      <c r="BC10" s="86"/>
      <c r="BD10" s="79"/>
      <c r="BE10" s="79">
        <v>0</v>
      </c>
      <c r="BF10" s="79"/>
      <c r="BG10" s="79"/>
      <c r="BH10" s="88"/>
    </row>
    <row r="11" spans="1:60">
      <c r="B11" s="78"/>
      <c r="C11" s="79">
        <v>0</v>
      </c>
      <c r="D11" s="79"/>
      <c r="E11" s="79"/>
      <c r="F11" s="79"/>
      <c r="G11" s="80"/>
      <c r="H11" s="78"/>
      <c r="I11" s="79">
        <v>0</v>
      </c>
      <c r="J11" s="79"/>
      <c r="K11" s="79"/>
      <c r="L11" s="79"/>
      <c r="M11" s="80"/>
      <c r="N11" s="78"/>
      <c r="O11" s="79">
        <v>0</v>
      </c>
      <c r="P11" s="79"/>
      <c r="Q11" s="79"/>
      <c r="R11" s="79"/>
      <c r="S11" s="80"/>
      <c r="T11" s="78"/>
      <c r="U11" s="79">
        <v>0</v>
      </c>
      <c r="V11" s="79"/>
      <c r="W11" s="79"/>
      <c r="X11" s="79"/>
      <c r="Y11" s="86"/>
      <c r="Z11" s="78"/>
      <c r="AA11" s="79">
        <v>0</v>
      </c>
      <c r="AB11" s="79"/>
      <c r="AC11" s="79"/>
      <c r="AD11" s="79"/>
      <c r="AE11" s="80"/>
      <c r="AF11" s="78"/>
      <c r="AG11" s="79">
        <v>0</v>
      </c>
      <c r="AH11" s="79"/>
      <c r="AI11" s="79"/>
      <c r="AJ11" s="79"/>
      <c r="AK11" s="86"/>
      <c r="AL11" s="79"/>
      <c r="AM11" s="79">
        <v>0</v>
      </c>
      <c r="AN11" s="79"/>
      <c r="AO11" s="79"/>
      <c r="AP11" s="79"/>
      <c r="AQ11" s="86"/>
      <c r="AR11" s="78"/>
      <c r="AS11" s="79">
        <v>0</v>
      </c>
      <c r="AT11" s="79"/>
      <c r="AU11" s="79"/>
      <c r="AV11" s="79"/>
      <c r="AW11" s="86"/>
      <c r="AX11" s="79"/>
      <c r="AY11" s="79">
        <v>0</v>
      </c>
      <c r="AZ11" s="79"/>
      <c r="BA11" s="79"/>
      <c r="BB11" s="79"/>
      <c r="BC11" s="86"/>
      <c r="BD11" s="79"/>
      <c r="BE11" s="79">
        <v>0</v>
      </c>
      <c r="BF11" s="79"/>
      <c r="BG11" s="79"/>
      <c r="BH11" s="88"/>
    </row>
    <row r="12" spans="1:60">
      <c r="B12" s="78"/>
      <c r="C12" s="79">
        <v>0</v>
      </c>
      <c r="D12" s="79"/>
      <c r="E12" s="79"/>
      <c r="F12" s="79"/>
      <c r="G12" s="80"/>
      <c r="H12" s="78"/>
      <c r="I12" s="79">
        <v>0</v>
      </c>
      <c r="J12" s="79"/>
      <c r="K12" s="79"/>
      <c r="L12" s="79"/>
      <c r="M12" s="80"/>
      <c r="N12" s="78"/>
      <c r="O12" s="79">
        <v>0</v>
      </c>
      <c r="P12" s="79"/>
      <c r="Q12" s="79"/>
      <c r="R12" s="79"/>
      <c r="S12" s="80"/>
      <c r="T12" s="78"/>
      <c r="U12" s="79">
        <v>0</v>
      </c>
      <c r="V12" s="79"/>
      <c r="W12" s="79"/>
      <c r="X12" s="79"/>
      <c r="Y12" s="86"/>
      <c r="Z12" s="78"/>
      <c r="AA12" s="79">
        <v>0</v>
      </c>
      <c r="AB12" s="79"/>
      <c r="AC12" s="79"/>
      <c r="AD12" s="79"/>
      <c r="AE12" s="80"/>
      <c r="AF12" s="78"/>
      <c r="AG12" s="79">
        <v>0</v>
      </c>
      <c r="AH12" s="79"/>
      <c r="AI12" s="79"/>
      <c r="AJ12" s="79"/>
      <c r="AK12" s="86"/>
      <c r="AL12" s="79"/>
      <c r="AM12" s="79">
        <v>0</v>
      </c>
      <c r="AN12" s="79"/>
      <c r="AO12" s="79"/>
      <c r="AP12" s="79"/>
      <c r="AQ12" s="86"/>
      <c r="AR12" s="78"/>
      <c r="AS12" s="79">
        <v>0</v>
      </c>
      <c r="AT12" s="79"/>
      <c r="AU12" s="79"/>
      <c r="AV12" s="79"/>
      <c r="AW12" s="86"/>
      <c r="AX12" s="79"/>
      <c r="AY12" s="79">
        <v>0</v>
      </c>
      <c r="AZ12" s="79"/>
      <c r="BA12" s="79"/>
      <c r="BB12" s="79"/>
      <c r="BC12" s="86"/>
      <c r="BD12" s="79"/>
      <c r="BE12" s="79">
        <v>0</v>
      </c>
      <c r="BF12" s="79"/>
      <c r="BG12" s="79"/>
      <c r="BH12" s="88"/>
    </row>
    <row r="13" spans="1:60">
      <c r="B13" s="78"/>
      <c r="C13" s="79">
        <v>0</v>
      </c>
      <c r="D13" s="79"/>
      <c r="E13" s="79"/>
      <c r="F13" s="79"/>
      <c r="G13" s="80"/>
      <c r="H13" s="78"/>
      <c r="I13" s="79">
        <v>0</v>
      </c>
      <c r="J13" s="79"/>
      <c r="K13" s="79"/>
      <c r="L13" s="79"/>
      <c r="M13" s="80"/>
      <c r="N13" s="78"/>
      <c r="O13" s="79">
        <v>0</v>
      </c>
      <c r="P13" s="79"/>
      <c r="Q13" s="79"/>
      <c r="R13" s="79"/>
      <c r="S13" s="80"/>
      <c r="T13" s="78"/>
      <c r="U13" s="79">
        <v>0</v>
      </c>
      <c r="V13" s="79"/>
      <c r="W13" s="79"/>
      <c r="X13" s="79"/>
      <c r="Y13" s="86"/>
      <c r="Z13" s="78"/>
      <c r="AA13" s="79">
        <v>0</v>
      </c>
      <c r="AB13" s="79"/>
      <c r="AC13" s="79"/>
      <c r="AD13" s="79"/>
      <c r="AE13" s="80"/>
      <c r="AF13" s="78"/>
      <c r="AG13" s="79">
        <v>0</v>
      </c>
      <c r="AH13" s="79"/>
      <c r="AI13" s="79"/>
      <c r="AJ13" s="79"/>
      <c r="AK13" s="86"/>
      <c r="AL13" s="79"/>
      <c r="AM13" s="79">
        <v>0</v>
      </c>
      <c r="AN13" s="79"/>
      <c r="AO13" s="79"/>
      <c r="AP13" s="79"/>
      <c r="AQ13" s="86"/>
      <c r="AR13" s="78"/>
      <c r="AS13" s="79">
        <v>0</v>
      </c>
      <c r="AT13" s="79"/>
      <c r="AU13" s="79"/>
      <c r="AV13" s="79"/>
      <c r="AW13" s="86"/>
      <c r="AX13" s="79"/>
      <c r="AY13" s="79">
        <v>0</v>
      </c>
      <c r="AZ13" s="79"/>
      <c r="BA13" s="79"/>
      <c r="BB13" s="79"/>
      <c r="BC13" s="86"/>
      <c r="BD13" s="79"/>
      <c r="BE13" s="79">
        <v>0</v>
      </c>
      <c r="BF13" s="79"/>
      <c r="BG13" s="79"/>
      <c r="BH13" s="88"/>
    </row>
    <row r="14" spans="1:60">
      <c r="B14" s="78"/>
      <c r="C14" s="79">
        <v>0</v>
      </c>
      <c r="D14" s="79"/>
      <c r="E14" s="79"/>
      <c r="F14" s="79"/>
      <c r="G14" s="80"/>
      <c r="H14" s="78"/>
      <c r="I14" s="79">
        <v>0</v>
      </c>
      <c r="J14" s="79"/>
      <c r="K14" s="79"/>
      <c r="L14" s="79"/>
      <c r="M14" s="80"/>
      <c r="N14" s="78"/>
      <c r="O14" s="79">
        <v>0</v>
      </c>
      <c r="P14" s="79"/>
      <c r="Q14" s="79"/>
      <c r="R14" s="79"/>
      <c r="S14" s="80"/>
      <c r="T14" s="78"/>
      <c r="U14" s="79">
        <v>0</v>
      </c>
      <c r="V14" s="79"/>
      <c r="W14" s="79"/>
      <c r="X14" s="79"/>
      <c r="Y14" s="86"/>
      <c r="Z14" s="78"/>
      <c r="AA14" s="79">
        <v>0</v>
      </c>
      <c r="AB14" s="79"/>
      <c r="AC14" s="79"/>
      <c r="AD14" s="79"/>
      <c r="AE14" s="80"/>
      <c r="AF14" s="78"/>
      <c r="AG14" s="79">
        <v>0</v>
      </c>
      <c r="AH14" s="79"/>
      <c r="AI14" s="79"/>
      <c r="AJ14" s="79"/>
      <c r="AK14" s="86"/>
      <c r="AL14" s="79"/>
      <c r="AM14" s="79">
        <v>0</v>
      </c>
      <c r="AN14" s="79"/>
      <c r="AO14" s="79"/>
      <c r="AP14" s="79"/>
      <c r="AQ14" s="86"/>
      <c r="AR14" s="78"/>
      <c r="AS14" s="79">
        <v>0</v>
      </c>
      <c r="AT14" s="79"/>
      <c r="AU14" s="79"/>
      <c r="AV14" s="79"/>
      <c r="AW14" s="86"/>
      <c r="AX14" s="79"/>
      <c r="AY14" s="79">
        <v>0</v>
      </c>
      <c r="AZ14" s="79"/>
      <c r="BA14" s="79"/>
      <c r="BB14" s="79"/>
      <c r="BC14" s="86"/>
      <c r="BD14" s="79"/>
      <c r="BE14" s="79">
        <v>0</v>
      </c>
      <c r="BF14" s="79"/>
      <c r="BG14" s="79"/>
      <c r="BH14" s="88"/>
    </row>
    <row r="15" spans="1:60">
      <c r="B15" s="78"/>
      <c r="C15" s="79">
        <v>0</v>
      </c>
      <c r="D15" s="79"/>
      <c r="E15" s="79"/>
      <c r="F15" s="79"/>
      <c r="G15" s="80"/>
      <c r="H15" s="78"/>
      <c r="I15" s="79">
        <v>0</v>
      </c>
      <c r="J15" s="79"/>
      <c r="K15" s="79"/>
      <c r="L15" s="79"/>
      <c r="M15" s="80"/>
      <c r="N15" s="78"/>
      <c r="O15" s="79">
        <v>0</v>
      </c>
      <c r="P15" s="79"/>
      <c r="Q15" s="79"/>
      <c r="R15" s="79"/>
      <c r="S15" s="80"/>
      <c r="T15" s="78"/>
      <c r="U15" s="79">
        <v>0</v>
      </c>
      <c r="V15" s="79"/>
      <c r="W15" s="79"/>
      <c r="X15" s="79"/>
      <c r="Y15" s="86"/>
      <c r="Z15" s="78"/>
      <c r="AA15" s="79">
        <v>0</v>
      </c>
      <c r="AB15" s="79"/>
      <c r="AC15" s="79"/>
      <c r="AD15" s="79"/>
      <c r="AE15" s="80"/>
      <c r="AF15" s="78"/>
      <c r="AG15" s="79">
        <v>0</v>
      </c>
      <c r="AH15" s="79"/>
      <c r="AI15" s="79"/>
      <c r="AJ15" s="79"/>
      <c r="AK15" s="86"/>
      <c r="AL15" s="79"/>
      <c r="AM15" s="79">
        <v>0</v>
      </c>
      <c r="AN15" s="79"/>
      <c r="AO15" s="79"/>
      <c r="AP15" s="79"/>
      <c r="AQ15" s="86"/>
      <c r="AR15" s="78"/>
      <c r="AS15" s="79">
        <v>0</v>
      </c>
      <c r="AT15" s="79"/>
      <c r="AU15" s="79"/>
      <c r="AV15" s="79"/>
      <c r="AW15" s="86"/>
      <c r="AX15" s="79"/>
      <c r="AY15" s="79">
        <v>0</v>
      </c>
      <c r="AZ15" s="79"/>
      <c r="BA15" s="79"/>
      <c r="BB15" s="79"/>
      <c r="BC15" s="86"/>
      <c r="BD15" s="79"/>
      <c r="BE15" s="79">
        <v>0</v>
      </c>
      <c r="BF15" s="79"/>
      <c r="BG15" s="79"/>
      <c r="BH15" s="88"/>
    </row>
    <row r="16" spans="1:60">
      <c r="B16" s="78"/>
      <c r="C16" s="79">
        <v>0</v>
      </c>
      <c r="D16" s="79"/>
      <c r="E16" s="79"/>
      <c r="F16" s="79"/>
      <c r="G16" s="80"/>
      <c r="H16" s="78"/>
      <c r="I16" s="79">
        <v>0</v>
      </c>
      <c r="J16" s="79"/>
      <c r="K16" s="79"/>
      <c r="L16" s="79"/>
      <c r="M16" s="80"/>
      <c r="N16" s="78"/>
      <c r="O16" s="79">
        <v>0</v>
      </c>
      <c r="P16" s="79"/>
      <c r="Q16" s="79"/>
      <c r="R16" s="79"/>
      <c r="S16" s="80"/>
      <c r="T16" s="78"/>
      <c r="U16" s="79">
        <v>0</v>
      </c>
      <c r="V16" s="79"/>
      <c r="W16" s="79"/>
      <c r="X16" s="79"/>
      <c r="Y16" s="86"/>
      <c r="Z16" s="78"/>
      <c r="AA16" s="79">
        <v>0</v>
      </c>
      <c r="AB16" s="79"/>
      <c r="AC16" s="79"/>
      <c r="AD16" s="79"/>
      <c r="AE16" s="80"/>
      <c r="AF16" s="78"/>
      <c r="AG16" s="79">
        <v>0</v>
      </c>
      <c r="AH16" s="79"/>
      <c r="AI16" s="79"/>
      <c r="AJ16" s="79"/>
      <c r="AK16" s="86"/>
      <c r="AL16" s="79"/>
      <c r="AM16" s="79">
        <v>0</v>
      </c>
      <c r="AN16" s="79"/>
      <c r="AO16" s="79"/>
      <c r="AP16" s="79"/>
      <c r="AQ16" s="86"/>
      <c r="AR16" s="78"/>
      <c r="AS16" s="79">
        <v>0</v>
      </c>
      <c r="AT16" s="79"/>
      <c r="AU16" s="79"/>
      <c r="AV16" s="79"/>
      <c r="AW16" s="86"/>
      <c r="AX16" s="79"/>
      <c r="AY16" s="79">
        <v>0</v>
      </c>
      <c r="AZ16" s="79"/>
      <c r="BA16" s="79"/>
      <c r="BB16" s="79"/>
      <c r="BC16" s="86"/>
      <c r="BD16" s="79"/>
      <c r="BE16" s="79">
        <v>0</v>
      </c>
      <c r="BF16" s="79"/>
      <c r="BG16" s="79"/>
      <c r="BH16" s="88"/>
    </row>
    <row r="17" spans="2:60">
      <c r="B17" s="78"/>
      <c r="C17" s="79">
        <v>0</v>
      </c>
      <c r="D17" s="79"/>
      <c r="E17" s="79"/>
      <c r="F17" s="79"/>
      <c r="G17" s="80"/>
      <c r="H17" s="78"/>
      <c r="I17" s="79">
        <v>0</v>
      </c>
      <c r="J17" s="79"/>
      <c r="K17" s="79"/>
      <c r="L17" s="79"/>
      <c r="M17" s="80"/>
      <c r="N17" s="78"/>
      <c r="O17" s="79">
        <v>0</v>
      </c>
      <c r="P17" s="79"/>
      <c r="Q17" s="79"/>
      <c r="R17" s="79"/>
      <c r="S17" s="80"/>
      <c r="T17" s="78"/>
      <c r="U17" s="79">
        <v>0</v>
      </c>
      <c r="V17" s="79"/>
      <c r="W17" s="79"/>
      <c r="X17" s="79"/>
      <c r="Y17" s="86"/>
      <c r="Z17" s="78"/>
      <c r="AA17" s="79">
        <v>0</v>
      </c>
      <c r="AB17" s="79"/>
      <c r="AC17" s="79"/>
      <c r="AD17" s="79"/>
      <c r="AE17" s="80"/>
      <c r="AF17" s="78"/>
      <c r="AG17" s="79">
        <v>0</v>
      </c>
      <c r="AH17" s="79"/>
      <c r="AI17" s="79"/>
      <c r="AJ17" s="79"/>
      <c r="AK17" s="86"/>
      <c r="AL17" s="79"/>
      <c r="AM17" s="79">
        <v>0</v>
      </c>
      <c r="AN17" s="79"/>
      <c r="AO17" s="79"/>
      <c r="AP17" s="79"/>
      <c r="AQ17" s="86"/>
      <c r="AR17" s="78"/>
      <c r="AS17" s="79">
        <v>0</v>
      </c>
      <c r="AT17" s="79"/>
      <c r="AU17" s="79"/>
      <c r="AV17" s="79"/>
      <c r="AW17" s="86"/>
      <c r="AX17" s="79"/>
      <c r="AY17" s="79">
        <v>0</v>
      </c>
      <c r="AZ17" s="79"/>
      <c r="BA17" s="79"/>
      <c r="BB17" s="79"/>
      <c r="BC17" s="86"/>
      <c r="BD17" s="79"/>
      <c r="BE17" s="79">
        <v>0</v>
      </c>
      <c r="BF17" s="79"/>
      <c r="BG17" s="79"/>
      <c r="BH17" s="88"/>
    </row>
    <row r="18" spans="2:60">
      <c r="B18" s="78"/>
      <c r="C18" s="79">
        <v>0</v>
      </c>
      <c r="D18" s="79"/>
      <c r="E18" s="79"/>
      <c r="F18" s="79"/>
      <c r="G18" s="80"/>
      <c r="H18" s="78"/>
      <c r="I18" s="79">
        <v>0</v>
      </c>
      <c r="J18" s="79"/>
      <c r="K18" s="79"/>
      <c r="L18" s="79"/>
      <c r="M18" s="80"/>
      <c r="N18" s="78"/>
      <c r="O18" s="79">
        <v>0</v>
      </c>
      <c r="P18" s="79"/>
      <c r="Q18" s="79"/>
      <c r="R18" s="79"/>
      <c r="S18" s="80"/>
      <c r="T18" s="78"/>
      <c r="U18" s="79">
        <v>0</v>
      </c>
      <c r="V18" s="79"/>
      <c r="W18" s="79"/>
      <c r="X18" s="79"/>
      <c r="Y18" s="86"/>
      <c r="Z18" s="78"/>
      <c r="AA18" s="79">
        <v>0</v>
      </c>
      <c r="AB18" s="79"/>
      <c r="AC18" s="79"/>
      <c r="AD18" s="79"/>
      <c r="AE18" s="80"/>
      <c r="AF18" s="78"/>
      <c r="AG18" s="79">
        <v>0</v>
      </c>
      <c r="AH18" s="79"/>
      <c r="AI18" s="79"/>
      <c r="AJ18" s="79"/>
      <c r="AK18" s="86"/>
      <c r="AL18" s="79"/>
      <c r="AM18" s="79">
        <v>0</v>
      </c>
      <c r="AN18" s="79"/>
      <c r="AO18" s="79"/>
      <c r="AP18" s="79"/>
      <c r="AQ18" s="86"/>
      <c r="AR18" s="78"/>
      <c r="AS18" s="79">
        <v>0</v>
      </c>
      <c r="AT18" s="79"/>
      <c r="AU18" s="79"/>
      <c r="AV18" s="79"/>
      <c r="AW18" s="86"/>
      <c r="AX18" s="79"/>
      <c r="AY18" s="79">
        <v>0</v>
      </c>
      <c r="AZ18" s="79"/>
      <c r="BA18" s="79"/>
      <c r="BB18" s="79"/>
      <c r="BC18" s="86"/>
      <c r="BD18" s="79"/>
      <c r="BE18" s="79">
        <v>0</v>
      </c>
      <c r="BF18" s="79"/>
      <c r="BG18" s="79"/>
      <c r="BH18" s="88"/>
    </row>
    <row r="19" spans="2:60">
      <c r="B19" s="78"/>
      <c r="C19" s="79">
        <v>0</v>
      </c>
      <c r="D19" s="79"/>
      <c r="E19" s="79"/>
      <c r="F19" s="79"/>
      <c r="G19" s="80"/>
      <c r="H19" s="78"/>
      <c r="I19" s="79">
        <v>0</v>
      </c>
      <c r="J19" s="79"/>
      <c r="K19" s="79"/>
      <c r="L19" s="79"/>
      <c r="M19" s="80"/>
      <c r="N19" s="78"/>
      <c r="O19" s="79">
        <v>0</v>
      </c>
      <c r="P19" s="79"/>
      <c r="Q19" s="79"/>
      <c r="R19" s="79"/>
      <c r="S19" s="80"/>
      <c r="T19" s="78"/>
      <c r="U19" s="79">
        <v>0</v>
      </c>
      <c r="V19" s="79"/>
      <c r="W19" s="79"/>
      <c r="X19" s="79"/>
      <c r="Y19" s="86"/>
      <c r="Z19" s="78"/>
      <c r="AA19" s="79">
        <v>0</v>
      </c>
      <c r="AB19" s="79"/>
      <c r="AC19" s="79"/>
      <c r="AD19" s="79"/>
      <c r="AE19" s="80"/>
      <c r="AF19" s="78"/>
      <c r="AG19" s="79">
        <v>0</v>
      </c>
      <c r="AH19" s="79"/>
      <c r="AI19" s="79"/>
      <c r="AJ19" s="79"/>
      <c r="AK19" s="86"/>
      <c r="AL19" s="79"/>
      <c r="AM19" s="79">
        <v>0</v>
      </c>
      <c r="AN19" s="79"/>
      <c r="AO19" s="79"/>
      <c r="AP19" s="79"/>
      <c r="AQ19" s="86"/>
      <c r="AR19" s="78"/>
      <c r="AS19" s="79">
        <v>0</v>
      </c>
      <c r="AT19" s="79"/>
      <c r="AU19" s="79"/>
      <c r="AV19" s="79"/>
      <c r="AW19" s="86"/>
      <c r="AX19" s="79"/>
      <c r="AY19" s="79">
        <v>0</v>
      </c>
      <c r="AZ19" s="79"/>
      <c r="BA19" s="79"/>
      <c r="BB19" s="79"/>
      <c r="BC19" s="86"/>
      <c r="BD19" s="79"/>
      <c r="BE19" s="79">
        <v>0</v>
      </c>
      <c r="BF19" s="79"/>
      <c r="BG19" s="79"/>
      <c r="BH19" s="88"/>
    </row>
    <row r="20" spans="2:60">
      <c r="B20" s="78"/>
      <c r="C20" s="79">
        <v>0</v>
      </c>
      <c r="D20" s="79"/>
      <c r="E20" s="79"/>
      <c r="F20" s="79"/>
      <c r="G20" s="80"/>
      <c r="H20" s="78"/>
      <c r="I20" s="79">
        <v>0</v>
      </c>
      <c r="J20" s="79"/>
      <c r="K20" s="79"/>
      <c r="L20" s="79"/>
      <c r="M20" s="80"/>
      <c r="N20" s="78"/>
      <c r="O20" s="79">
        <v>0</v>
      </c>
      <c r="P20" s="79"/>
      <c r="Q20" s="79"/>
      <c r="R20" s="79"/>
      <c r="S20" s="80"/>
      <c r="T20" s="78"/>
      <c r="U20" s="79">
        <v>0</v>
      </c>
      <c r="V20" s="79"/>
      <c r="W20" s="79"/>
      <c r="X20" s="79"/>
      <c r="Y20" s="86"/>
      <c r="Z20" s="78"/>
      <c r="AA20" s="79">
        <v>0</v>
      </c>
      <c r="AB20" s="79"/>
      <c r="AC20" s="79"/>
      <c r="AD20" s="79"/>
      <c r="AE20" s="80"/>
      <c r="AF20" s="78"/>
      <c r="AG20" s="79">
        <v>0</v>
      </c>
      <c r="AH20" s="79"/>
      <c r="AI20" s="79"/>
      <c r="AJ20" s="79"/>
      <c r="AK20" s="86"/>
      <c r="AL20" s="79"/>
      <c r="AM20" s="79">
        <v>0</v>
      </c>
      <c r="AN20" s="79"/>
      <c r="AO20" s="79"/>
      <c r="AP20" s="79"/>
      <c r="AQ20" s="86"/>
      <c r="AR20" s="78"/>
      <c r="AS20" s="79">
        <v>0</v>
      </c>
      <c r="AT20" s="79"/>
      <c r="AU20" s="79"/>
      <c r="AV20" s="79"/>
      <c r="AW20" s="86"/>
      <c r="AX20" s="79"/>
      <c r="AY20" s="79">
        <v>0</v>
      </c>
      <c r="AZ20" s="79"/>
      <c r="BA20" s="79"/>
      <c r="BB20" s="79"/>
      <c r="BC20" s="86"/>
      <c r="BD20" s="79"/>
      <c r="BE20" s="79">
        <v>0</v>
      </c>
      <c r="BF20" s="79"/>
      <c r="BG20" s="79"/>
      <c r="BH20" s="88"/>
    </row>
    <row r="21" spans="2:60">
      <c r="B21" s="78"/>
      <c r="C21" s="79">
        <v>0</v>
      </c>
      <c r="D21" s="79"/>
      <c r="E21" s="79"/>
      <c r="F21" s="79"/>
      <c r="G21" s="80"/>
      <c r="H21" s="78"/>
      <c r="I21" s="79">
        <v>0</v>
      </c>
      <c r="J21" s="79"/>
      <c r="K21" s="79"/>
      <c r="L21" s="79"/>
      <c r="M21" s="80"/>
      <c r="N21" s="78"/>
      <c r="O21" s="79">
        <v>0</v>
      </c>
      <c r="P21" s="79"/>
      <c r="Q21" s="79"/>
      <c r="R21" s="79"/>
      <c r="S21" s="80"/>
      <c r="T21" s="78"/>
      <c r="U21" s="79">
        <v>0</v>
      </c>
      <c r="V21" s="79"/>
      <c r="W21" s="79"/>
      <c r="X21" s="79"/>
      <c r="Y21" s="86"/>
      <c r="Z21" s="78"/>
      <c r="AA21" s="79">
        <v>0</v>
      </c>
      <c r="AB21" s="79"/>
      <c r="AC21" s="79"/>
      <c r="AD21" s="79"/>
      <c r="AE21" s="80"/>
      <c r="AF21" s="78"/>
      <c r="AG21" s="79">
        <v>0</v>
      </c>
      <c r="AH21" s="79"/>
      <c r="AI21" s="79"/>
      <c r="AJ21" s="79"/>
      <c r="AK21" s="86"/>
      <c r="AL21" s="79"/>
      <c r="AM21" s="79">
        <v>0</v>
      </c>
      <c r="AN21" s="79"/>
      <c r="AO21" s="79"/>
      <c r="AP21" s="79"/>
      <c r="AQ21" s="86"/>
      <c r="AR21" s="78"/>
      <c r="AS21" s="79">
        <v>0</v>
      </c>
      <c r="AT21" s="79"/>
      <c r="AU21" s="79"/>
      <c r="AV21" s="79"/>
      <c r="AW21" s="86"/>
      <c r="AX21" s="79"/>
      <c r="AY21" s="79">
        <v>0</v>
      </c>
      <c r="AZ21" s="79"/>
      <c r="BA21" s="79"/>
      <c r="BB21" s="79"/>
      <c r="BC21" s="86"/>
      <c r="BD21" s="79"/>
      <c r="BE21" s="79">
        <v>0</v>
      </c>
      <c r="BF21" s="79"/>
      <c r="BG21" s="79"/>
      <c r="BH21" s="88"/>
    </row>
    <row r="22" spans="2:60">
      <c r="B22" s="78"/>
      <c r="C22" s="79">
        <v>0</v>
      </c>
      <c r="D22" s="79"/>
      <c r="E22" s="79"/>
      <c r="F22" s="79"/>
      <c r="G22" s="80"/>
      <c r="H22" s="78"/>
      <c r="I22" s="79">
        <v>0</v>
      </c>
      <c r="J22" s="79"/>
      <c r="K22" s="79"/>
      <c r="L22" s="79"/>
      <c r="M22" s="80"/>
      <c r="N22" s="78"/>
      <c r="O22" s="79">
        <v>0</v>
      </c>
      <c r="P22" s="79"/>
      <c r="Q22" s="79"/>
      <c r="R22" s="79"/>
      <c r="S22" s="80"/>
      <c r="T22" s="78"/>
      <c r="U22" s="79">
        <v>0</v>
      </c>
      <c r="V22" s="79"/>
      <c r="W22" s="79"/>
      <c r="X22" s="79"/>
      <c r="Y22" s="86"/>
      <c r="Z22" s="78"/>
      <c r="AA22" s="79">
        <v>0</v>
      </c>
      <c r="AB22" s="79"/>
      <c r="AC22" s="79"/>
      <c r="AD22" s="79"/>
      <c r="AE22" s="80"/>
      <c r="AF22" s="78"/>
      <c r="AG22" s="79">
        <v>0</v>
      </c>
      <c r="AH22" s="79"/>
      <c r="AI22" s="79"/>
      <c r="AJ22" s="79"/>
      <c r="AK22" s="86"/>
      <c r="AL22" s="79"/>
      <c r="AM22" s="79">
        <v>0</v>
      </c>
      <c r="AN22" s="79"/>
      <c r="AO22" s="79"/>
      <c r="AP22" s="79"/>
      <c r="AQ22" s="86"/>
      <c r="AR22" s="78"/>
      <c r="AS22" s="79">
        <v>0</v>
      </c>
      <c r="AT22" s="79"/>
      <c r="AU22" s="79"/>
      <c r="AV22" s="79"/>
      <c r="AW22" s="86"/>
      <c r="AX22" s="79"/>
      <c r="AY22" s="79">
        <v>0</v>
      </c>
      <c r="AZ22" s="79"/>
      <c r="BA22" s="79"/>
      <c r="BB22" s="79"/>
      <c r="BC22" s="86"/>
      <c r="BD22" s="79"/>
      <c r="BE22" s="79">
        <v>0</v>
      </c>
      <c r="BF22" s="79"/>
      <c r="BG22" s="79"/>
      <c r="BH22" s="88"/>
    </row>
    <row r="23" spans="2:60">
      <c r="B23" s="78"/>
      <c r="C23" s="79">
        <v>0</v>
      </c>
      <c r="D23" s="79"/>
      <c r="E23" s="79"/>
      <c r="F23" s="79"/>
      <c r="G23" s="80"/>
      <c r="H23" s="78"/>
      <c r="I23" s="79">
        <v>0</v>
      </c>
      <c r="J23" s="79"/>
      <c r="K23" s="79"/>
      <c r="L23" s="79"/>
      <c r="M23" s="80"/>
      <c r="N23" s="78"/>
      <c r="O23" s="79">
        <v>0</v>
      </c>
      <c r="P23" s="79"/>
      <c r="Q23" s="79"/>
      <c r="R23" s="79"/>
      <c r="S23" s="80"/>
      <c r="T23" s="78"/>
      <c r="U23" s="79">
        <v>0</v>
      </c>
      <c r="V23" s="79"/>
      <c r="W23" s="79"/>
      <c r="X23" s="79"/>
      <c r="Y23" s="86"/>
      <c r="Z23" s="78"/>
      <c r="AA23" s="79">
        <v>0</v>
      </c>
      <c r="AB23" s="79"/>
      <c r="AC23" s="79"/>
      <c r="AD23" s="79"/>
      <c r="AE23" s="80"/>
      <c r="AF23" s="78"/>
      <c r="AG23" s="79">
        <v>0</v>
      </c>
      <c r="AH23" s="79"/>
      <c r="AI23" s="79"/>
      <c r="AJ23" s="79"/>
      <c r="AK23" s="86"/>
      <c r="AL23" s="79"/>
      <c r="AM23" s="79">
        <v>0</v>
      </c>
      <c r="AN23" s="79"/>
      <c r="AO23" s="79"/>
      <c r="AP23" s="79"/>
      <c r="AQ23" s="86"/>
      <c r="AR23" s="78"/>
      <c r="AS23" s="79">
        <v>0</v>
      </c>
      <c r="AT23" s="79"/>
      <c r="AU23" s="79"/>
      <c r="AV23" s="79"/>
      <c r="AW23" s="86"/>
      <c r="AX23" s="79"/>
      <c r="AY23" s="79">
        <v>0</v>
      </c>
      <c r="AZ23" s="79"/>
      <c r="BA23" s="79"/>
      <c r="BB23" s="79"/>
      <c r="BC23" s="86"/>
      <c r="BD23" s="79"/>
      <c r="BE23" s="79">
        <v>0</v>
      </c>
      <c r="BF23" s="79"/>
      <c r="BG23" s="79"/>
      <c r="BH23" s="88"/>
    </row>
    <row r="24" spans="2:60">
      <c r="B24" s="78"/>
      <c r="C24" s="79">
        <v>0</v>
      </c>
      <c r="D24" s="79"/>
      <c r="E24" s="79"/>
      <c r="F24" s="79"/>
      <c r="G24" s="80"/>
      <c r="H24" s="78"/>
      <c r="I24" s="79">
        <v>0</v>
      </c>
      <c r="J24" s="79"/>
      <c r="K24" s="79"/>
      <c r="L24" s="79"/>
      <c r="M24" s="80"/>
      <c r="N24" s="78"/>
      <c r="O24" s="79">
        <v>0</v>
      </c>
      <c r="P24" s="79"/>
      <c r="Q24" s="79"/>
      <c r="R24" s="79"/>
      <c r="S24" s="80"/>
      <c r="T24" s="78"/>
      <c r="U24" s="79">
        <v>0</v>
      </c>
      <c r="V24" s="79"/>
      <c r="W24" s="79"/>
      <c r="X24" s="79"/>
      <c r="Y24" s="86"/>
      <c r="Z24" s="78"/>
      <c r="AA24" s="79">
        <v>0</v>
      </c>
      <c r="AB24" s="79"/>
      <c r="AC24" s="79"/>
      <c r="AD24" s="79"/>
      <c r="AE24" s="80"/>
      <c r="AF24" s="78"/>
      <c r="AG24" s="79">
        <v>0</v>
      </c>
      <c r="AH24" s="79"/>
      <c r="AI24" s="79"/>
      <c r="AJ24" s="79"/>
      <c r="AK24" s="86"/>
      <c r="AL24" s="79"/>
      <c r="AM24" s="79">
        <v>0</v>
      </c>
      <c r="AN24" s="79"/>
      <c r="AO24" s="79"/>
      <c r="AP24" s="79"/>
      <c r="AQ24" s="86"/>
      <c r="AR24" s="78"/>
      <c r="AS24" s="79">
        <v>0</v>
      </c>
      <c r="AT24" s="79"/>
      <c r="AU24" s="79"/>
      <c r="AV24" s="79"/>
      <c r="AW24" s="86"/>
      <c r="AX24" s="79"/>
      <c r="AY24" s="79">
        <v>0</v>
      </c>
      <c r="AZ24" s="79"/>
      <c r="BA24" s="79"/>
      <c r="BB24" s="79"/>
      <c r="BC24" s="86"/>
      <c r="BD24" s="79"/>
      <c r="BE24" s="79">
        <v>0</v>
      </c>
      <c r="BF24" s="79"/>
      <c r="BG24" s="79"/>
      <c r="BH24" s="88"/>
    </row>
    <row r="25" spans="2:60">
      <c r="B25" s="78"/>
      <c r="C25" s="79">
        <v>0</v>
      </c>
      <c r="D25" s="79"/>
      <c r="E25" s="79"/>
      <c r="F25" s="79"/>
      <c r="G25" s="80"/>
      <c r="H25" s="78"/>
      <c r="I25" s="79">
        <v>0</v>
      </c>
      <c r="J25" s="79"/>
      <c r="K25" s="79"/>
      <c r="L25" s="79"/>
      <c r="M25" s="80"/>
      <c r="N25" s="78"/>
      <c r="O25" s="79">
        <v>0</v>
      </c>
      <c r="P25" s="79"/>
      <c r="Q25" s="79"/>
      <c r="R25" s="79"/>
      <c r="S25" s="80"/>
      <c r="T25" s="78"/>
      <c r="U25" s="79">
        <v>0</v>
      </c>
      <c r="V25" s="79"/>
      <c r="W25" s="79"/>
      <c r="X25" s="79"/>
      <c r="Y25" s="86"/>
      <c r="Z25" s="78"/>
      <c r="AA25" s="79">
        <v>0</v>
      </c>
      <c r="AB25" s="79"/>
      <c r="AC25" s="79"/>
      <c r="AD25" s="79"/>
      <c r="AE25" s="80"/>
      <c r="AF25" s="78"/>
      <c r="AG25" s="79">
        <v>0</v>
      </c>
      <c r="AH25" s="79"/>
      <c r="AI25" s="79"/>
      <c r="AJ25" s="79"/>
      <c r="AK25" s="86"/>
      <c r="AL25" s="79"/>
      <c r="AM25" s="79">
        <v>0</v>
      </c>
      <c r="AN25" s="79"/>
      <c r="AO25" s="79"/>
      <c r="AP25" s="79"/>
      <c r="AQ25" s="86"/>
      <c r="AR25" s="78"/>
      <c r="AS25" s="79">
        <v>0</v>
      </c>
      <c r="AT25" s="79"/>
      <c r="AU25" s="79"/>
      <c r="AV25" s="79"/>
      <c r="AW25" s="86"/>
      <c r="AX25" s="79"/>
      <c r="AY25" s="79">
        <v>0</v>
      </c>
      <c r="AZ25" s="79"/>
      <c r="BA25" s="79"/>
      <c r="BB25" s="79"/>
      <c r="BC25" s="86"/>
      <c r="BD25" s="79"/>
      <c r="BE25" s="79">
        <v>0</v>
      </c>
      <c r="BF25" s="79"/>
      <c r="BG25" s="79"/>
      <c r="BH25" s="88"/>
    </row>
    <row r="26" spans="2:60">
      <c r="B26" s="78"/>
      <c r="C26" s="79">
        <v>0</v>
      </c>
      <c r="D26" s="79"/>
      <c r="E26" s="79"/>
      <c r="F26" s="79"/>
      <c r="G26" s="80"/>
      <c r="H26" s="78"/>
      <c r="I26" s="79">
        <v>0</v>
      </c>
      <c r="J26" s="79"/>
      <c r="K26" s="79"/>
      <c r="L26" s="79"/>
      <c r="M26" s="80"/>
      <c r="N26" s="78"/>
      <c r="O26" s="79">
        <v>0</v>
      </c>
      <c r="P26" s="79"/>
      <c r="Q26" s="79"/>
      <c r="R26" s="79"/>
      <c r="S26" s="80"/>
      <c r="T26" s="78"/>
      <c r="U26" s="79">
        <v>0</v>
      </c>
      <c r="V26" s="79"/>
      <c r="W26" s="79"/>
      <c r="X26" s="79"/>
      <c r="Y26" s="86"/>
      <c r="Z26" s="78"/>
      <c r="AA26" s="79">
        <v>0</v>
      </c>
      <c r="AB26" s="79"/>
      <c r="AC26" s="79"/>
      <c r="AD26" s="79"/>
      <c r="AE26" s="80"/>
      <c r="AF26" s="78"/>
      <c r="AG26" s="79">
        <v>0</v>
      </c>
      <c r="AH26" s="79"/>
      <c r="AI26" s="79"/>
      <c r="AJ26" s="79"/>
      <c r="AK26" s="86"/>
      <c r="AL26" s="79"/>
      <c r="AM26" s="79">
        <v>0</v>
      </c>
      <c r="AN26" s="79"/>
      <c r="AO26" s="79"/>
      <c r="AP26" s="79"/>
      <c r="AQ26" s="86"/>
      <c r="AR26" s="78"/>
      <c r="AS26" s="79">
        <v>0</v>
      </c>
      <c r="AT26" s="79"/>
      <c r="AU26" s="79"/>
      <c r="AV26" s="79"/>
      <c r="AW26" s="86"/>
      <c r="AX26" s="79"/>
      <c r="AY26" s="79">
        <v>0</v>
      </c>
      <c r="AZ26" s="79"/>
      <c r="BA26" s="79"/>
      <c r="BB26" s="79"/>
      <c r="BC26" s="86"/>
      <c r="BD26" s="79"/>
      <c r="BE26" s="79">
        <v>0</v>
      </c>
      <c r="BF26" s="79"/>
      <c r="BG26" s="79"/>
      <c r="BH26" s="88"/>
    </row>
    <row r="27" spans="2:60">
      <c r="B27" s="78"/>
      <c r="C27" s="79"/>
      <c r="D27" s="79"/>
      <c r="E27" s="79"/>
      <c r="F27" s="79"/>
      <c r="G27" s="80"/>
      <c r="H27" s="78"/>
      <c r="I27" s="79"/>
      <c r="J27" s="79"/>
      <c r="K27" s="79"/>
      <c r="L27" s="79"/>
      <c r="M27" s="80"/>
      <c r="N27" s="78"/>
      <c r="O27" s="79"/>
      <c r="P27" s="79"/>
      <c r="Q27" s="79"/>
      <c r="R27" s="79"/>
      <c r="S27" s="80"/>
      <c r="T27" s="78"/>
      <c r="U27" s="79"/>
      <c r="V27" s="79"/>
      <c r="W27" s="79"/>
      <c r="X27" s="79"/>
      <c r="Y27" s="86"/>
      <c r="Z27" s="78"/>
      <c r="AA27" s="79"/>
      <c r="AB27" s="79"/>
      <c r="AC27" s="79"/>
      <c r="AD27" s="79"/>
      <c r="AE27" s="80"/>
      <c r="AF27" s="78"/>
      <c r="AG27" s="79"/>
      <c r="AH27" s="79"/>
      <c r="AI27" s="79"/>
      <c r="AJ27" s="79"/>
      <c r="AK27" s="86"/>
      <c r="AL27" s="79"/>
      <c r="AM27" s="79"/>
      <c r="AN27" s="79"/>
      <c r="AO27" s="79"/>
      <c r="AP27" s="79"/>
      <c r="AQ27" s="86"/>
      <c r="AR27" s="78"/>
      <c r="AS27" s="79"/>
      <c r="AT27" s="79"/>
      <c r="AU27" s="79"/>
      <c r="AV27" s="79"/>
      <c r="AW27" s="86"/>
      <c r="AX27" s="79"/>
      <c r="AY27" s="79"/>
      <c r="AZ27" s="79"/>
      <c r="BA27" s="79"/>
      <c r="BB27" s="79"/>
      <c r="BC27" s="86"/>
      <c r="BD27" s="79"/>
      <c r="BE27" s="79"/>
      <c r="BF27" s="79"/>
      <c r="BG27" s="79"/>
      <c r="BH27" s="88"/>
    </row>
    <row r="28" spans="2:60" ht="29">
      <c r="B28" s="78" t="s">
        <v>1087</v>
      </c>
      <c r="C28" s="79" t="str" cm="1">
        <f t="array" ref="C28:C52">TRANSPOSE('02.OTD'!AB3:AZ3)</f>
        <v/>
      </c>
      <c r="D28" s="79" t="str" cm="1">
        <f t="array" ref="D28:D29">_xlfn._xlws.FILTER(_xlfn.ANCHORARRAY(C28),_xlfn.ANCHORARRAY(C28)&lt;&gt;0)</f>
        <v/>
      </c>
      <c r="E28" s="79" t="s">
        <v>1088</v>
      </c>
      <c r="F28" s="79" t="str" cm="1">
        <f t="array" ref="F28">IFERROR(_xlfn._xlws.FILTER(_xlfn.ANCHORARRAY(C2),(_xlfn.ANCHORARRAY(C2)&lt;&gt;0)*(COUNTIF(_xlfn.ANCHORARRAY(C28),_xlfn.ANCHORARRAY(C2))=0)),"N")</f>
        <v>N</v>
      </c>
      <c r="G28" s="80"/>
      <c r="H28" s="78" t="s">
        <v>1087</v>
      </c>
      <c r="I28" s="79" t="str" cm="1">
        <f t="array" ref="I28:I52">TRANSPOSE('02.OTD'!U7:AS7)</f>
        <v/>
      </c>
      <c r="J28" s="79" t="str" cm="1">
        <f t="array" ref="J28:J36">_xlfn._xlws.FILTER(_xlfn.ANCHORARRAY(I28),_xlfn.ANCHORARRAY(I28)&lt;&gt;0)</f>
        <v/>
      </c>
      <c r="K28" s="79" t="s">
        <v>1088</v>
      </c>
      <c r="L28" s="79" t="str" cm="1">
        <f t="array" ref="L28:L29">IFERROR(_xlfn._xlws.FILTER(_xlfn.ANCHORARRAY(I2),(_xlfn.ANCHORARRAY(I2)&lt;&gt;0)*(COUNTIF(_xlfn.ANCHORARRAY(I28),_xlfn.ANCHORARRAY(I2))=0)),"N")</f>
        <v>Jayan</v>
      </c>
      <c r="M28" s="80"/>
      <c r="N28" s="78" t="s">
        <v>1087</v>
      </c>
      <c r="O28" s="79" t="str" cm="1">
        <f t="array" ref="O28:O52">TRANSPOSE('02.OTD'!AB7:AZ7)</f>
        <v/>
      </c>
      <c r="P28" s="79" t="str" cm="1">
        <f t="array" ref="P28:P29">_xlfn._xlws.FILTER(_xlfn.ANCHORARRAY(O28),_xlfn.ANCHORARRAY(O28)&lt;&gt;0)</f>
        <v/>
      </c>
      <c r="Q28" s="79" t="s">
        <v>1088</v>
      </c>
      <c r="R28" s="79" t="str" cm="1">
        <f t="array" ref="R28">IFERROR(_xlfn._xlws.FILTER(_xlfn.ANCHORARRAY(O2),(_xlfn.ANCHORARRAY(O2)&lt;&gt;0)*(COUNTIF(_xlfn.ANCHORARRAY(O28),_xlfn.ANCHORARRAY(O2))=0)),"N")</f>
        <v>N</v>
      </c>
      <c r="S28" s="80"/>
      <c r="T28" s="78" t="s">
        <v>1087</v>
      </c>
      <c r="U28" s="79" t="str" cm="1">
        <f t="array" ref="U28:U52">TRANSPOSE('02.OTD'!AB7:AZ7)</f>
        <v/>
      </c>
      <c r="V28" s="79" t="str" cm="1">
        <f t="array" ref="V28:V29">_xlfn._xlws.FILTER(_xlfn.ANCHORARRAY(U28),_xlfn.ANCHORARRAY(U28)&lt;&gt;0)</f>
        <v/>
      </c>
      <c r="W28" s="79" t="s">
        <v>1088</v>
      </c>
      <c r="X28" s="79" t="str" cm="1">
        <f t="array" ref="X28">IFERROR(_xlfn._xlws.FILTER(_xlfn.ANCHORARRAY(U2),(_xlfn.ANCHORARRAY(U2)&lt;&gt;0)*(COUNTIF(_xlfn.ANCHORARRAY(U28),_xlfn.ANCHORARRAY(U2))=0)),"N")</f>
        <v>Jayan</v>
      </c>
      <c r="Y28" s="86"/>
      <c r="Z28" s="78" t="s">
        <v>1087</v>
      </c>
      <c r="AA28" s="79" t="str" cm="1">
        <f t="array" ref="AA28:AA52">TRANSPOSE('02.OTD'!AB7:AZ7)</f>
        <v/>
      </c>
      <c r="AB28" s="79" t="str" cm="1">
        <f t="array" ref="AB28:AB29">_xlfn._xlws.FILTER(_xlfn.ANCHORARRAY(AA28),_xlfn.ANCHORARRAY(AA28)&lt;&gt;0)</f>
        <v/>
      </c>
      <c r="AC28" s="79" t="s">
        <v>1088</v>
      </c>
      <c r="AD28" s="79" t="str" cm="1">
        <f t="array" ref="AD28">IFERROR(_xlfn._xlws.FILTER(_xlfn.ANCHORARRAY(AA2),(_xlfn.ANCHORARRAY(AA2)&lt;&gt;0)*(COUNTIF(_xlfn.ANCHORARRAY(AA28),_xlfn.ANCHORARRAY(AA2))=0)),"N")</f>
        <v>N</v>
      </c>
      <c r="AE28" s="80"/>
      <c r="AF28" s="78" t="s">
        <v>1087</v>
      </c>
      <c r="AG28" s="79" t="str" cm="1">
        <f t="array" ref="AG28:AG52">TRANSPOSE('02.OTD'!AB7:AZ7)</f>
        <v/>
      </c>
      <c r="AH28" s="79" t="str" cm="1">
        <f t="array" ref="AH28:AH29">_xlfn._xlws.FILTER(_xlfn.ANCHORARRAY(AG28),_xlfn.ANCHORARRAY(AG28)&lt;&gt;0)</f>
        <v/>
      </c>
      <c r="AI28" s="79" t="s">
        <v>1088</v>
      </c>
      <c r="AJ28" s="79" t="str" cm="1">
        <f t="array" ref="AJ28">IFERROR(_xlfn._xlws.FILTER(_xlfn.ANCHORARRAY(AG2),(_xlfn.ANCHORARRAY(AG2)&lt;&gt;0)*(COUNTIF(_xlfn.ANCHORARRAY(AG28),_xlfn.ANCHORARRAY(AG2))=0)),"N")</f>
        <v>N</v>
      </c>
      <c r="AK28" s="86"/>
      <c r="AL28" s="79" t="s">
        <v>1087</v>
      </c>
      <c r="AM28" s="79" t="str" cm="1">
        <f t="array" ref="AM28:AM52">TRANSPOSE('02.OTD'!AB7:AZ7)</f>
        <v/>
      </c>
      <c r="AN28" s="79" t="str" cm="1">
        <f t="array" ref="AN28:AN29">_xlfn._xlws.FILTER(_xlfn.ANCHORARRAY(AM28),_xlfn.ANCHORARRAY(AM28)&lt;&gt;0)</f>
        <v/>
      </c>
      <c r="AO28" s="79" t="s">
        <v>1088</v>
      </c>
      <c r="AP28" s="79" t="str" cm="1">
        <f t="array" ref="AP28">IFERROR(_xlfn._xlws.FILTER(_xlfn.ANCHORARRAY(AM2),(_xlfn.ANCHORARRAY(AM2)&lt;&gt;0)*(COUNTIF(_xlfn.ANCHORARRAY(AM28),_xlfn.ANCHORARRAY(AM2))=0)),"N")</f>
        <v>N</v>
      </c>
      <c r="AQ28" s="86"/>
      <c r="AR28" s="78" t="s">
        <v>1087</v>
      </c>
      <c r="AS28" s="79" t="str" cm="1">
        <f t="array" ref="AS28:AS52">TRANSPOSE('02.OTD'!AB7:AZ7)</f>
        <v/>
      </c>
      <c r="AT28" s="79" t="str" cm="1">
        <f t="array" ref="AT28:AT29">_xlfn._xlws.FILTER(_xlfn.ANCHORARRAY(AS28),_xlfn.ANCHORARRAY(AS28)&lt;&gt;0)</f>
        <v/>
      </c>
      <c r="AU28" s="79" t="s">
        <v>1088</v>
      </c>
      <c r="AV28" s="79" t="str" cm="1">
        <f t="array" ref="AV28">IFERROR(_xlfn._xlws.FILTER(_xlfn.ANCHORARRAY(AS2),(_xlfn.ANCHORARRAY(AS2)&lt;&gt;0)*(COUNTIF(_xlfn.ANCHORARRAY(AS28),_xlfn.ANCHORARRAY(AS2))=0)),"N")</f>
        <v>N</v>
      </c>
      <c r="AW28" s="86"/>
      <c r="AX28" s="79" t="s">
        <v>1087</v>
      </c>
      <c r="AY28" s="79" t="str" cm="1">
        <f t="array" ref="AY28:AY52">TRANSPOSE('02.OTD'!AB7:AZ7)</f>
        <v/>
      </c>
      <c r="AZ28" s="79" t="str" cm="1">
        <f t="array" ref="AZ28:AZ29">_xlfn._xlws.FILTER(_xlfn.ANCHORARRAY(AY28),_xlfn.ANCHORARRAY(AY28)&lt;&gt;0)</f>
        <v/>
      </c>
      <c r="BA28" s="79" t="s">
        <v>1088</v>
      </c>
      <c r="BB28" s="79" t="str" cm="1">
        <f t="array" ref="BB28">IFERROR(_xlfn._xlws.FILTER(_xlfn.ANCHORARRAY(AY2),(_xlfn.ANCHORARRAY(AY2)&lt;&gt;0)*(COUNTIF(_xlfn.ANCHORARRAY(AY28),_xlfn.ANCHORARRAY(AY2))=0)),"N")</f>
        <v>N</v>
      </c>
      <c r="BC28" s="86"/>
      <c r="BD28" s="79" t="s">
        <v>1087</v>
      </c>
      <c r="BE28" s="79" t="str" cm="1">
        <f t="array" ref="BE28:BE52">TRANSPOSE('02.OTD'!AB7:AZ7)</f>
        <v/>
      </c>
      <c r="BF28" s="79" t="str" cm="1">
        <f t="array" ref="BF28:BF29">_xlfn._xlws.FILTER(_xlfn.ANCHORARRAY(BE28),_xlfn.ANCHORARRAY(BE28)&lt;&gt;0)</f>
        <v/>
      </c>
      <c r="BG28" s="79" t="s">
        <v>1088</v>
      </c>
      <c r="BH28" s="88" t="str" cm="1">
        <f t="array" ref="BH28">IFERROR(_xlfn._xlws.FILTER(_xlfn.ANCHORARRAY(BE2),(_xlfn.ANCHORARRAY(BE2)&lt;&gt;0)*(COUNTIF(_xlfn.ANCHORARRAY(BE28),_xlfn.ANCHORARRAY(BE2))=0)),"N")</f>
        <v>N</v>
      </c>
    </row>
    <row r="29" spans="2:60">
      <c r="B29" s="78"/>
      <c r="C29" s="79" t="str">
        <v>153/2022</v>
      </c>
      <c r="D29" s="79" t="str">
        <v>153/2022</v>
      </c>
      <c r="E29" s="79"/>
      <c r="F29" s="79"/>
      <c r="G29" s="80"/>
      <c r="H29" s="78"/>
      <c r="I29" s="79" t="str">
        <v/>
      </c>
      <c r="J29" s="79" t="str">
        <v/>
      </c>
      <c r="K29" s="79"/>
      <c r="L29" s="79" t="str">
        <v>Jayan</v>
      </c>
      <c r="M29" s="80"/>
      <c r="N29" s="78"/>
      <c r="O29" s="79" t="str">
        <v>Jobin</v>
      </c>
      <c r="P29" s="79" t="str">
        <v>Jobin</v>
      </c>
      <c r="Q29" s="79"/>
      <c r="R29" s="79"/>
      <c r="S29" s="80"/>
      <c r="T29" s="78"/>
      <c r="U29" s="79" t="str">
        <v>Jobin</v>
      </c>
      <c r="V29" s="79" t="str">
        <v>Jobin</v>
      </c>
      <c r="W29" s="79"/>
      <c r="X29" s="79"/>
      <c r="Y29" s="86"/>
      <c r="Z29" s="78"/>
      <c r="AA29" s="79" t="str">
        <v>Jobin</v>
      </c>
      <c r="AB29" s="79" t="str">
        <v>Jobin</v>
      </c>
      <c r="AC29" s="79"/>
      <c r="AD29" s="79"/>
      <c r="AE29" s="80"/>
      <c r="AF29" s="78"/>
      <c r="AG29" s="79" t="str">
        <v>Jobin</v>
      </c>
      <c r="AH29" s="79" t="str">
        <v>Jobin</v>
      </c>
      <c r="AI29" s="79"/>
      <c r="AJ29" s="79"/>
      <c r="AK29" s="86"/>
      <c r="AL29" s="79"/>
      <c r="AM29" s="79" t="str">
        <v>Jobin</v>
      </c>
      <c r="AN29" s="79" t="str">
        <v>Jobin</v>
      </c>
      <c r="AO29" s="79"/>
      <c r="AP29" s="79"/>
      <c r="AQ29" s="86"/>
      <c r="AR29" s="78"/>
      <c r="AS29" s="79" t="str">
        <v>Jobin</v>
      </c>
      <c r="AT29" s="79" t="str">
        <v>Jobin</v>
      </c>
      <c r="AU29" s="79"/>
      <c r="AV29" s="79"/>
      <c r="AW29" s="86"/>
      <c r="AX29" s="79"/>
      <c r="AY29" s="79" t="str">
        <v>Jobin</v>
      </c>
      <c r="AZ29" s="79" t="str">
        <v>Jobin</v>
      </c>
      <c r="BA29" s="79"/>
      <c r="BB29" s="79"/>
      <c r="BC29" s="86"/>
      <c r="BD29" s="79"/>
      <c r="BE29" s="79" t="str">
        <v>Jobin</v>
      </c>
      <c r="BF29" s="79" t="str">
        <v>Jobin</v>
      </c>
      <c r="BG29" s="79"/>
      <c r="BH29" s="88"/>
    </row>
    <row r="30" spans="2:60">
      <c r="B30" s="78"/>
      <c r="C30" s="79">
        <v>0</v>
      </c>
      <c r="D30" s="79"/>
      <c r="E30" s="79"/>
      <c r="F30" s="79"/>
      <c r="G30" s="80"/>
      <c r="H30" s="78"/>
      <c r="I30" s="79" t="str">
        <v/>
      </c>
      <c r="J30" s="79" t="str">
        <v/>
      </c>
      <c r="K30" s="79"/>
      <c r="L30" s="79"/>
      <c r="M30" s="80"/>
      <c r="N30" s="78"/>
      <c r="O30" s="79">
        <v>0</v>
      </c>
      <c r="P30" s="79"/>
      <c r="Q30" s="79"/>
      <c r="R30" s="79"/>
      <c r="S30" s="80"/>
      <c r="T30" s="78"/>
      <c r="U30" s="79">
        <v>0</v>
      </c>
      <c r="V30" s="79"/>
      <c r="W30" s="79"/>
      <c r="X30" s="79"/>
      <c r="Y30" s="86"/>
      <c r="Z30" s="78"/>
      <c r="AA30" s="79">
        <v>0</v>
      </c>
      <c r="AB30" s="79"/>
      <c r="AC30" s="79"/>
      <c r="AD30" s="79"/>
      <c r="AE30" s="80"/>
      <c r="AF30" s="78"/>
      <c r="AG30" s="79">
        <v>0</v>
      </c>
      <c r="AH30" s="79"/>
      <c r="AI30" s="79"/>
      <c r="AJ30" s="79"/>
      <c r="AK30" s="86"/>
      <c r="AL30" s="79"/>
      <c r="AM30" s="79">
        <v>0</v>
      </c>
      <c r="AN30" s="79"/>
      <c r="AO30" s="79"/>
      <c r="AP30" s="79"/>
      <c r="AQ30" s="86"/>
      <c r="AR30" s="78"/>
      <c r="AS30" s="79">
        <v>0</v>
      </c>
      <c r="AT30" s="79"/>
      <c r="AU30" s="79"/>
      <c r="AV30" s="79"/>
      <c r="AW30" s="86"/>
      <c r="AX30" s="79"/>
      <c r="AY30" s="79">
        <v>0</v>
      </c>
      <c r="AZ30" s="79"/>
      <c r="BA30" s="79"/>
      <c r="BB30" s="79"/>
      <c r="BC30" s="86"/>
      <c r="BD30" s="79"/>
      <c r="BE30" s="79">
        <v>0</v>
      </c>
      <c r="BF30" s="79"/>
      <c r="BG30" s="79"/>
      <c r="BH30" s="88"/>
    </row>
    <row r="31" spans="2:60">
      <c r="B31" s="78"/>
      <c r="C31" s="79">
        <v>0</v>
      </c>
      <c r="D31" s="79"/>
      <c r="E31" s="79"/>
      <c r="F31" s="79"/>
      <c r="G31" s="80"/>
      <c r="H31" s="78"/>
      <c r="I31" s="79" t="str">
        <v/>
      </c>
      <c r="J31" s="79" t="str">
        <v/>
      </c>
      <c r="K31" s="79"/>
      <c r="L31" s="79"/>
      <c r="M31" s="80"/>
      <c r="N31" s="78"/>
      <c r="O31" s="79">
        <v>0</v>
      </c>
      <c r="P31" s="79"/>
      <c r="Q31" s="79"/>
      <c r="R31" s="79"/>
      <c r="S31" s="80"/>
      <c r="T31" s="78"/>
      <c r="U31" s="79">
        <v>0</v>
      </c>
      <c r="V31" s="79"/>
      <c r="W31" s="79"/>
      <c r="X31" s="79"/>
      <c r="Y31" s="86"/>
      <c r="Z31" s="78"/>
      <c r="AA31" s="79">
        <v>0</v>
      </c>
      <c r="AB31" s="79"/>
      <c r="AC31" s="79"/>
      <c r="AD31" s="79"/>
      <c r="AE31" s="80"/>
      <c r="AF31" s="78"/>
      <c r="AG31" s="79">
        <v>0</v>
      </c>
      <c r="AH31" s="79"/>
      <c r="AI31" s="79"/>
      <c r="AJ31" s="79"/>
      <c r="AK31" s="86"/>
      <c r="AL31" s="79"/>
      <c r="AM31" s="79">
        <v>0</v>
      </c>
      <c r="AN31" s="79"/>
      <c r="AO31" s="79"/>
      <c r="AP31" s="79"/>
      <c r="AQ31" s="86"/>
      <c r="AR31" s="78"/>
      <c r="AS31" s="79">
        <v>0</v>
      </c>
      <c r="AT31" s="79"/>
      <c r="AU31" s="79"/>
      <c r="AV31" s="79"/>
      <c r="AW31" s="86"/>
      <c r="AX31" s="79"/>
      <c r="AY31" s="79">
        <v>0</v>
      </c>
      <c r="AZ31" s="79"/>
      <c r="BA31" s="79"/>
      <c r="BB31" s="79"/>
      <c r="BC31" s="86"/>
      <c r="BD31" s="79"/>
      <c r="BE31" s="79">
        <v>0</v>
      </c>
      <c r="BF31" s="79"/>
      <c r="BG31" s="79"/>
      <c r="BH31" s="88"/>
    </row>
    <row r="32" spans="2:60">
      <c r="B32" s="78"/>
      <c r="C32" s="79">
        <v>0</v>
      </c>
      <c r="D32" s="79"/>
      <c r="E32" s="79"/>
      <c r="F32" s="79"/>
      <c r="G32" s="80"/>
      <c r="H32" s="78"/>
      <c r="I32" s="79" t="str">
        <v/>
      </c>
      <c r="J32" s="79" t="str">
        <v/>
      </c>
      <c r="K32" s="79"/>
      <c r="L32" s="79"/>
      <c r="M32" s="80"/>
      <c r="N32" s="78"/>
      <c r="O32" s="79">
        <v>0</v>
      </c>
      <c r="P32" s="79"/>
      <c r="Q32" s="79"/>
      <c r="R32" s="79"/>
      <c r="S32" s="80"/>
      <c r="T32" s="78"/>
      <c r="U32" s="79">
        <v>0</v>
      </c>
      <c r="V32" s="79"/>
      <c r="W32" s="79"/>
      <c r="X32" s="79"/>
      <c r="Y32" s="86"/>
      <c r="Z32" s="78"/>
      <c r="AA32" s="79">
        <v>0</v>
      </c>
      <c r="AB32" s="79"/>
      <c r="AC32" s="79"/>
      <c r="AD32" s="79"/>
      <c r="AE32" s="80"/>
      <c r="AF32" s="78"/>
      <c r="AG32" s="79">
        <v>0</v>
      </c>
      <c r="AH32" s="79"/>
      <c r="AI32" s="79"/>
      <c r="AJ32" s="79"/>
      <c r="AK32" s="86"/>
      <c r="AL32" s="79"/>
      <c r="AM32" s="79">
        <v>0</v>
      </c>
      <c r="AN32" s="79"/>
      <c r="AO32" s="79"/>
      <c r="AP32" s="79"/>
      <c r="AQ32" s="86"/>
      <c r="AR32" s="78"/>
      <c r="AS32" s="79">
        <v>0</v>
      </c>
      <c r="AT32" s="79"/>
      <c r="AU32" s="79"/>
      <c r="AV32" s="79"/>
      <c r="AW32" s="86"/>
      <c r="AX32" s="79"/>
      <c r="AY32" s="79">
        <v>0</v>
      </c>
      <c r="AZ32" s="79"/>
      <c r="BA32" s="79"/>
      <c r="BB32" s="79"/>
      <c r="BC32" s="86"/>
      <c r="BD32" s="79"/>
      <c r="BE32" s="79">
        <v>0</v>
      </c>
      <c r="BF32" s="79"/>
      <c r="BG32" s="79"/>
      <c r="BH32" s="88"/>
    </row>
    <row r="33" spans="2:60">
      <c r="B33" s="78"/>
      <c r="C33" s="79">
        <v>0</v>
      </c>
      <c r="D33" s="79"/>
      <c r="E33" s="79"/>
      <c r="F33" s="79"/>
      <c r="G33" s="80"/>
      <c r="H33" s="78"/>
      <c r="I33" s="79" t="str">
        <v/>
      </c>
      <c r="J33" s="79" t="str">
        <v/>
      </c>
      <c r="K33" s="79"/>
      <c r="L33" s="79"/>
      <c r="M33" s="80"/>
      <c r="N33" s="78"/>
      <c r="O33" s="79">
        <v>0</v>
      </c>
      <c r="P33" s="79"/>
      <c r="Q33" s="79"/>
      <c r="R33" s="79"/>
      <c r="S33" s="80"/>
      <c r="T33" s="78"/>
      <c r="U33" s="79">
        <v>0</v>
      </c>
      <c r="V33" s="79"/>
      <c r="W33" s="79"/>
      <c r="X33" s="79"/>
      <c r="Y33" s="86"/>
      <c r="Z33" s="78"/>
      <c r="AA33" s="79">
        <v>0</v>
      </c>
      <c r="AB33" s="79"/>
      <c r="AC33" s="79"/>
      <c r="AD33" s="79"/>
      <c r="AE33" s="80"/>
      <c r="AF33" s="78"/>
      <c r="AG33" s="79">
        <v>0</v>
      </c>
      <c r="AH33" s="79"/>
      <c r="AI33" s="79"/>
      <c r="AJ33" s="79"/>
      <c r="AK33" s="86"/>
      <c r="AL33" s="79"/>
      <c r="AM33" s="79">
        <v>0</v>
      </c>
      <c r="AN33" s="79"/>
      <c r="AO33" s="79"/>
      <c r="AP33" s="79"/>
      <c r="AQ33" s="86"/>
      <c r="AR33" s="78"/>
      <c r="AS33" s="79">
        <v>0</v>
      </c>
      <c r="AT33" s="79"/>
      <c r="AU33" s="79"/>
      <c r="AV33" s="79"/>
      <c r="AW33" s="86"/>
      <c r="AX33" s="79"/>
      <c r="AY33" s="79">
        <v>0</v>
      </c>
      <c r="AZ33" s="79"/>
      <c r="BA33" s="79"/>
      <c r="BB33" s="79"/>
      <c r="BC33" s="86"/>
      <c r="BD33" s="79"/>
      <c r="BE33" s="79">
        <v>0</v>
      </c>
      <c r="BF33" s="79"/>
      <c r="BG33" s="79"/>
      <c r="BH33" s="88"/>
    </row>
    <row r="34" spans="2:60">
      <c r="B34" s="78"/>
      <c r="C34" s="79">
        <v>0</v>
      </c>
      <c r="D34" s="79"/>
      <c r="E34" s="79"/>
      <c r="F34" s="79"/>
      <c r="G34" s="80"/>
      <c r="H34" s="78"/>
      <c r="I34" s="79" t="str">
        <v>Jobin</v>
      </c>
      <c r="J34" s="79" t="str">
        <v>Jobin</v>
      </c>
      <c r="K34" s="79"/>
      <c r="L34" s="79"/>
      <c r="M34" s="80"/>
      <c r="N34" s="78"/>
      <c r="O34" s="79">
        <v>0</v>
      </c>
      <c r="P34" s="79"/>
      <c r="Q34" s="79"/>
      <c r="R34" s="79"/>
      <c r="S34" s="80"/>
      <c r="T34" s="78"/>
      <c r="U34" s="79">
        <v>0</v>
      </c>
      <c r="V34" s="79"/>
      <c r="W34" s="79"/>
      <c r="X34" s="79"/>
      <c r="Y34" s="86"/>
      <c r="Z34" s="78"/>
      <c r="AA34" s="79">
        <v>0</v>
      </c>
      <c r="AB34" s="79"/>
      <c r="AC34" s="79"/>
      <c r="AD34" s="79"/>
      <c r="AE34" s="80"/>
      <c r="AF34" s="78"/>
      <c r="AG34" s="79">
        <v>0</v>
      </c>
      <c r="AH34" s="79"/>
      <c r="AI34" s="79"/>
      <c r="AJ34" s="79"/>
      <c r="AK34" s="86"/>
      <c r="AL34" s="79"/>
      <c r="AM34" s="79">
        <v>0</v>
      </c>
      <c r="AN34" s="79"/>
      <c r="AO34" s="79"/>
      <c r="AP34" s="79"/>
      <c r="AQ34" s="86"/>
      <c r="AR34" s="78"/>
      <c r="AS34" s="79">
        <v>0</v>
      </c>
      <c r="AT34" s="79"/>
      <c r="AU34" s="79"/>
      <c r="AV34" s="79"/>
      <c r="AW34" s="86"/>
      <c r="AX34" s="79"/>
      <c r="AY34" s="79">
        <v>0</v>
      </c>
      <c r="AZ34" s="79"/>
      <c r="BA34" s="79"/>
      <c r="BB34" s="79"/>
      <c r="BC34" s="86"/>
      <c r="BD34" s="79"/>
      <c r="BE34" s="79">
        <v>0</v>
      </c>
      <c r="BF34" s="79"/>
      <c r="BG34" s="79"/>
      <c r="BH34" s="88"/>
    </row>
    <row r="35" spans="2:60">
      <c r="B35" s="78"/>
      <c r="C35" s="79">
        <v>0</v>
      </c>
      <c r="D35" s="79"/>
      <c r="E35" s="79"/>
      <c r="F35" s="79"/>
      <c r="G35" s="80"/>
      <c r="H35" s="78"/>
      <c r="I35" s="79" t="str">
        <v/>
      </c>
      <c r="J35" s="79" t="str">
        <v/>
      </c>
      <c r="K35" s="79"/>
      <c r="L35" s="79"/>
      <c r="M35" s="80"/>
      <c r="N35" s="78"/>
      <c r="O35" s="79">
        <v>0</v>
      </c>
      <c r="P35" s="79"/>
      <c r="Q35" s="79"/>
      <c r="R35" s="79"/>
      <c r="S35" s="80"/>
      <c r="T35" s="78"/>
      <c r="U35" s="79">
        <v>0</v>
      </c>
      <c r="V35" s="79"/>
      <c r="W35" s="79"/>
      <c r="X35" s="79"/>
      <c r="Y35" s="86"/>
      <c r="Z35" s="78"/>
      <c r="AA35" s="79">
        <v>0</v>
      </c>
      <c r="AB35" s="79"/>
      <c r="AC35" s="79"/>
      <c r="AD35" s="79"/>
      <c r="AE35" s="80"/>
      <c r="AF35" s="78"/>
      <c r="AG35" s="79">
        <v>0</v>
      </c>
      <c r="AH35" s="79"/>
      <c r="AI35" s="79"/>
      <c r="AJ35" s="79"/>
      <c r="AK35" s="86"/>
      <c r="AL35" s="79"/>
      <c r="AM35" s="79">
        <v>0</v>
      </c>
      <c r="AN35" s="79"/>
      <c r="AO35" s="79"/>
      <c r="AP35" s="79"/>
      <c r="AQ35" s="86"/>
      <c r="AR35" s="78"/>
      <c r="AS35" s="79">
        <v>0</v>
      </c>
      <c r="AT35" s="79"/>
      <c r="AU35" s="79"/>
      <c r="AV35" s="79"/>
      <c r="AW35" s="86"/>
      <c r="AX35" s="79"/>
      <c r="AY35" s="79">
        <v>0</v>
      </c>
      <c r="AZ35" s="79"/>
      <c r="BA35" s="79"/>
      <c r="BB35" s="79"/>
      <c r="BC35" s="86"/>
      <c r="BD35" s="79"/>
      <c r="BE35" s="79">
        <v>0</v>
      </c>
      <c r="BF35" s="79"/>
      <c r="BG35" s="79"/>
      <c r="BH35" s="88"/>
    </row>
    <row r="36" spans="2:60">
      <c r="B36" s="78"/>
      <c r="C36" s="79">
        <v>0</v>
      </c>
      <c r="D36" s="79"/>
      <c r="E36" s="79"/>
      <c r="F36" s="79"/>
      <c r="G36" s="80"/>
      <c r="H36" s="78"/>
      <c r="I36" s="79" t="str">
        <v>Jobin</v>
      </c>
      <c r="J36" s="79" t="str">
        <v>Jobin</v>
      </c>
      <c r="K36" s="79"/>
      <c r="L36" s="79"/>
      <c r="M36" s="80"/>
      <c r="N36" s="78"/>
      <c r="O36" s="79">
        <v>0</v>
      </c>
      <c r="P36" s="79"/>
      <c r="Q36" s="79"/>
      <c r="R36" s="79"/>
      <c r="S36" s="80"/>
      <c r="T36" s="78"/>
      <c r="U36" s="79">
        <v>0</v>
      </c>
      <c r="V36" s="79"/>
      <c r="W36" s="79"/>
      <c r="X36" s="79"/>
      <c r="Y36" s="86"/>
      <c r="Z36" s="78"/>
      <c r="AA36" s="79">
        <v>0</v>
      </c>
      <c r="AB36" s="79"/>
      <c r="AC36" s="79"/>
      <c r="AD36" s="79"/>
      <c r="AE36" s="80"/>
      <c r="AF36" s="78"/>
      <c r="AG36" s="79">
        <v>0</v>
      </c>
      <c r="AH36" s="79"/>
      <c r="AI36" s="79"/>
      <c r="AJ36" s="79"/>
      <c r="AK36" s="86"/>
      <c r="AL36" s="79"/>
      <c r="AM36" s="79">
        <v>0</v>
      </c>
      <c r="AN36" s="79"/>
      <c r="AO36" s="79"/>
      <c r="AP36" s="79"/>
      <c r="AQ36" s="86"/>
      <c r="AR36" s="78"/>
      <c r="AS36" s="79">
        <v>0</v>
      </c>
      <c r="AT36" s="79"/>
      <c r="AU36" s="79"/>
      <c r="AV36" s="79"/>
      <c r="AW36" s="86"/>
      <c r="AX36" s="79"/>
      <c r="AY36" s="79">
        <v>0</v>
      </c>
      <c r="AZ36" s="79"/>
      <c r="BA36" s="79"/>
      <c r="BB36" s="79"/>
      <c r="BC36" s="86"/>
      <c r="BD36" s="79"/>
      <c r="BE36" s="79">
        <v>0</v>
      </c>
      <c r="BF36" s="79"/>
      <c r="BG36" s="79"/>
      <c r="BH36" s="88"/>
    </row>
    <row r="37" spans="2:60">
      <c r="B37" s="78"/>
      <c r="C37" s="79">
        <v>0</v>
      </c>
      <c r="D37" s="79"/>
      <c r="E37" s="79"/>
      <c r="F37" s="79"/>
      <c r="G37" s="80"/>
      <c r="H37" s="78"/>
      <c r="I37" s="79">
        <v>0</v>
      </c>
      <c r="J37" s="79"/>
      <c r="K37" s="79"/>
      <c r="L37" s="79"/>
      <c r="M37" s="80"/>
      <c r="N37" s="78"/>
      <c r="O37" s="79">
        <v>0</v>
      </c>
      <c r="P37" s="79"/>
      <c r="Q37" s="79"/>
      <c r="R37" s="79"/>
      <c r="S37" s="80"/>
      <c r="T37" s="78"/>
      <c r="U37" s="79">
        <v>0</v>
      </c>
      <c r="V37" s="79"/>
      <c r="W37" s="79"/>
      <c r="X37" s="79"/>
      <c r="Y37" s="86"/>
      <c r="Z37" s="78"/>
      <c r="AA37" s="79">
        <v>0</v>
      </c>
      <c r="AB37" s="79"/>
      <c r="AC37" s="79"/>
      <c r="AD37" s="79"/>
      <c r="AE37" s="80"/>
      <c r="AF37" s="78"/>
      <c r="AG37" s="79">
        <v>0</v>
      </c>
      <c r="AH37" s="79"/>
      <c r="AI37" s="79"/>
      <c r="AJ37" s="79"/>
      <c r="AK37" s="86"/>
      <c r="AL37" s="79"/>
      <c r="AM37" s="79">
        <v>0</v>
      </c>
      <c r="AN37" s="79"/>
      <c r="AO37" s="79"/>
      <c r="AP37" s="79"/>
      <c r="AQ37" s="86"/>
      <c r="AR37" s="78"/>
      <c r="AS37" s="79">
        <v>0</v>
      </c>
      <c r="AT37" s="79"/>
      <c r="AU37" s="79"/>
      <c r="AV37" s="79"/>
      <c r="AW37" s="86"/>
      <c r="AX37" s="79"/>
      <c r="AY37" s="79">
        <v>0</v>
      </c>
      <c r="AZ37" s="79"/>
      <c r="BA37" s="79"/>
      <c r="BB37" s="79"/>
      <c r="BC37" s="86"/>
      <c r="BD37" s="79"/>
      <c r="BE37" s="79">
        <v>0</v>
      </c>
      <c r="BF37" s="79"/>
      <c r="BG37" s="79"/>
      <c r="BH37" s="88"/>
    </row>
    <row r="38" spans="2:60">
      <c r="B38" s="78"/>
      <c r="C38" s="79">
        <v>0</v>
      </c>
      <c r="D38" s="79"/>
      <c r="E38" s="79"/>
      <c r="F38" s="79"/>
      <c r="G38" s="80"/>
      <c r="H38" s="78"/>
      <c r="I38" s="79">
        <v>0</v>
      </c>
      <c r="J38" s="79"/>
      <c r="K38" s="79"/>
      <c r="L38" s="79"/>
      <c r="M38" s="80"/>
      <c r="N38" s="78"/>
      <c r="O38" s="79">
        <v>0</v>
      </c>
      <c r="P38" s="79"/>
      <c r="Q38" s="79"/>
      <c r="R38" s="79"/>
      <c r="S38" s="80"/>
      <c r="T38" s="78"/>
      <c r="U38" s="79">
        <v>0</v>
      </c>
      <c r="V38" s="79"/>
      <c r="W38" s="79"/>
      <c r="X38" s="79"/>
      <c r="Y38" s="86"/>
      <c r="Z38" s="78"/>
      <c r="AA38" s="79">
        <v>0</v>
      </c>
      <c r="AB38" s="79"/>
      <c r="AC38" s="79"/>
      <c r="AD38" s="79"/>
      <c r="AE38" s="80"/>
      <c r="AF38" s="78"/>
      <c r="AG38" s="79">
        <v>0</v>
      </c>
      <c r="AH38" s="79"/>
      <c r="AI38" s="79"/>
      <c r="AJ38" s="79"/>
      <c r="AK38" s="86"/>
      <c r="AL38" s="79"/>
      <c r="AM38" s="79">
        <v>0</v>
      </c>
      <c r="AN38" s="79"/>
      <c r="AO38" s="79"/>
      <c r="AP38" s="79"/>
      <c r="AQ38" s="86"/>
      <c r="AR38" s="78"/>
      <c r="AS38" s="79">
        <v>0</v>
      </c>
      <c r="AT38" s="79"/>
      <c r="AU38" s="79"/>
      <c r="AV38" s="79"/>
      <c r="AW38" s="86"/>
      <c r="AX38" s="79"/>
      <c r="AY38" s="79">
        <v>0</v>
      </c>
      <c r="AZ38" s="79"/>
      <c r="BA38" s="79"/>
      <c r="BB38" s="79"/>
      <c r="BC38" s="86"/>
      <c r="BD38" s="79"/>
      <c r="BE38" s="79">
        <v>0</v>
      </c>
      <c r="BF38" s="79"/>
      <c r="BG38" s="79"/>
      <c r="BH38" s="88"/>
    </row>
    <row r="39" spans="2:60">
      <c r="B39" s="78"/>
      <c r="C39" s="79">
        <v>0</v>
      </c>
      <c r="D39" s="79"/>
      <c r="E39" s="79"/>
      <c r="F39" s="79"/>
      <c r="G39" s="80"/>
      <c r="H39" s="78"/>
      <c r="I39" s="79">
        <v>0</v>
      </c>
      <c r="J39" s="79"/>
      <c r="K39" s="79"/>
      <c r="L39" s="79"/>
      <c r="M39" s="80"/>
      <c r="N39" s="78"/>
      <c r="O39" s="79">
        <v>0</v>
      </c>
      <c r="P39" s="79"/>
      <c r="Q39" s="79"/>
      <c r="R39" s="79"/>
      <c r="S39" s="80"/>
      <c r="T39" s="78"/>
      <c r="U39" s="79">
        <v>0</v>
      </c>
      <c r="V39" s="79"/>
      <c r="W39" s="79"/>
      <c r="X39" s="79"/>
      <c r="Y39" s="86"/>
      <c r="Z39" s="78"/>
      <c r="AA39" s="79">
        <v>0</v>
      </c>
      <c r="AB39" s="79"/>
      <c r="AC39" s="79"/>
      <c r="AD39" s="79"/>
      <c r="AE39" s="80"/>
      <c r="AF39" s="78"/>
      <c r="AG39" s="79">
        <v>0</v>
      </c>
      <c r="AH39" s="79"/>
      <c r="AI39" s="79"/>
      <c r="AJ39" s="79"/>
      <c r="AK39" s="86"/>
      <c r="AL39" s="79"/>
      <c r="AM39" s="79">
        <v>0</v>
      </c>
      <c r="AN39" s="79"/>
      <c r="AO39" s="79"/>
      <c r="AP39" s="79"/>
      <c r="AQ39" s="86"/>
      <c r="AR39" s="78"/>
      <c r="AS39" s="79">
        <v>0</v>
      </c>
      <c r="AT39" s="79"/>
      <c r="AU39" s="79"/>
      <c r="AV39" s="79"/>
      <c r="AW39" s="86"/>
      <c r="AX39" s="79"/>
      <c r="AY39" s="79">
        <v>0</v>
      </c>
      <c r="AZ39" s="79"/>
      <c r="BA39" s="79"/>
      <c r="BB39" s="79"/>
      <c r="BC39" s="86"/>
      <c r="BD39" s="79"/>
      <c r="BE39" s="79">
        <v>0</v>
      </c>
      <c r="BF39" s="79"/>
      <c r="BG39" s="79"/>
      <c r="BH39" s="88"/>
    </row>
    <row r="40" spans="2:60">
      <c r="B40" s="78"/>
      <c r="C40" s="79">
        <v>0</v>
      </c>
      <c r="D40" s="79"/>
      <c r="E40" s="79"/>
      <c r="F40" s="79"/>
      <c r="G40" s="80"/>
      <c r="H40" s="78"/>
      <c r="I40" s="79">
        <v>0</v>
      </c>
      <c r="J40" s="79"/>
      <c r="K40" s="79"/>
      <c r="L40" s="79"/>
      <c r="M40" s="80"/>
      <c r="N40" s="78"/>
      <c r="O40" s="79">
        <v>0</v>
      </c>
      <c r="P40" s="79"/>
      <c r="Q40" s="79"/>
      <c r="R40" s="79"/>
      <c r="S40" s="80"/>
      <c r="T40" s="78"/>
      <c r="U40" s="79">
        <v>0</v>
      </c>
      <c r="V40" s="79"/>
      <c r="W40" s="79"/>
      <c r="X40" s="79"/>
      <c r="Y40" s="86"/>
      <c r="Z40" s="78"/>
      <c r="AA40" s="79">
        <v>0</v>
      </c>
      <c r="AB40" s="79"/>
      <c r="AC40" s="79"/>
      <c r="AD40" s="79"/>
      <c r="AE40" s="80"/>
      <c r="AF40" s="78"/>
      <c r="AG40" s="79">
        <v>0</v>
      </c>
      <c r="AH40" s="79"/>
      <c r="AI40" s="79"/>
      <c r="AJ40" s="79"/>
      <c r="AK40" s="86"/>
      <c r="AL40" s="79"/>
      <c r="AM40" s="79">
        <v>0</v>
      </c>
      <c r="AN40" s="79"/>
      <c r="AO40" s="79"/>
      <c r="AP40" s="79"/>
      <c r="AQ40" s="86"/>
      <c r="AR40" s="78"/>
      <c r="AS40" s="79">
        <v>0</v>
      </c>
      <c r="AT40" s="79"/>
      <c r="AU40" s="79"/>
      <c r="AV40" s="79"/>
      <c r="AW40" s="86"/>
      <c r="AX40" s="79"/>
      <c r="AY40" s="79">
        <v>0</v>
      </c>
      <c r="AZ40" s="79"/>
      <c r="BA40" s="79"/>
      <c r="BB40" s="79"/>
      <c r="BC40" s="86"/>
      <c r="BD40" s="79"/>
      <c r="BE40" s="79">
        <v>0</v>
      </c>
      <c r="BF40" s="79"/>
      <c r="BG40" s="79"/>
      <c r="BH40" s="88"/>
    </row>
    <row r="41" spans="2:60">
      <c r="B41" s="78"/>
      <c r="C41" s="79">
        <v>0</v>
      </c>
      <c r="D41" s="79"/>
      <c r="E41" s="79"/>
      <c r="F41" s="79"/>
      <c r="G41" s="80"/>
      <c r="H41" s="78"/>
      <c r="I41" s="79">
        <v>0</v>
      </c>
      <c r="J41" s="79"/>
      <c r="K41" s="79"/>
      <c r="L41" s="79"/>
      <c r="M41" s="80"/>
      <c r="N41" s="78"/>
      <c r="O41" s="79">
        <v>0</v>
      </c>
      <c r="P41" s="79"/>
      <c r="Q41" s="79"/>
      <c r="R41" s="79"/>
      <c r="S41" s="80"/>
      <c r="T41" s="78"/>
      <c r="U41" s="79">
        <v>0</v>
      </c>
      <c r="V41" s="79"/>
      <c r="W41" s="79"/>
      <c r="X41" s="79"/>
      <c r="Y41" s="86"/>
      <c r="Z41" s="78"/>
      <c r="AA41" s="79">
        <v>0</v>
      </c>
      <c r="AB41" s="79"/>
      <c r="AC41" s="79"/>
      <c r="AD41" s="79"/>
      <c r="AE41" s="80"/>
      <c r="AF41" s="78"/>
      <c r="AG41" s="79">
        <v>0</v>
      </c>
      <c r="AH41" s="79"/>
      <c r="AI41" s="79"/>
      <c r="AJ41" s="79"/>
      <c r="AK41" s="86"/>
      <c r="AL41" s="79"/>
      <c r="AM41" s="79">
        <v>0</v>
      </c>
      <c r="AN41" s="79"/>
      <c r="AO41" s="79"/>
      <c r="AP41" s="79"/>
      <c r="AQ41" s="86"/>
      <c r="AR41" s="78"/>
      <c r="AS41" s="79">
        <v>0</v>
      </c>
      <c r="AT41" s="79"/>
      <c r="AU41" s="79"/>
      <c r="AV41" s="79"/>
      <c r="AW41" s="86"/>
      <c r="AX41" s="79"/>
      <c r="AY41" s="79">
        <v>0</v>
      </c>
      <c r="AZ41" s="79"/>
      <c r="BA41" s="79"/>
      <c r="BB41" s="79"/>
      <c r="BC41" s="86"/>
      <c r="BD41" s="79"/>
      <c r="BE41" s="79">
        <v>0</v>
      </c>
      <c r="BF41" s="79"/>
      <c r="BG41" s="79"/>
      <c r="BH41" s="88"/>
    </row>
    <row r="42" spans="2:60">
      <c r="B42" s="78"/>
      <c r="C42" s="79">
        <v>0</v>
      </c>
      <c r="D42" s="79"/>
      <c r="E42" s="79"/>
      <c r="F42" s="79"/>
      <c r="G42" s="80"/>
      <c r="H42" s="78"/>
      <c r="I42" s="79">
        <v>0</v>
      </c>
      <c r="J42" s="79"/>
      <c r="K42" s="79"/>
      <c r="L42" s="79"/>
      <c r="M42" s="80"/>
      <c r="N42" s="78"/>
      <c r="O42" s="79">
        <v>0</v>
      </c>
      <c r="P42" s="79"/>
      <c r="Q42" s="79"/>
      <c r="R42" s="79"/>
      <c r="S42" s="80"/>
      <c r="T42" s="78"/>
      <c r="U42" s="79">
        <v>0</v>
      </c>
      <c r="V42" s="79"/>
      <c r="W42" s="79"/>
      <c r="X42" s="79"/>
      <c r="Y42" s="86"/>
      <c r="Z42" s="78"/>
      <c r="AA42" s="79">
        <v>0</v>
      </c>
      <c r="AB42" s="79"/>
      <c r="AC42" s="79"/>
      <c r="AD42" s="79"/>
      <c r="AE42" s="80"/>
      <c r="AF42" s="78"/>
      <c r="AG42" s="79">
        <v>0</v>
      </c>
      <c r="AH42" s="79"/>
      <c r="AI42" s="79"/>
      <c r="AJ42" s="79"/>
      <c r="AK42" s="86"/>
      <c r="AL42" s="79"/>
      <c r="AM42" s="79">
        <v>0</v>
      </c>
      <c r="AN42" s="79"/>
      <c r="AO42" s="79"/>
      <c r="AP42" s="79"/>
      <c r="AQ42" s="86"/>
      <c r="AR42" s="78"/>
      <c r="AS42" s="79">
        <v>0</v>
      </c>
      <c r="AT42" s="79"/>
      <c r="AU42" s="79"/>
      <c r="AV42" s="79"/>
      <c r="AW42" s="86"/>
      <c r="AX42" s="79"/>
      <c r="AY42" s="79">
        <v>0</v>
      </c>
      <c r="AZ42" s="79"/>
      <c r="BA42" s="79"/>
      <c r="BB42" s="79"/>
      <c r="BC42" s="86"/>
      <c r="BD42" s="79"/>
      <c r="BE42" s="79">
        <v>0</v>
      </c>
      <c r="BF42" s="79"/>
      <c r="BG42" s="79"/>
      <c r="BH42" s="88"/>
    </row>
    <row r="43" spans="2:60">
      <c r="B43" s="78"/>
      <c r="C43" s="79">
        <v>0</v>
      </c>
      <c r="D43" s="79"/>
      <c r="E43" s="79"/>
      <c r="F43" s="79"/>
      <c r="G43" s="80"/>
      <c r="H43" s="78"/>
      <c r="I43" s="79">
        <v>0</v>
      </c>
      <c r="J43" s="79"/>
      <c r="K43" s="79"/>
      <c r="L43" s="79"/>
      <c r="M43" s="80"/>
      <c r="N43" s="78"/>
      <c r="O43" s="79">
        <v>0</v>
      </c>
      <c r="P43" s="79"/>
      <c r="Q43" s="79"/>
      <c r="R43" s="79"/>
      <c r="S43" s="80"/>
      <c r="T43" s="78"/>
      <c r="U43" s="79">
        <v>0</v>
      </c>
      <c r="V43" s="79"/>
      <c r="W43" s="79"/>
      <c r="X43" s="79"/>
      <c r="Y43" s="86"/>
      <c r="Z43" s="78"/>
      <c r="AA43" s="79">
        <v>0</v>
      </c>
      <c r="AB43" s="79"/>
      <c r="AC43" s="79"/>
      <c r="AD43" s="79"/>
      <c r="AE43" s="80"/>
      <c r="AF43" s="78"/>
      <c r="AG43" s="79">
        <v>0</v>
      </c>
      <c r="AH43" s="79"/>
      <c r="AI43" s="79"/>
      <c r="AJ43" s="79"/>
      <c r="AK43" s="86"/>
      <c r="AL43" s="79"/>
      <c r="AM43" s="79">
        <v>0</v>
      </c>
      <c r="AN43" s="79"/>
      <c r="AO43" s="79"/>
      <c r="AP43" s="79"/>
      <c r="AQ43" s="86"/>
      <c r="AR43" s="78"/>
      <c r="AS43" s="79">
        <v>0</v>
      </c>
      <c r="AT43" s="79"/>
      <c r="AU43" s="79"/>
      <c r="AV43" s="79"/>
      <c r="AW43" s="86"/>
      <c r="AX43" s="79"/>
      <c r="AY43" s="79">
        <v>0</v>
      </c>
      <c r="AZ43" s="79"/>
      <c r="BA43" s="79"/>
      <c r="BB43" s="79"/>
      <c r="BC43" s="86"/>
      <c r="BD43" s="79"/>
      <c r="BE43" s="79">
        <v>0</v>
      </c>
      <c r="BF43" s="79"/>
      <c r="BG43" s="79"/>
      <c r="BH43" s="88"/>
    </row>
    <row r="44" spans="2:60">
      <c r="B44" s="78"/>
      <c r="C44" s="79">
        <v>0</v>
      </c>
      <c r="D44" s="79"/>
      <c r="E44" s="79"/>
      <c r="F44" s="79"/>
      <c r="G44" s="80"/>
      <c r="H44" s="78"/>
      <c r="I44" s="79">
        <v>0</v>
      </c>
      <c r="J44" s="79"/>
      <c r="K44" s="79"/>
      <c r="L44" s="79"/>
      <c r="M44" s="80"/>
      <c r="N44" s="78"/>
      <c r="O44" s="79">
        <v>0</v>
      </c>
      <c r="P44" s="79"/>
      <c r="Q44" s="79"/>
      <c r="R44" s="79"/>
      <c r="S44" s="80"/>
      <c r="T44" s="78"/>
      <c r="U44" s="79">
        <v>0</v>
      </c>
      <c r="V44" s="79"/>
      <c r="W44" s="79"/>
      <c r="X44" s="79"/>
      <c r="Y44" s="86"/>
      <c r="Z44" s="78"/>
      <c r="AA44" s="79">
        <v>0</v>
      </c>
      <c r="AB44" s="79"/>
      <c r="AC44" s="79"/>
      <c r="AD44" s="79"/>
      <c r="AE44" s="80"/>
      <c r="AF44" s="78"/>
      <c r="AG44" s="79">
        <v>0</v>
      </c>
      <c r="AH44" s="79"/>
      <c r="AI44" s="79"/>
      <c r="AJ44" s="79"/>
      <c r="AK44" s="86"/>
      <c r="AL44" s="79"/>
      <c r="AM44" s="79">
        <v>0</v>
      </c>
      <c r="AN44" s="79"/>
      <c r="AO44" s="79"/>
      <c r="AP44" s="79"/>
      <c r="AQ44" s="86"/>
      <c r="AR44" s="78"/>
      <c r="AS44" s="79">
        <v>0</v>
      </c>
      <c r="AT44" s="79"/>
      <c r="AU44" s="79"/>
      <c r="AV44" s="79"/>
      <c r="AW44" s="86"/>
      <c r="AX44" s="79"/>
      <c r="AY44" s="79">
        <v>0</v>
      </c>
      <c r="AZ44" s="79"/>
      <c r="BA44" s="79"/>
      <c r="BB44" s="79"/>
      <c r="BC44" s="86"/>
      <c r="BD44" s="79"/>
      <c r="BE44" s="79">
        <v>0</v>
      </c>
      <c r="BF44" s="79"/>
      <c r="BG44" s="79"/>
      <c r="BH44" s="88"/>
    </row>
    <row r="45" spans="2:60">
      <c r="B45" s="78"/>
      <c r="C45" s="79">
        <v>0</v>
      </c>
      <c r="D45" s="79"/>
      <c r="E45" s="79"/>
      <c r="F45" s="79"/>
      <c r="G45" s="80"/>
      <c r="H45" s="78"/>
      <c r="I45" s="79">
        <v>0</v>
      </c>
      <c r="J45" s="79"/>
      <c r="K45" s="79"/>
      <c r="L45" s="79"/>
      <c r="M45" s="80"/>
      <c r="N45" s="78"/>
      <c r="O45" s="79">
        <v>0</v>
      </c>
      <c r="P45" s="79"/>
      <c r="Q45" s="79"/>
      <c r="R45" s="79"/>
      <c r="S45" s="80"/>
      <c r="T45" s="78"/>
      <c r="U45" s="79">
        <v>0</v>
      </c>
      <c r="V45" s="79"/>
      <c r="W45" s="79"/>
      <c r="X45" s="79"/>
      <c r="Y45" s="86"/>
      <c r="Z45" s="78"/>
      <c r="AA45" s="79">
        <v>0</v>
      </c>
      <c r="AB45" s="79"/>
      <c r="AC45" s="79"/>
      <c r="AD45" s="79"/>
      <c r="AE45" s="80"/>
      <c r="AF45" s="78"/>
      <c r="AG45" s="79">
        <v>0</v>
      </c>
      <c r="AH45" s="79"/>
      <c r="AI45" s="79"/>
      <c r="AJ45" s="79"/>
      <c r="AK45" s="86"/>
      <c r="AL45" s="79"/>
      <c r="AM45" s="79">
        <v>0</v>
      </c>
      <c r="AN45" s="79"/>
      <c r="AO45" s="79"/>
      <c r="AP45" s="79"/>
      <c r="AQ45" s="86"/>
      <c r="AR45" s="78"/>
      <c r="AS45" s="79">
        <v>0</v>
      </c>
      <c r="AT45" s="79"/>
      <c r="AU45" s="79"/>
      <c r="AV45" s="79"/>
      <c r="AW45" s="86"/>
      <c r="AX45" s="79"/>
      <c r="AY45" s="79">
        <v>0</v>
      </c>
      <c r="AZ45" s="79"/>
      <c r="BA45" s="79"/>
      <c r="BB45" s="79"/>
      <c r="BC45" s="86"/>
      <c r="BD45" s="79"/>
      <c r="BE45" s="79">
        <v>0</v>
      </c>
      <c r="BF45" s="79"/>
      <c r="BG45" s="79"/>
      <c r="BH45" s="88"/>
    </row>
    <row r="46" spans="2:60">
      <c r="B46" s="78"/>
      <c r="C46" s="79">
        <v>0</v>
      </c>
      <c r="D46" s="79"/>
      <c r="E46" s="79"/>
      <c r="F46" s="79"/>
      <c r="G46" s="80"/>
      <c r="H46" s="78"/>
      <c r="I46" s="79">
        <v>0</v>
      </c>
      <c r="J46" s="79"/>
      <c r="K46" s="79"/>
      <c r="L46" s="79"/>
      <c r="M46" s="80"/>
      <c r="N46" s="78"/>
      <c r="O46" s="79">
        <v>0</v>
      </c>
      <c r="P46" s="79"/>
      <c r="Q46" s="79"/>
      <c r="R46" s="79"/>
      <c r="S46" s="80"/>
      <c r="T46" s="78"/>
      <c r="U46" s="79">
        <v>0</v>
      </c>
      <c r="V46" s="79"/>
      <c r="W46" s="79"/>
      <c r="X46" s="79"/>
      <c r="Y46" s="86"/>
      <c r="Z46" s="78"/>
      <c r="AA46" s="79">
        <v>0</v>
      </c>
      <c r="AB46" s="79"/>
      <c r="AC46" s="79"/>
      <c r="AD46" s="79"/>
      <c r="AE46" s="80"/>
      <c r="AF46" s="78"/>
      <c r="AG46" s="79">
        <v>0</v>
      </c>
      <c r="AH46" s="79"/>
      <c r="AI46" s="79"/>
      <c r="AJ46" s="79"/>
      <c r="AK46" s="86"/>
      <c r="AL46" s="79"/>
      <c r="AM46" s="79">
        <v>0</v>
      </c>
      <c r="AN46" s="79"/>
      <c r="AO46" s="79"/>
      <c r="AP46" s="79"/>
      <c r="AQ46" s="86"/>
      <c r="AR46" s="78"/>
      <c r="AS46" s="79">
        <v>0</v>
      </c>
      <c r="AT46" s="79"/>
      <c r="AU46" s="79"/>
      <c r="AV46" s="79"/>
      <c r="AW46" s="86"/>
      <c r="AX46" s="79"/>
      <c r="AY46" s="79">
        <v>0</v>
      </c>
      <c r="AZ46" s="79"/>
      <c r="BA46" s="79"/>
      <c r="BB46" s="79"/>
      <c r="BC46" s="86"/>
      <c r="BD46" s="79"/>
      <c r="BE46" s="79">
        <v>0</v>
      </c>
      <c r="BF46" s="79"/>
      <c r="BG46" s="79"/>
      <c r="BH46" s="88"/>
    </row>
    <row r="47" spans="2:60">
      <c r="B47" s="78"/>
      <c r="C47" s="79">
        <v>0</v>
      </c>
      <c r="D47" s="79"/>
      <c r="E47" s="79"/>
      <c r="F47" s="79"/>
      <c r="G47" s="80"/>
      <c r="H47" s="78"/>
      <c r="I47" s="79">
        <v>0</v>
      </c>
      <c r="J47" s="79"/>
      <c r="K47" s="79"/>
      <c r="L47" s="79"/>
      <c r="M47" s="80"/>
      <c r="N47" s="78"/>
      <c r="O47" s="79">
        <v>0</v>
      </c>
      <c r="P47" s="79"/>
      <c r="Q47" s="79"/>
      <c r="R47" s="79"/>
      <c r="S47" s="80"/>
      <c r="T47" s="78"/>
      <c r="U47" s="79">
        <v>0</v>
      </c>
      <c r="V47" s="79"/>
      <c r="W47" s="79"/>
      <c r="X47" s="79"/>
      <c r="Y47" s="86"/>
      <c r="Z47" s="78"/>
      <c r="AA47" s="79">
        <v>0</v>
      </c>
      <c r="AB47" s="79"/>
      <c r="AC47" s="79"/>
      <c r="AD47" s="79"/>
      <c r="AE47" s="80"/>
      <c r="AF47" s="78"/>
      <c r="AG47" s="79">
        <v>0</v>
      </c>
      <c r="AH47" s="79"/>
      <c r="AI47" s="79"/>
      <c r="AJ47" s="79"/>
      <c r="AK47" s="86"/>
      <c r="AL47" s="79"/>
      <c r="AM47" s="79">
        <v>0</v>
      </c>
      <c r="AN47" s="79"/>
      <c r="AO47" s="79"/>
      <c r="AP47" s="79"/>
      <c r="AQ47" s="86"/>
      <c r="AR47" s="78"/>
      <c r="AS47" s="79">
        <v>0</v>
      </c>
      <c r="AT47" s="79"/>
      <c r="AU47" s="79"/>
      <c r="AV47" s="79"/>
      <c r="AW47" s="86"/>
      <c r="AX47" s="79"/>
      <c r="AY47" s="79">
        <v>0</v>
      </c>
      <c r="AZ47" s="79"/>
      <c r="BA47" s="79"/>
      <c r="BB47" s="79"/>
      <c r="BC47" s="86"/>
      <c r="BD47" s="79"/>
      <c r="BE47" s="79">
        <v>0</v>
      </c>
      <c r="BF47" s="79"/>
      <c r="BG47" s="79"/>
      <c r="BH47" s="88"/>
    </row>
    <row r="48" spans="2:60">
      <c r="B48" s="78"/>
      <c r="C48" s="79">
        <v>0</v>
      </c>
      <c r="D48" s="79"/>
      <c r="E48" s="79"/>
      <c r="F48" s="79"/>
      <c r="G48" s="80"/>
      <c r="H48" s="78"/>
      <c r="I48" s="79">
        <v>0</v>
      </c>
      <c r="J48" s="79"/>
      <c r="K48" s="79"/>
      <c r="L48" s="79"/>
      <c r="M48" s="80"/>
      <c r="N48" s="78"/>
      <c r="O48" s="79">
        <v>0</v>
      </c>
      <c r="P48" s="79"/>
      <c r="Q48" s="79"/>
      <c r="R48" s="79"/>
      <c r="S48" s="80"/>
      <c r="T48" s="78"/>
      <c r="U48" s="79">
        <v>0</v>
      </c>
      <c r="V48" s="79"/>
      <c r="W48" s="79"/>
      <c r="X48" s="79"/>
      <c r="Y48" s="86"/>
      <c r="Z48" s="78"/>
      <c r="AA48" s="79">
        <v>0</v>
      </c>
      <c r="AB48" s="79"/>
      <c r="AC48" s="79"/>
      <c r="AD48" s="79"/>
      <c r="AE48" s="80"/>
      <c r="AF48" s="78"/>
      <c r="AG48" s="79">
        <v>0</v>
      </c>
      <c r="AH48" s="79"/>
      <c r="AI48" s="79"/>
      <c r="AJ48" s="79"/>
      <c r="AK48" s="86"/>
      <c r="AL48" s="79"/>
      <c r="AM48" s="79">
        <v>0</v>
      </c>
      <c r="AN48" s="79"/>
      <c r="AO48" s="79"/>
      <c r="AP48" s="79"/>
      <c r="AQ48" s="86"/>
      <c r="AR48" s="78"/>
      <c r="AS48" s="79">
        <v>0</v>
      </c>
      <c r="AT48" s="79"/>
      <c r="AU48" s="79"/>
      <c r="AV48" s="79"/>
      <c r="AW48" s="86"/>
      <c r="AX48" s="79"/>
      <c r="AY48" s="79">
        <v>0</v>
      </c>
      <c r="AZ48" s="79"/>
      <c r="BA48" s="79"/>
      <c r="BB48" s="79"/>
      <c r="BC48" s="86"/>
      <c r="BD48" s="79"/>
      <c r="BE48" s="79">
        <v>0</v>
      </c>
      <c r="BF48" s="79"/>
      <c r="BG48" s="79"/>
      <c r="BH48" s="88"/>
    </row>
    <row r="49" spans="2:88">
      <c r="B49" s="78"/>
      <c r="C49" s="79">
        <v>0</v>
      </c>
      <c r="D49" s="79"/>
      <c r="E49" s="79"/>
      <c r="F49" s="79"/>
      <c r="G49" s="80"/>
      <c r="H49" s="78"/>
      <c r="I49" s="79">
        <v>0</v>
      </c>
      <c r="J49" s="79"/>
      <c r="K49" s="79"/>
      <c r="L49" s="79"/>
      <c r="M49" s="80"/>
      <c r="N49" s="78"/>
      <c r="O49" s="79">
        <v>0</v>
      </c>
      <c r="P49" s="79"/>
      <c r="Q49" s="79"/>
      <c r="R49" s="79"/>
      <c r="S49" s="80"/>
      <c r="T49" s="78"/>
      <c r="U49" s="79">
        <v>0</v>
      </c>
      <c r="V49" s="79"/>
      <c r="W49" s="79"/>
      <c r="X49" s="79"/>
      <c r="Y49" s="86"/>
      <c r="Z49" s="78"/>
      <c r="AA49" s="79">
        <v>0</v>
      </c>
      <c r="AB49" s="79"/>
      <c r="AC49" s="79"/>
      <c r="AD49" s="79"/>
      <c r="AE49" s="80"/>
      <c r="AF49" s="78"/>
      <c r="AG49" s="79">
        <v>0</v>
      </c>
      <c r="AH49" s="79"/>
      <c r="AI49" s="79"/>
      <c r="AJ49" s="79"/>
      <c r="AK49" s="86"/>
      <c r="AL49" s="79"/>
      <c r="AM49" s="79">
        <v>0</v>
      </c>
      <c r="AN49" s="79"/>
      <c r="AO49" s="79"/>
      <c r="AP49" s="79"/>
      <c r="AQ49" s="86"/>
      <c r="AR49" s="78"/>
      <c r="AS49" s="79">
        <v>0</v>
      </c>
      <c r="AT49" s="79"/>
      <c r="AU49" s="79"/>
      <c r="AV49" s="79"/>
      <c r="AW49" s="86"/>
      <c r="AX49" s="79"/>
      <c r="AY49" s="79">
        <v>0</v>
      </c>
      <c r="AZ49" s="79"/>
      <c r="BA49" s="79"/>
      <c r="BB49" s="79"/>
      <c r="BC49" s="86"/>
      <c r="BD49" s="79"/>
      <c r="BE49" s="79">
        <v>0</v>
      </c>
      <c r="BF49" s="79"/>
      <c r="BG49" s="79"/>
      <c r="BH49" s="88"/>
    </row>
    <row r="50" spans="2:88">
      <c r="B50" s="78"/>
      <c r="C50" s="79">
        <v>0</v>
      </c>
      <c r="D50" s="79"/>
      <c r="E50" s="79"/>
      <c r="F50" s="79"/>
      <c r="G50" s="80"/>
      <c r="H50" s="78"/>
      <c r="I50" s="79">
        <v>0</v>
      </c>
      <c r="J50" s="79"/>
      <c r="K50" s="79"/>
      <c r="L50" s="79"/>
      <c r="M50" s="80"/>
      <c r="N50" s="78"/>
      <c r="O50" s="79">
        <v>0</v>
      </c>
      <c r="P50" s="79"/>
      <c r="Q50" s="79"/>
      <c r="R50" s="79"/>
      <c r="S50" s="80"/>
      <c r="T50" s="78"/>
      <c r="U50" s="79">
        <v>0</v>
      </c>
      <c r="V50" s="79"/>
      <c r="W50" s="79"/>
      <c r="X50" s="79"/>
      <c r="Y50" s="86"/>
      <c r="Z50" s="78"/>
      <c r="AA50" s="79">
        <v>0</v>
      </c>
      <c r="AB50" s="79"/>
      <c r="AC50" s="79"/>
      <c r="AD50" s="79"/>
      <c r="AE50" s="80"/>
      <c r="AF50" s="78"/>
      <c r="AG50" s="79">
        <v>0</v>
      </c>
      <c r="AH50" s="79"/>
      <c r="AI50" s="79"/>
      <c r="AJ50" s="79"/>
      <c r="AK50" s="86"/>
      <c r="AL50" s="79"/>
      <c r="AM50" s="79">
        <v>0</v>
      </c>
      <c r="AN50" s="79"/>
      <c r="AO50" s="79"/>
      <c r="AP50" s="79"/>
      <c r="AQ50" s="86"/>
      <c r="AR50" s="78"/>
      <c r="AS50" s="79">
        <v>0</v>
      </c>
      <c r="AT50" s="79"/>
      <c r="AU50" s="79"/>
      <c r="AV50" s="79"/>
      <c r="AW50" s="86"/>
      <c r="AX50" s="79"/>
      <c r="AY50" s="79">
        <v>0</v>
      </c>
      <c r="AZ50" s="79"/>
      <c r="BA50" s="79"/>
      <c r="BB50" s="79"/>
      <c r="BC50" s="86"/>
      <c r="BD50" s="79"/>
      <c r="BE50" s="79">
        <v>0</v>
      </c>
      <c r="BF50" s="79"/>
      <c r="BG50" s="79"/>
      <c r="BH50" s="88"/>
    </row>
    <row r="51" spans="2:88">
      <c r="B51" s="78"/>
      <c r="C51" s="79">
        <v>0</v>
      </c>
      <c r="D51" s="79"/>
      <c r="E51" s="79"/>
      <c r="F51" s="79"/>
      <c r="G51" s="80"/>
      <c r="H51" s="78"/>
      <c r="I51" s="79">
        <v>0</v>
      </c>
      <c r="J51" s="79"/>
      <c r="K51" s="79"/>
      <c r="L51" s="79"/>
      <c r="M51" s="80"/>
      <c r="N51" s="78"/>
      <c r="O51" s="79">
        <v>0</v>
      </c>
      <c r="P51" s="79"/>
      <c r="Q51" s="79"/>
      <c r="R51" s="79"/>
      <c r="S51" s="80"/>
      <c r="T51" s="78"/>
      <c r="U51" s="79">
        <v>0</v>
      </c>
      <c r="V51" s="79"/>
      <c r="W51" s="79"/>
      <c r="X51" s="79"/>
      <c r="Y51" s="86"/>
      <c r="Z51" s="78"/>
      <c r="AA51" s="79">
        <v>0</v>
      </c>
      <c r="AB51" s="79"/>
      <c r="AC51" s="79"/>
      <c r="AD51" s="79"/>
      <c r="AE51" s="80"/>
      <c r="AF51" s="78"/>
      <c r="AG51" s="79">
        <v>0</v>
      </c>
      <c r="AH51" s="79"/>
      <c r="AI51" s="79"/>
      <c r="AJ51" s="79"/>
      <c r="AK51" s="86"/>
      <c r="AL51" s="79"/>
      <c r="AM51" s="79">
        <v>0</v>
      </c>
      <c r="AN51" s="79"/>
      <c r="AO51" s="79"/>
      <c r="AP51" s="79"/>
      <c r="AQ51" s="86"/>
      <c r="AR51" s="78"/>
      <c r="AS51" s="79">
        <v>0</v>
      </c>
      <c r="AT51" s="79"/>
      <c r="AU51" s="79"/>
      <c r="AV51" s="79"/>
      <c r="AW51" s="86"/>
      <c r="AX51" s="79"/>
      <c r="AY51" s="79">
        <v>0</v>
      </c>
      <c r="AZ51" s="79"/>
      <c r="BA51" s="79"/>
      <c r="BB51" s="79"/>
      <c r="BC51" s="86"/>
      <c r="BD51" s="79"/>
      <c r="BE51" s="79">
        <v>0</v>
      </c>
      <c r="BF51" s="79"/>
      <c r="BG51" s="79"/>
      <c r="BH51" s="88"/>
    </row>
    <row r="52" spans="2:88">
      <c r="B52" s="81"/>
      <c r="C52" s="82">
        <v>0</v>
      </c>
      <c r="D52" s="82"/>
      <c r="E52" s="82"/>
      <c r="F52" s="82"/>
      <c r="G52" s="83"/>
      <c r="H52" s="81"/>
      <c r="I52" s="82">
        <v>0</v>
      </c>
      <c r="J52" s="82"/>
      <c r="K52" s="82"/>
      <c r="L52" s="82"/>
      <c r="M52" s="83"/>
      <c r="N52" s="81"/>
      <c r="O52" s="82">
        <v>0</v>
      </c>
      <c r="P52" s="82"/>
      <c r="Q52" s="82"/>
      <c r="R52" s="82"/>
      <c r="S52" s="83"/>
      <c r="T52" s="81"/>
      <c r="U52" s="82">
        <v>0</v>
      </c>
      <c r="V52" s="82"/>
      <c r="W52" s="82"/>
      <c r="X52" s="82"/>
      <c r="Y52" s="87"/>
      <c r="Z52" s="81"/>
      <c r="AA52" s="82">
        <v>0</v>
      </c>
      <c r="AB52" s="82"/>
      <c r="AC52" s="82"/>
      <c r="AD52" s="82"/>
      <c r="AE52" s="83"/>
      <c r="AF52" s="81"/>
      <c r="AG52" s="82">
        <v>0</v>
      </c>
      <c r="AH52" s="82"/>
      <c r="AI52" s="82"/>
      <c r="AJ52" s="82"/>
      <c r="AK52" s="87"/>
      <c r="AL52" s="82"/>
      <c r="AM52" s="82">
        <v>0</v>
      </c>
      <c r="AN52" s="82"/>
      <c r="AO52" s="82"/>
      <c r="AP52" s="82"/>
      <c r="AQ52" s="87"/>
      <c r="AR52" s="81"/>
      <c r="AS52" s="82">
        <v>0</v>
      </c>
      <c r="AT52" s="82"/>
      <c r="AU52" s="82"/>
      <c r="AV52" s="82"/>
      <c r="AW52" s="87"/>
      <c r="AX52" s="82"/>
      <c r="AY52" s="82">
        <v>0</v>
      </c>
      <c r="AZ52" s="82"/>
      <c r="BA52" s="82"/>
      <c r="BB52" s="82"/>
      <c r="BC52" s="87"/>
      <c r="BD52" s="82"/>
      <c r="BE52" s="82">
        <v>0</v>
      </c>
      <c r="BF52" s="82"/>
      <c r="BG52" s="82"/>
      <c r="BH52" s="89"/>
    </row>
    <row r="54" spans="2:88" ht="195.75" customHeight="1">
      <c r="B54" s="84" t="str">
        <f>IF(F28="N","N",CONCATENATE(B1,"(Deed No.-  ",_xlfn.TEXTJOIN(", ",TRUE,_xlfn.ANCHORARRAY(F28)),"). "))</f>
        <v>N</v>
      </c>
      <c r="C54" s="84"/>
      <c r="D54" s="84"/>
      <c r="E54" s="84"/>
      <c r="F54" s="84"/>
      <c r="G54" s="84"/>
      <c r="H54" s="84" t="str">
        <f>IF(L28="N","N",CONCATENATE(H1,"(Owner-  ",_xlfn.TEXTJOIN(", ",TRUE,_xlfn.ANCHORARRAY(L28)),"). "))</f>
        <v>Discrepancy noted between the Agreement and the Title Deed: The owner mentioned in the Agreement is not reflected in the Title Deed.(Owner-  Jayan, Jayan).</v>
      </c>
      <c r="I54" s="84"/>
      <c r="J54" s="84"/>
      <c r="K54" s="84"/>
      <c r="L54" s="84"/>
      <c r="M54" s="84"/>
      <c r="N54" s="84" t="str">
        <f>IF(R28="N","N",CONCATENATE(N1,"(Owner-  ",_xlfn.TEXTJOIN(", ",TRUE,_xlfn.ANCHORARRAY(R28)),"). "))</f>
        <v>N</v>
      </c>
      <c r="O54" s="84"/>
      <c r="P54" s="84"/>
      <c r="Q54" s="84"/>
      <c r="R54" s="84"/>
      <c r="S54" s="84"/>
      <c r="T54" s="84" t="str">
        <f>IF(X28="N","N",CONCATENATE(T1,"(Owner-  ",_xlfn.TEXTJOIN(", ",TRUE,_xlfn.ANCHORARRAY(X28)),"). "))</f>
        <v>Discrepancy noted between the Land tax receipt and the Title Deed: The owner mentioned in the Land tax receipt is not reflected in the Title Deed.(Owner-  Jayan).</v>
      </c>
      <c r="U54" s="84"/>
      <c r="V54" s="84"/>
      <c r="W54" s="84"/>
      <c r="X54" s="84"/>
      <c r="Z54" s="84" t="str">
        <f>IF(AD28="N","N",CONCATENATE(Z1,"(Owner-  ",_xlfn.TEXTJOIN(", ",TRUE,_xlfn.ANCHORARRAY(AD28)),"). "))</f>
        <v>N</v>
      </c>
      <c r="AA54" s="84"/>
      <c r="AB54" s="84"/>
      <c r="AC54" s="84"/>
      <c r="AD54" s="84"/>
      <c r="AE54" s="84"/>
      <c r="AF54" s="84" t="str">
        <f>IF(AJ28="N","N",CONCATENATE(AF1,"(Owner-  ",_xlfn.TEXTJOIN(", ",TRUE,_xlfn.ANCHORARRAY(AJ28)),"). "))</f>
        <v>N</v>
      </c>
      <c r="AG54" s="84"/>
      <c r="AH54" s="84"/>
      <c r="AI54" s="84"/>
      <c r="AJ54" s="84"/>
      <c r="AL54" s="84" t="str">
        <f>IF(AP28="N","N",CONCATENATE(AL1,"(Owner-  ",_xlfn.TEXTJOIN(", ",TRUE,_xlfn.ANCHORARRAY(AP28)),"). "))</f>
        <v>N</v>
      </c>
      <c r="AM54" s="84"/>
      <c r="AN54" s="84"/>
      <c r="AO54" s="84"/>
      <c r="AP54" s="84"/>
      <c r="AR54" s="84" t="str">
        <f>IF(AV28="N","N",CONCATENATE(AR1,"(Owner-  ",_xlfn.TEXTJOIN(", ",TRUE,_xlfn.ANCHORARRAY(AV28)),"). "))</f>
        <v>N</v>
      </c>
      <c r="AS54" s="84"/>
      <c r="AT54" s="84"/>
      <c r="AU54" s="84"/>
      <c r="AV54" s="84"/>
      <c r="AX54" s="84" t="str">
        <f>IF(BB28="N","N",CONCATENATE(AX1,"(Owner-  ",_xlfn.TEXTJOIN(", ",TRUE,_xlfn.ANCHORARRAY(BB28)),"). "))</f>
        <v>N</v>
      </c>
      <c r="AY54" s="84"/>
      <c r="AZ54" s="84"/>
      <c r="BA54" s="84"/>
      <c r="BB54" s="84"/>
      <c r="BD54" s="84" t="str">
        <f>IF(BH28="N","N",CONCATENATE(BD1,"(Owner-  ",_xlfn.TEXTJOIN(", ",TRUE,_xlfn.ANCHORARRAY(BH28)),"). "))</f>
        <v>N</v>
      </c>
      <c r="BE54" s="84"/>
      <c r="BF54" s="84"/>
      <c r="BG54" s="84"/>
      <c r="BH54" s="84"/>
      <c r="BK54" s="90" t="str" cm="1">
        <f t="array" ref="BK54:BN54">_xlfn.UNIQUE(H54:BI54,TRUE,FALSE)</f>
        <v>Discrepancy noted between the Agreement and the Title Deed: The owner mentioned in the Agreement is not reflected in the Title Deed.(Owner-  Jayan, Jayan).</v>
      </c>
      <c r="BL54" s="91">
        <v>0</v>
      </c>
      <c r="BM54" s="91" t="str">
        <v>N</v>
      </c>
      <c r="BN54" s="91" t="str">
        <v>Discrepancy noted between the Land tax receipt and the Title Deed: The owner mentioned in the Land tax receipt is not reflected in the Title Deed.(Owner-  Jayan).</v>
      </c>
      <c r="BO54" s="91"/>
      <c r="BP54" s="91"/>
      <c r="BQ54" s="91"/>
      <c r="BR54" s="91"/>
      <c r="BS54" s="91"/>
      <c r="BT54" s="91"/>
      <c r="BU54" s="91"/>
      <c r="BV54" s="91"/>
      <c r="BW54" s="91"/>
      <c r="BX54" s="91"/>
      <c r="BY54" s="91"/>
      <c r="BZ54" s="91"/>
      <c r="CA54" s="91"/>
      <c r="CB54" s="91"/>
      <c r="CC54" s="91"/>
      <c r="CD54" s="91"/>
      <c r="CE54" s="91"/>
      <c r="CF54" s="91"/>
      <c r="CG54" s="91"/>
      <c r="CH54" s="91"/>
      <c r="CI54" s="91"/>
      <c r="CJ54" s="96"/>
    </row>
    <row r="55" spans="2:88" ht="44.25" customHeight="1">
      <c r="B55" s="84"/>
      <c r="C55" s="84"/>
      <c r="D55" s="84"/>
      <c r="E55" s="84"/>
      <c r="F55" s="84"/>
      <c r="G55" s="84"/>
      <c r="H55" s="84"/>
      <c r="I55" s="84"/>
      <c r="J55" s="84"/>
      <c r="K55" s="84"/>
      <c r="L55" s="84"/>
      <c r="M55" s="84"/>
      <c r="N55" s="84"/>
      <c r="O55" s="84"/>
      <c r="P55" s="84"/>
      <c r="Q55" s="84"/>
      <c r="R55" s="84"/>
      <c r="S55" s="84"/>
      <c r="T55" s="84"/>
      <c r="U55" s="84"/>
      <c r="V55" s="84"/>
      <c r="W55" s="84"/>
      <c r="X55" s="84"/>
      <c r="Z55" s="84"/>
      <c r="AA55" s="84"/>
      <c r="AB55" s="84"/>
      <c r="AC55" s="84"/>
      <c r="AD55" s="84"/>
      <c r="AE55" s="84"/>
      <c r="AF55" s="84"/>
      <c r="AG55" s="84"/>
      <c r="AH55" s="84"/>
      <c r="AI55" s="84"/>
      <c r="AJ55" s="84"/>
      <c r="AL55" s="84"/>
      <c r="AM55" s="84"/>
      <c r="AN55" s="84"/>
      <c r="AO55" s="84"/>
      <c r="AP55" s="84"/>
      <c r="AR55" s="84"/>
      <c r="AS55" s="84"/>
      <c r="AT55" s="84"/>
      <c r="AU55" s="84"/>
      <c r="AV55" s="84"/>
      <c r="AX55" s="84"/>
      <c r="AY55" s="84"/>
      <c r="AZ55" s="84"/>
      <c r="BA55" s="84"/>
      <c r="BB55" s="84"/>
      <c r="BD55" s="84"/>
      <c r="BE55" s="84"/>
      <c r="BF55" s="84"/>
      <c r="BG55" s="84"/>
      <c r="BH55" s="84"/>
      <c r="BK55" s="92"/>
      <c r="BL55" s="93"/>
      <c r="BM55" s="93"/>
      <c r="BN55" s="93"/>
      <c r="BO55" s="93"/>
      <c r="BP55" s="93"/>
      <c r="BQ55" s="93"/>
      <c r="BR55" s="93"/>
      <c r="BS55" s="93"/>
      <c r="BT55" s="93"/>
      <c r="BU55" s="93"/>
      <c r="BV55" s="93"/>
      <c r="BW55" s="93"/>
      <c r="BX55" s="93"/>
      <c r="BY55" s="93"/>
      <c r="BZ55" s="93"/>
      <c r="CA55" s="93"/>
      <c r="CB55" s="93"/>
      <c r="CC55" s="93"/>
      <c r="CD55" s="93"/>
      <c r="CE55" s="93"/>
      <c r="CF55" s="93"/>
      <c r="CG55" s="93"/>
      <c r="CH55" s="93"/>
      <c r="CI55" s="93"/>
      <c r="CJ55" s="97"/>
    </row>
    <row r="56" spans="2:88">
      <c r="B56" s="66"/>
      <c r="C56" s="66"/>
      <c r="D56" s="66"/>
      <c r="E56" s="66"/>
      <c r="F56" s="66"/>
      <c r="G56" s="66"/>
      <c r="H56" s="66"/>
      <c r="I56" s="66"/>
      <c r="J56" s="66"/>
      <c r="K56" s="66"/>
      <c r="L56" s="66"/>
      <c r="M56" s="66"/>
      <c r="N56" s="66"/>
      <c r="O56" s="66"/>
      <c r="P56" s="66"/>
      <c r="Q56" s="66"/>
      <c r="R56" s="66"/>
      <c r="S56" s="66"/>
      <c r="T56" s="66"/>
      <c r="U56" s="66"/>
      <c r="V56" s="66"/>
      <c r="W56" s="66"/>
      <c r="X56" s="66"/>
      <c r="Z56" s="66"/>
      <c r="AA56" s="66"/>
      <c r="AB56" s="66"/>
      <c r="AC56" s="66"/>
      <c r="AD56" s="66"/>
      <c r="AE56" s="66"/>
      <c r="AF56" s="66"/>
      <c r="AG56" s="66"/>
      <c r="AH56" s="66"/>
      <c r="AI56" s="66"/>
      <c r="AJ56" s="66"/>
      <c r="AR56" s="66"/>
      <c r="AS56" s="66"/>
      <c r="AT56" s="66"/>
      <c r="AU56" s="66"/>
      <c r="AV56" s="66"/>
      <c r="BK56" s="92" t="str" cm="1">
        <f t="array" ref="BK56:CJ56">_xlfn._xlws.FILTER(BK54:CK54,BK54:CK54&lt;&gt;"N")</f>
        <v>Discrepancy noted between the Agreement and the Title Deed: The owner mentioned in the Agreement is not reflected in the Title Deed.(Owner-  Jayan, Jayan).</v>
      </c>
      <c r="BL56" s="93">
        <v>0</v>
      </c>
      <c r="BM56" s="93" t="str">
        <v>Discrepancy noted between the Land tax receipt and the Title Deed: The owner mentioned in the Land tax receipt is not reflected in the Title Deed.(Owner-  Jayan).</v>
      </c>
      <c r="BN56" s="93">
        <v>0</v>
      </c>
      <c r="BO56" s="93">
        <v>0</v>
      </c>
      <c r="BP56" s="93">
        <v>0</v>
      </c>
      <c r="BQ56" s="93">
        <v>0</v>
      </c>
      <c r="BR56" s="93">
        <v>0</v>
      </c>
      <c r="BS56" s="93">
        <v>0</v>
      </c>
      <c r="BT56" s="93">
        <v>0</v>
      </c>
      <c r="BU56" s="93">
        <v>0</v>
      </c>
      <c r="BV56" s="93">
        <v>0</v>
      </c>
      <c r="BW56" s="93">
        <v>0</v>
      </c>
      <c r="BX56" s="93">
        <v>0</v>
      </c>
      <c r="BY56" s="93">
        <v>0</v>
      </c>
      <c r="BZ56" s="93">
        <v>0</v>
      </c>
      <c r="CA56" s="93">
        <v>0</v>
      </c>
      <c r="CB56" s="93">
        <v>0</v>
      </c>
      <c r="CC56" s="93">
        <v>0</v>
      </c>
      <c r="CD56" s="93">
        <v>0</v>
      </c>
      <c r="CE56" s="93">
        <v>0</v>
      </c>
      <c r="CF56" s="93">
        <v>0</v>
      </c>
      <c r="CG56" s="93">
        <v>0</v>
      </c>
      <c r="CH56" s="93">
        <v>0</v>
      </c>
      <c r="CI56" s="93">
        <v>0</v>
      </c>
      <c r="CJ56" s="97">
        <v>0</v>
      </c>
    </row>
    <row r="57" spans="2:88">
      <c r="B57" s="66"/>
      <c r="C57" s="66"/>
      <c r="D57" s="66"/>
      <c r="E57" s="66"/>
      <c r="F57" s="66"/>
      <c r="G57" s="66"/>
      <c r="H57" s="66"/>
      <c r="I57" s="66"/>
      <c r="J57" s="66"/>
      <c r="K57" s="66"/>
      <c r="L57" s="66"/>
      <c r="M57" s="66"/>
      <c r="N57" s="66"/>
      <c r="O57" s="66"/>
      <c r="P57" s="66"/>
      <c r="Q57" s="66"/>
      <c r="R57" s="66"/>
      <c r="S57" s="66"/>
      <c r="T57" s="66"/>
      <c r="U57" s="66"/>
      <c r="V57" s="66"/>
      <c r="W57" s="66"/>
      <c r="X57" s="66"/>
      <c r="Z57" s="66"/>
      <c r="AA57" s="66"/>
      <c r="AB57" s="66"/>
      <c r="AC57" s="66"/>
      <c r="AD57" s="66"/>
      <c r="AE57" s="66"/>
      <c r="AF57" s="66"/>
      <c r="AG57" s="66"/>
      <c r="AH57" s="66"/>
      <c r="AI57" s="66"/>
      <c r="AJ57" s="66"/>
      <c r="AR57" s="66"/>
      <c r="AS57" s="66"/>
      <c r="AT57" s="66"/>
      <c r="AU57" s="66"/>
      <c r="AV57" s="66"/>
      <c r="BK57" s="92"/>
      <c r="BL57" s="93"/>
      <c r="BM57" s="93"/>
      <c r="BN57" s="93"/>
      <c r="BO57" s="93"/>
      <c r="BP57" s="93"/>
      <c r="BQ57" s="93"/>
      <c r="BR57" s="93"/>
      <c r="BS57" s="93"/>
      <c r="BT57" s="93"/>
      <c r="BU57" s="93"/>
      <c r="BV57" s="93"/>
      <c r="BW57" s="93"/>
      <c r="BX57" s="93"/>
      <c r="BY57" s="93"/>
      <c r="BZ57" s="93"/>
      <c r="CA57" s="93"/>
      <c r="CB57" s="93"/>
      <c r="CC57" s="93"/>
      <c r="CD57" s="93"/>
      <c r="CE57" s="93"/>
      <c r="CF57" s="93"/>
      <c r="CG57" s="93"/>
      <c r="CH57" s="93"/>
      <c r="CI57" s="93"/>
      <c r="CJ57" s="97"/>
    </row>
    <row r="58" spans="2:88">
      <c r="B58" s="66"/>
      <c r="C58" s="66"/>
      <c r="D58" s="66"/>
      <c r="E58" s="66"/>
      <c r="F58" s="66"/>
      <c r="G58" s="66"/>
      <c r="H58" s="66"/>
      <c r="I58" s="66"/>
      <c r="J58" s="66"/>
      <c r="K58" s="66"/>
      <c r="L58" s="66"/>
      <c r="M58" s="66"/>
      <c r="N58" s="66"/>
      <c r="O58" s="66"/>
      <c r="P58" s="66"/>
      <c r="Q58" s="66"/>
      <c r="R58" s="66"/>
      <c r="S58" s="66"/>
      <c r="T58" s="66"/>
      <c r="U58" s="66"/>
      <c r="V58" s="66"/>
      <c r="W58" s="66"/>
      <c r="X58" s="66"/>
      <c r="Z58" s="66"/>
      <c r="AA58" s="66"/>
      <c r="AB58" s="66"/>
      <c r="AC58" s="66"/>
      <c r="AD58" s="66"/>
      <c r="AE58" s="66"/>
      <c r="AF58" s="66"/>
      <c r="AG58" s="66"/>
      <c r="AH58" s="66"/>
      <c r="AI58" s="66"/>
      <c r="AJ58" s="66"/>
      <c r="AR58" s="66"/>
      <c r="AS58" s="66"/>
      <c r="AT58" s="66"/>
      <c r="AU58" s="66"/>
      <c r="AV58" s="66"/>
      <c r="BK58" s="94" t="str" cm="1">
        <f t="array" ref="BK58:BL58">_xlfn._xlws.FILTER(BK56:CK56,BK56:CK56&lt;&gt;0)</f>
        <v>Discrepancy noted between the Agreement and the Title Deed: The owner mentioned in the Agreement is not reflected in the Title Deed.(Owner-  Jayan, Jayan).</v>
      </c>
      <c r="BL58" s="95" t="str">
        <v>Discrepancy noted between the Land tax receipt and the Title Deed: The owner mentioned in the Land tax receipt is not reflected in the Title Deed.(Owner-  Jayan).</v>
      </c>
      <c r="BM58" s="95"/>
      <c r="BN58" s="95"/>
      <c r="BO58" s="95"/>
      <c r="BP58" s="95"/>
      <c r="BQ58" s="95"/>
      <c r="BR58" s="95"/>
      <c r="BS58" s="95"/>
      <c r="BT58" s="95"/>
      <c r="BU58" s="95"/>
      <c r="BV58" s="95"/>
      <c r="BW58" s="95"/>
      <c r="BX58" s="95"/>
      <c r="BY58" s="95"/>
      <c r="BZ58" s="95"/>
      <c r="CA58" s="95"/>
      <c r="CB58" s="95"/>
      <c r="CC58" s="95"/>
      <c r="CD58" s="95"/>
      <c r="CE58" s="95"/>
      <c r="CF58" s="95"/>
      <c r="CG58" s="95"/>
      <c r="CH58" s="95"/>
      <c r="CI58" s="95"/>
      <c r="CJ58" s="98"/>
    </row>
    <row r="60" spans="2:88" ht="377.25" customHeight="1">
      <c r="BK60" s="20" t="str">
        <f>_xlfn.TEXTJOIN(" ",TRUE,BK58:CJ58)</f>
        <v>Discrepancy noted between the Agreement and the Title Deed: The owner mentioned in the Agreement is not reflected in the Title Deed.(Owner-  Jayan, Jayan).  Discrepancy noted between the Land tax receipt and the Title Deed: The owner mentioned in the Land tax receipt is not reflected in the Title Deed.(Owner-  Jayan).</v>
      </c>
    </row>
  </sheetData>
  <mergeCells count="10">
    <mergeCell ref="B1:F1"/>
    <mergeCell ref="H1:L1"/>
    <mergeCell ref="N1:R1"/>
    <mergeCell ref="T1:X1"/>
    <mergeCell ref="Z1:AD1"/>
    <mergeCell ref="AF1:AJ1"/>
    <mergeCell ref="AL1:AP1"/>
    <mergeCell ref="AR1:AV1"/>
    <mergeCell ref="AX1:BB1"/>
    <mergeCell ref="BD1:BH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dimension ref="B2:BH37"/>
  <sheetViews>
    <sheetView topLeftCell="AM18" workbookViewId="0">
      <selection activeCell="O33" sqref="O33"/>
    </sheetView>
  </sheetViews>
  <sheetFormatPr defaultColWidth="9" defaultRowHeight="14.5"/>
  <cols>
    <col min="2" max="2" width="8.7265625" style="19"/>
    <col min="3" max="4" width="27.54296875" style="19" customWidth="1"/>
    <col min="5" max="5" width="32.54296875" style="19" customWidth="1"/>
    <col min="6" max="6" width="8.453125" style="19" customWidth="1"/>
    <col min="7" max="24" width="8.7265625" style="19"/>
    <col min="26" max="36" width="8.7265625" style="19"/>
    <col min="38" max="42" width="8.7265625" style="19"/>
    <col min="44" max="48" width="8.7265625" style="19"/>
    <col min="50" max="54" width="8.7265625" style="19"/>
    <col min="56" max="60" width="8.7265625" style="19"/>
  </cols>
  <sheetData>
    <row r="2" spans="4:5">
      <c r="D2" s="19" t="s">
        <v>44</v>
      </c>
      <c r="E2" s="19" t="s">
        <v>1100</v>
      </c>
    </row>
    <row r="26" spans="2:26">
      <c r="B26" s="19" t="s">
        <v>91</v>
      </c>
      <c r="C26" s="19" t="str">
        <f>'02.OTD'!AA26</f>
        <v/>
      </c>
      <c r="D26" s="19" t="str">
        <f>'10.SITE'!AA26</f>
        <v/>
      </c>
      <c r="E26" s="19" t="str">
        <f ca="1">IF(_xlfn.TEXTJOIN(",",TRUE,F26:Z26)="","No matches",_xlfn.TEXTJOIN(",",TRUE,F26:Z26))</f>
        <v>No matches</v>
      </c>
      <c r="F26" s="19" t="str" cm="1">
        <f t="array" ref="F26" ca="1">IFERROR(TRIM(MID(SUBSTITUTE($C$26," ",REPT(" ",100)),SMALL(IF(ISNUMBER(SEARCH(" "&amp;TRIM(MID(SUBSTITUTE(UPPER($C$26)," ",REPT(" ",100)),ROW(INDIRECT("1:"&amp;LEN($C$26)-LEN(SUBSTITUTE($C$26," ",""))+1))*100-99,100))&amp;" "," "&amp;UPPER($D$26)&amp;" ")),ROW(INDIRECT("1:"&amp;LEN($C$26)-LEN(SUBSTITUTE($C$26," ",""))+1)),99999),COLUMN()-COLUMN($F$26)+1)*100-99,100)),"")</f>
        <v/>
      </c>
      <c r="G26" s="19" t="str" cm="1">
        <f t="array" ref="G26" ca="1">IFERROR(TRIM(MID(SUBSTITUTE($C$26," ",REPT(" ",100)),SMALL(IF(ISNUMBER(SEARCH(" "&amp;TRIM(MID(SUBSTITUTE(UPPER($C$26)," ",REPT(" ",100)),ROW(INDIRECT("1:"&amp;LEN($C$26)-LEN(SUBSTITUTE($C$26," ",""))+1))*100-99,100))&amp;" "," "&amp;UPPER($D$26)&amp;" ")),ROW(INDIRECT("1:"&amp;LEN($C$26)-LEN(SUBSTITUTE($C$26," ",""))+1)),99999),COLUMN()-COLUMN($F$26)+1)*100-99,100)),"")</f>
        <v/>
      </c>
      <c r="H26" s="19" t="str" cm="1">
        <f t="array" ref="H26" ca="1">IFERROR(TRIM(MID(SUBSTITUTE($C$26," ",REPT(" ",100)),SMALL(IF(ISNUMBER(SEARCH(" "&amp;TRIM(MID(SUBSTITUTE(UPPER($C$26)," ",REPT(" ",100)),ROW(INDIRECT("1:"&amp;LEN($C$26)-LEN(SUBSTITUTE($C$26," ",""))+1))*100-99,100))&amp;" "," "&amp;UPPER($D$26)&amp;" ")),ROW(INDIRECT("1:"&amp;LEN($C$26)-LEN(SUBSTITUTE($C$26," ",""))+1)),99999),COLUMN()-COLUMN($F$26)+1)*100-99,100)),"")</f>
        <v/>
      </c>
      <c r="I26" s="19" t="str" cm="1">
        <f t="array" ref="I26" ca="1">IFERROR(TRIM(MID(SUBSTITUTE($C$26," ",REPT(" ",100)),SMALL(IF(ISNUMBER(SEARCH(" "&amp;TRIM(MID(SUBSTITUTE(UPPER($C$26)," ",REPT(" ",100)),ROW(INDIRECT("1:"&amp;LEN($C$26)-LEN(SUBSTITUTE($C$26," ",""))+1))*100-99,100))&amp;" "," "&amp;UPPER($D$26)&amp;" ")),ROW(INDIRECT("1:"&amp;LEN($C$26)-LEN(SUBSTITUTE($C$26," ",""))+1)),99999),COLUMN()-COLUMN($F$26)+1)*100-99,100)),"")</f>
        <v/>
      </c>
      <c r="J26" s="19" t="str" cm="1">
        <f t="array" ref="J26" ca="1">IFERROR(TRIM(MID(SUBSTITUTE($C$26," ",REPT(" ",100)),SMALL(IF(ISNUMBER(SEARCH(" "&amp;TRIM(MID(SUBSTITUTE(UPPER($C$26)," ",REPT(" ",100)),ROW(INDIRECT("1:"&amp;LEN($C$26)-LEN(SUBSTITUTE($C$26," ",""))+1))*100-99,100))&amp;" "," "&amp;UPPER($D$26)&amp;" ")),ROW(INDIRECT("1:"&amp;LEN($C$26)-LEN(SUBSTITUTE($C$26," ",""))+1)),99999),COLUMN()-COLUMN($F$26)+1)*100-99,100)),"")</f>
        <v/>
      </c>
      <c r="K26" s="19" t="str" cm="1">
        <f t="array" ref="K26" ca="1">IFERROR(TRIM(MID(SUBSTITUTE($C$26," ",REPT(" ",100)),SMALL(IF(ISNUMBER(SEARCH(" "&amp;TRIM(MID(SUBSTITUTE(UPPER($C$26)," ",REPT(" ",100)),ROW(INDIRECT("1:"&amp;LEN($C$26)-LEN(SUBSTITUTE($C$26," ",""))+1))*100-99,100))&amp;" "," "&amp;UPPER($D$26)&amp;" ")),ROW(INDIRECT("1:"&amp;LEN($C$26)-LEN(SUBSTITUTE($C$26," ",""))+1)),99999),COLUMN()-COLUMN($F$26)+1)*100-99,100)),"")</f>
        <v/>
      </c>
      <c r="L26" s="19" t="str" cm="1">
        <f t="array" ref="L26" ca="1">IFERROR(TRIM(MID(SUBSTITUTE($C$26," ",REPT(" ",100)),SMALL(IF(ISNUMBER(SEARCH(" "&amp;TRIM(MID(SUBSTITUTE(UPPER($C$26)," ",REPT(" ",100)),ROW(INDIRECT("1:"&amp;LEN($C$26)-LEN(SUBSTITUTE($C$26," ",""))+1))*100-99,100))&amp;" "," "&amp;UPPER($D$26)&amp;" ")),ROW(INDIRECT("1:"&amp;LEN($C$26)-LEN(SUBSTITUTE($C$26," ",""))+1)),99999),COLUMN()-COLUMN($F$26)+1)*100-99,100)),"")</f>
        <v/>
      </c>
      <c r="M26" s="19" t="str" cm="1">
        <f t="array" ref="M26" ca="1">IFERROR(TRIM(MID(SUBSTITUTE($C$26," ",REPT(" ",100)),SMALL(IF(ISNUMBER(SEARCH(" "&amp;TRIM(MID(SUBSTITUTE(UPPER($C$26)," ",REPT(" ",100)),ROW(INDIRECT("1:"&amp;LEN($C$26)-LEN(SUBSTITUTE($C$26," ",""))+1))*100-99,100))&amp;" "," "&amp;UPPER($D$26)&amp;" ")),ROW(INDIRECT("1:"&amp;LEN($C$26)-LEN(SUBSTITUTE($C$26," ",""))+1)),99999),COLUMN()-COLUMN($F$26)+1)*100-99,100)),"")</f>
        <v/>
      </c>
      <c r="N26" s="19" t="str" cm="1">
        <f t="array" ref="N26" ca="1">IFERROR(TRIM(MID(SUBSTITUTE($C$26," ",REPT(" ",100)),SMALL(IF(ISNUMBER(SEARCH(" "&amp;TRIM(MID(SUBSTITUTE(UPPER($C$26)," ",REPT(" ",100)),ROW(INDIRECT("1:"&amp;LEN($C$26)-LEN(SUBSTITUTE($C$26," ",""))+1))*100-99,100))&amp;" "," "&amp;UPPER($D$26)&amp;" ")),ROW(INDIRECT("1:"&amp;LEN($C$26)-LEN(SUBSTITUTE($C$26," ",""))+1)),99999),COLUMN()-COLUMN($F$26)+1)*100-99,100)),"")</f>
        <v/>
      </c>
      <c r="O26" s="19" t="str" cm="1">
        <f t="array" ref="O26" ca="1">IFERROR(TRIM(MID(SUBSTITUTE($C$26," ",REPT(" ",100)),SMALL(IF(ISNUMBER(SEARCH(" "&amp;TRIM(MID(SUBSTITUTE(UPPER($C$26)," ",REPT(" ",100)),ROW(INDIRECT("1:"&amp;LEN($C$26)-LEN(SUBSTITUTE($C$26," ",""))+1))*100-99,100))&amp;" "," "&amp;UPPER($D$26)&amp;" ")),ROW(INDIRECT("1:"&amp;LEN($C$26)-LEN(SUBSTITUTE($C$26," ",""))+1)),99999),COLUMN()-COLUMN($F$26)+1)*100-99,100)),"")</f>
        <v/>
      </c>
      <c r="P26" s="19" t="str" cm="1">
        <f t="array" ref="P26" ca="1">IFERROR(TRIM(MID(SUBSTITUTE($C$26," ",REPT(" ",100)),SMALL(IF(ISNUMBER(SEARCH(" "&amp;TRIM(MID(SUBSTITUTE(UPPER($C$26)," ",REPT(" ",100)),ROW(INDIRECT("1:"&amp;LEN($C$26)-LEN(SUBSTITUTE($C$26," ",""))+1))*100-99,100))&amp;" "," "&amp;UPPER($D$26)&amp;" ")),ROW(INDIRECT("1:"&amp;LEN($C$26)-LEN(SUBSTITUTE($C$26," ",""))+1)),99999),COLUMN()-COLUMN($F$26)+1)*100-99,100)),"")</f>
        <v/>
      </c>
      <c r="Q26" s="19" t="str" cm="1">
        <f t="array" ref="Q26" ca="1">IFERROR(TRIM(MID(SUBSTITUTE($C$26," ",REPT(" ",100)),SMALL(IF(ISNUMBER(SEARCH(" "&amp;TRIM(MID(SUBSTITUTE(UPPER($C$26)," ",REPT(" ",100)),ROW(INDIRECT("1:"&amp;LEN($C$26)-LEN(SUBSTITUTE($C$26," ",""))+1))*100-99,100))&amp;" "," "&amp;UPPER($D$26)&amp;" ")),ROW(INDIRECT("1:"&amp;LEN($C$26)-LEN(SUBSTITUTE($C$26," ",""))+1)),99999),COLUMN()-COLUMN($F$26)+1)*100-99,100)),"")</f>
        <v/>
      </c>
      <c r="R26" s="19" t="str" cm="1">
        <f t="array" ref="R26" ca="1">IFERROR(TRIM(MID(SUBSTITUTE($C$26," ",REPT(" ",100)),SMALL(IF(ISNUMBER(SEARCH(" "&amp;TRIM(MID(SUBSTITUTE(UPPER($C$26)," ",REPT(" ",100)),ROW(INDIRECT("1:"&amp;LEN($C$26)-LEN(SUBSTITUTE($C$26," ",""))+1))*100-99,100))&amp;" "," "&amp;UPPER($D$26)&amp;" ")),ROW(INDIRECT("1:"&amp;LEN($C$26)-LEN(SUBSTITUTE($C$26," ",""))+1)),99999),COLUMN()-COLUMN($F$26)+1)*100-99,100)),"")</f>
        <v/>
      </c>
      <c r="S26" s="19" t="str" cm="1">
        <f t="array" ref="S26" ca="1">IFERROR(TRIM(MID(SUBSTITUTE($C$26," ",REPT(" ",100)),SMALL(IF(ISNUMBER(SEARCH(" "&amp;TRIM(MID(SUBSTITUTE(UPPER($C$26)," ",REPT(" ",100)),ROW(INDIRECT("1:"&amp;LEN($C$26)-LEN(SUBSTITUTE($C$26," ",""))+1))*100-99,100))&amp;" "," "&amp;UPPER($D$26)&amp;" ")),ROW(INDIRECT("1:"&amp;LEN($C$26)-LEN(SUBSTITUTE($C$26," ",""))+1)),99999),COLUMN()-COLUMN($F$26)+1)*100-99,100)),"")</f>
        <v/>
      </c>
      <c r="T26" s="19" t="str" cm="1">
        <f t="array" ref="T26" ca="1">IFERROR(TRIM(MID(SUBSTITUTE($C$26," ",REPT(" ",100)),SMALL(IF(ISNUMBER(SEARCH(" "&amp;TRIM(MID(SUBSTITUTE(UPPER($C$26)," ",REPT(" ",100)),ROW(INDIRECT("1:"&amp;LEN($C$26)-LEN(SUBSTITUTE($C$26," ",""))+1))*100-99,100))&amp;" "," "&amp;UPPER($D$26)&amp;" ")),ROW(INDIRECT("1:"&amp;LEN($C$26)-LEN(SUBSTITUTE($C$26," ",""))+1)),99999),COLUMN()-COLUMN($F$26)+1)*100-99,100)),"")</f>
        <v/>
      </c>
      <c r="U26" s="19" t="str" cm="1">
        <f t="array" ref="U26" ca="1">IFERROR(TRIM(MID(SUBSTITUTE($C$26," ",REPT(" ",100)),SMALL(IF(ISNUMBER(SEARCH(" "&amp;TRIM(MID(SUBSTITUTE(UPPER($C$26)," ",REPT(" ",100)),ROW(INDIRECT("1:"&amp;LEN($C$26)-LEN(SUBSTITUTE($C$26," ",""))+1))*100-99,100))&amp;" "," "&amp;UPPER($D$26)&amp;" ")),ROW(INDIRECT("1:"&amp;LEN($C$26)-LEN(SUBSTITUTE($C$26," ",""))+1)),99999),COLUMN()-COLUMN($F$26)+1)*100-99,100)),"")</f>
        <v/>
      </c>
      <c r="V26" s="19" t="str" cm="1">
        <f t="array" ref="V26" ca="1">IFERROR(TRIM(MID(SUBSTITUTE($C$26," ",REPT(" ",100)),SMALL(IF(ISNUMBER(SEARCH(" "&amp;TRIM(MID(SUBSTITUTE(UPPER($C$26)," ",REPT(" ",100)),ROW(INDIRECT("1:"&amp;LEN($C$26)-LEN(SUBSTITUTE($C$26," ",""))+1))*100-99,100))&amp;" "," "&amp;UPPER($D$26)&amp;" ")),ROW(INDIRECT("1:"&amp;LEN($C$26)-LEN(SUBSTITUTE($C$26," ",""))+1)),99999),COLUMN()-COLUMN($F$26)+1)*100-99,100)),"")</f>
        <v/>
      </c>
      <c r="W26" s="19" t="str" cm="1">
        <f t="array" ref="W26" ca="1">IFERROR(TRIM(MID(SUBSTITUTE($C$26," ",REPT(" ",100)),SMALL(IF(ISNUMBER(SEARCH(" "&amp;TRIM(MID(SUBSTITUTE(UPPER($C$26)," ",REPT(" ",100)),ROW(INDIRECT("1:"&amp;LEN($C$26)-LEN(SUBSTITUTE($C$26," ",""))+1))*100-99,100))&amp;" "," "&amp;UPPER($D$26)&amp;" ")),ROW(INDIRECT("1:"&amp;LEN($C$26)-LEN(SUBSTITUTE($C$26," ",""))+1)),99999),COLUMN()-COLUMN($F$26)+1)*100-99,100)),"")</f>
        <v/>
      </c>
      <c r="X26" s="19" t="str" cm="1">
        <f t="array" ref="X26" ca="1">IFERROR(TRIM(MID(SUBSTITUTE($C$26," ",REPT(" ",100)),SMALL(IF(ISNUMBER(SEARCH(" "&amp;TRIM(MID(SUBSTITUTE(UPPER($C$26)," ",REPT(" ",100)),ROW(INDIRECT("1:"&amp;LEN($C$26)-LEN(SUBSTITUTE($C$26," ",""))+1))*100-99,100))&amp;" "," "&amp;UPPER($D$26)&amp;" ")),ROW(INDIRECT("1:"&amp;LEN($C$26)-LEN(SUBSTITUTE($C$26," ",""))+1)),99999),COLUMN()-COLUMN($F$26)+1)*100-99,100)),"")</f>
        <v/>
      </c>
      <c r="Y26" s="19" t="str" cm="1">
        <f t="array" ref="Y26" ca="1">IFERROR(TRIM(MID(SUBSTITUTE($C$26," ",REPT(" ",100)),SMALL(IF(ISNUMBER(SEARCH(" "&amp;TRIM(MID(SUBSTITUTE(UPPER($C$26)," ",REPT(" ",100)),ROW(INDIRECT("1:"&amp;LEN($C$26)-LEN(SUBSTITUTE($C$26," ",""))+1))*100-99,100))&amp;" "," "&amp;UPPER($D$26)&amp;" ")),ROW(INDIRECT("1:"&amp;LEN($C$26)-LEN(SUBSTITUTE($C$26," ",""))+1)),99999),COLUMN()-COLUMN($F$26)+1)*100-99,100)),"")</f>
        <v/>
      </c>
      <c r="Z26" s="19" t="str" cm="1">
        <f t="array" ref="Z26" ca="1">IFERROR(TRIM(MID(SUBSTITUTE($C$26," ",REPT(" ",100)),SMALL(IF(ISNUMBER(SEARCH(" "&amp;TRIM(MID(SUBSTITUTE(UPPER($C$26)," ",REPT(" ",100)),ROW(INDIRECT("1:"&amp;LEN($C$26)-LEN(SUBSTITUTE($C$26," ",""))+1))*100-99,100))&amp;" "," "&amp;UPPER($D$26)&amp;" ")),ROW(INDIRECT("1:"&amp;LEN($C$26)-LEN(SUBSTITUTE($C$26," ",""))+1)),99999),COLUMN()-COLUMN($F$26)+1)*100-99,100)),"")</f>
        <v/>
      </c>
    </row>
    <row r="27" spans="2:26">
      <c r="B27" s="19" t="s">
        <v>94</v>
      </c>
      <c r="C27" s="19" t="str">
        <f>'02.OTD'!AA27</f>
        <v/>
      </c>
      <c r="D27" s="19" t="str">
        <f>'10.SITE'!AA27</f>
        <v/>
      </c>
      <c r="E27" s="19" t="str">
        <f t="shared" ref="E27:E29" ca="1" si="0">IF(_xlfn.TEXTJOIN(",",TRUE,F27:Z27)="","No matches",_xlfn.TEXTJOIN(",",TRUE,F27:Z27))</f>
        <v>No matches</v>
      </c>
      <c r="F27" s="19" t="str" cm="1">
        <f t="array" ref="F27" ca="1">IFERROR(TRIM(MID(SUBSTITUTE($C$27," ",REPT(" ",100)),SMALL(IF(ISNUMBER(SEARCH(" "&amp;TRIM(MID(SUBSTITUTE(UPPER($C$27)," ",REPT(" ",100)),ROW(INDIRECT("1:"&amp;LEN($C$27)-LEN(SUBSTITUTE($C$27," ",""))+1))*100-99,100))&amp;" "," "&amp;UPPER($D$27)&amp;" ")),ROW(INDIRECT("1:"&amp;LEN($C$27)-LEN(SUBSTITUTE($C$27," ",""))+1)),99999),COLUMN()-COLUMN($F$27)+1)*100-99,100)),"")</f>
        <v/>
      </c>
    </row>
    <row r="28" spans="2:26">
      <c r="B28" s="19" t="s">
        <v>97</v>
      </c>
      <c r="C28" s="19" t="str">
        <f>'02.OTD'!AA28</f>
        <v/>
      </c>
      <c r="D28" s="19" t="str">
        <f>'10.SITE'!AA28</f>
        <v/>
      </c>
      <c r="E28" s="19" t="str">
        <f t="shared" ca="1" si="0"/>
        <v>No matches</v>
      </c>
      <c r="F28" s="19" t="str" cm="1">
        <f t="array" ref="F28" ca="1">IFERROR(TRIM(MID(SUBSTITUTE($C$28," ",REPT(" ",100)),SMALL(IF(ISNUMBER(SEARCH(" "&amp;TRIM(MID(SUBSTITUTE(UPPER($C$28)," ",REPT(" ",100)),ROW(INDIRECT("1:"&amp;LEN($C$28)-LEN(SUBSTITUTE($C$28," ",""))+1))*100-99,100))&amp;" "," "&amp;UPPER($D$28)&amp;" ")),ROW(INDIRECT("1:"&amp;LEN($C$28)-LEN(SUBSTITUTE($C$28," ",""))+1)),99999),COLUMN()-COLUMN($F$28)+1)*100-99,100)),"")</f>
        <v/>
      </c>
    </row>
    <row r="29" spans="2:26">
      <c r="B29" s="19" t="s">
        <v>100</v>
      </c>
      <c r="C29" s="19" t="str">
        <f>'02.OTD'!AA29</f>
        <v/>
      </c>
      <c r="D29" s="19" t="str">
        <f>'10.SITE'!AA29</f>
        <v/>
      </c>
      <c r="E29" s="19" t="str">
        <f t="shared" ca="1" si="0"/>
        <v>No matches</v>
      </c>
      <c r="F29" s="19" t="str" cm="1">
        <f t="array" ref="F29" ca="1">IFERROR(TRIM(MID(SUBSTITUTE($C$29," ",REPT(" ",100)),SMALL(IF(ISNUMBER(SEARCH(" "&amp;TRIM(MID(SUBSTITUTE(UPPER($C$29)," ",REPT(" ",100)),ROW(INDIRECT("1:"&amp;LEN($C$29)-LEN(SUBSTITUTE($C$29," ",""))+1))*100-99,100))&amp;" "," "&amp;UPPER($D$29)&amp;" ")),ROW(INDIRECT("1:"&amp;LEN($C$29)-LEN(SUBSTITUTE($C$29," ",""))+1)),99999),COLUMN()-COLUMN($F$29)+1)*100-99,100)),"")</f>
        <v/>
      </c>
    </row>
    <row r="31" spans="2:26" ht="74.150000000000006" customHeight="1"/>
    <row r="32" spans="2:26" ht="123.65" customHeight="1">
      <c r="E32" s="19" t="str">
        <f ca="1">IF(SUMPRODUCT(--(E26&lt;&gt;"no matches"),--(E27&lt;&gt;"no matches"))+SUMPRODUCT(--(E27&lt;&gt;"no matches"),--(E28&lt;&gt;"no matches"))+SUMPRODUCT(--(E28&lt;&gt;"no matches"),--(E29&lt;&gt;"no matches"))+SUMPRODUCT(--(E29&lt;&gt;"no matches"),--(E26&lt;&gt;"no matches"))&gt;0,"Property is identified with the help of Title deed: "&amp;IF(AND(E26&lt;&gt;"no matches",E27&lt;&gt;"no matches"),"'"&amp;E26&amp;"' at north boundary and '"&amp;E27&amp;"' at east boundary as verified through site investigation align with title deed boundary references",IF(AND(E27&lt;&gt;"no matches",E28&lt;&gt;"no matches"),"'"&amp;E27&amp;"' at east boundary and '"&amp;E28&amp;"' at south boundary as verified through site investigation align with title deed boundary references",IF(AND(E28&lt;&gt;"no matches",E29&lt;&gt;"no matches"),"'"&amp;E28&amp;"' at south boundary and '"&amp;E29&amp;"' at west boundary as verified through site investigation align with title deed boundary references",IF(AND(E29&lt;&gt;"no matches",E26&lt;&gt;"no matches"),"'"&amp;E29&amp;"' at west boundary and '"&amp;E26&amp;"' at north boundary as verified through site investigation align with title deed boundary references","")))),"Property boundaries does not have matches/connections with respect to Title deed")</f>
        <v>Property boundaries does not have matches/connections with respect to Title deed</v>
      </c>
    </row>
    <row r="33" ht="49.5" customHeight="1"/>
    <row r="37" ht="107.65" customHeight="1"/>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8"/>
  <dimension ref="B2:BH37"/>
  <sheetViews>
    <sheetView topLeftCell="AG1" workbookViewId="0"/>
  </sheetViews>
  <sheetFormatPr defaultColWidth="9" defaultRowHeight="14.5"/>
  <cols>
    <col min="2" max="2" width="8.7265625" style="19"/>
    <col min="3" max="4" width="27.54296875" style="19" customWidth="1"/>
    <col min="5" max="5" width="32.54296875" style="19" customWidth="1"/>
    <col min="6" max="6" width="8.453125" style="19" customWidth="1"/>
    <col min="7" max="24" width="8.7265625" style="19"/>
    <col min="26" max="36" width="8.7265625" style="19"/>
    <col min="38" max="42" width="8.7265625" style="19"/>
    <col min="44" max="48" width="8.7265625" style="19"/>
    <col min="50" max="54" width="8.7265625" style="19"/>
    <col min="56" max="60" width="8.7265625" style="19"/>
  </cols>
  <sheetData>
    <row r="2" spans="4:5">
      <c r="D2" s="19" t="s">
        <v>44</v>
      </c>
      <c r="E2" s="19" t="s">
        <v>1100</v>
      </c>
    </row>
    <row r="26" spans="2:26">
      <c r="B26" s="19" t="s">
        <v>91</v>
      </c>
      <c r="C26" s="19" t="str">
        <f>'06.LocSk'!AA26</f>
        <v/>
      </c>
      <c r="D26" s="19" t="str">
        <f>'10.SITE'!AA26</f>
        <v/>
      </c>
      <c r="E26" s="19" t="str">
        <f ca="1">IF(_xlfn.TEXTJOIN(",",TRUE,F26:Z26)="","No matches",_xlfn.TEXTJOIN(",",TRUE,F26:Z26))</f>
        <v>No matches</v>
      </c>
      <c r="F26" s="19" t="str" cm="1">
        <f t="array" ref="F26" ca="1">IFERROR(TRIM(MID(SUBSTITUTE($C$26," ",REPT(" ",100)),SMALL(IF(ISNUMBER(SEARCH(" "&amp;TRIM(MID(SUBSTITUTE(UPPER($C$26)," ",REPT(" ",100)),ROW(INDIRECT("1:"&amp;LEN($C$26)-LEN(SUBSTITUTE($C$26," ",""))+1))*100-99,100))&amp;" "," "&amp;UPPER($D$26)&amp;" ")),ROW(INDIRECT("1:"&amp;LEN($C$26)-LEN(SUBSTITUTE($C$26," ",""))+1)),99999),COLUMN()-COLUMN($F$26)+1)*100-99,100)),"")</f>
        <v/>
      </c>
      <c r="G26" s="19" t="str" cm="1">
        <f t="array" ref="G26" ca="1">IFERROR(TRIM(MID(SUBSTITUTE($C$26," ",REPT(" ",100)),SMALL(IF(ISNUMBER(SEARCH(" "&amp;TRIM(MID(SUBSTITUTE(UPPER($C$26)," ",REPT(" ",100)),ROW(INDIRECT("1:"&amp;LEN($C$26)-LEN(SUBSTITUTE($C$26," ",""))+1))*100-99,100))&amp;" "," "&amp;UPPER($D$26)&amp;" ")),ROW(INDIRECT("1:"&amp;LEN($C$26)-LEN(SUBSTITUTE($C$26," ",""))+1)),99999),COLUMN()-COLUMN($F$26)+1)*100-99,100)),"")</f>
        <v/>
      </c>
      <c r="H26" s="19" t="str" cm="1">
        <f t="array" ref="H26" ca="1">IFERROR(TRIM(MID(SUBSTITUTE($C$26," ",REPT(" ",100)),SMALL(IF(ISNUMBER(SEARCH(" "&amp;TRIM(MID(SUBSTITUTE(UPPER($C$26)," ",REPT(" ",100)),ROW(INDIRECT("1:"&amp;LEN($C$26)-LEN(SUBSTITUTE($C$26," ",""))+1))*100-99,100))&amp;" "," "&amp;UPPER($D$26)&amp;" ")),ROW(INDIRECT("1:"&amp;LEN($C$26)-LEN(SUBSTITUTE($C$26," ",""))+1)),99999),COLUMN()-COLUMN($F$26)+1)*100-99,100)),"")</f>
        <v/>
      </c>
      <c r="I26" s="19" t="str" cm="1">
        <f t="array" ref="I26" ca="1">IFERROR(TRIM(MID(SUBSTITUTE($C$26," ",REPT(" ",100)),SMALL(IF(ISNUMBER(SEARCH(" "&amp;TRIM(MID(SUBSTITUTE(UPPER($C$26)," ",REPT(" ",100)),ROW(INDIRECT("1:"&amp;LEN($C$26)-LEN(SUBSTITUTE($C$26," ",""))+1))*100-99,100))&amp;" "," "&amp;UPPER($D$26)&amp;" ")),ROW(INDIRECT("1:"&amp;LEN($C$26)-LEN(SUBSTITUTE($C$26," ",""))+1)),99999),COLUMN()-COLUMN($F$26)+1)*100-99,100)),"")</f>
        <v/>
      </c>
      <c r="J26" s="19" t="str" cm="1">
        <f t="array" ref="J26" ca="1">IFERROR(TRIM(MID(SUBSTITUTE($C$26," ",REPT(" ",100)),SMALL(IF(ISNUMBER(SEARCH(" "&amp;TRIM(MID(SUBSTITUTE(UPPER($C$26)," ",REPT(" ",100)),ROW(INDIRECT("1:"&amp;LEN($C$26)-LEN(SUBSTITUTE($C$26," ",""))+1))*100-99,100))&amp;" "," "&amp;UPPER($D$26)&amp;" ")),ROW(INDIRECT("1:"&amp;LEN($C$26)-LEN(SUBSTITUTE($C$26," ",""))+1)),99999),COLUMN()-COLUMN($F$26)+1)*100-99,100)),"")</f>
        <v/>
      </c>
      <c r="K26" s="19" t="str" cm="1">
        <f t="array" ref="K26" ca="1">IFERROR(TRIM(MID(SUBSTITUTE($C$26," ",REPT(" ",100)),SMALL(IF(ISNUMBER(SEARCH(" "&amp;TRIM(MID(SUBSTITUTE(UPPER($C$26)," ",REPT(" ",100)),ROW(INDIRECT("1:"&amp;LEN($C$26)-LEN(SUBSTITUTE($C$26," ",""))+1))*100-99,100))&amp;" "," "&amp;UPPER($D$26)&amp;" ")),ROW(INDIRECT("1:"&amp;LEN($C$26)-LEN(SUBSTITUTE($C$26," ",""))+1)),99999),COLUMN()-COLUMN($F$26)+1)*100-99,100)),"")</f>
        <v/>
      </c>
      <c r="L26" s="19" t="str" cm="1">
        <f t="array" ref="L26" ca="1">IFERROR(TRIM(MID(SUBSTITUTE($C$26," ",REPT(" ",100)),SMALL(IF(ISNUMBER(SEARCH(" "&amp;TRIM(MID(SUBSTITUTE(UPPER($C$26)," ",REPT(" ",100)),ROW(INDIRECT("1:"&amp;LEN($C$26)-LEN(SUBSTITUTE($C$26," ",""))+1))*100-99,100))&amp;" "," "&amp;UPPER($D$26)&amp;" ")),ROW(INDIRECT("1:"&amp;LEN($C$26)-LEN(SUBSTITUTE($C$26," ",""))+1)),99999),COLUMN()-COLUMN($F$26)+1)*100-99,100)),"")</f>
        <v/>
      </c>
      <c r="M26" s="19" t="str" cm="1">
        <f t="array" ref="M26" ca="1">IFERROR(TRIM(MID(SUBSTITUTE($C$26," ",REPT(" ",100)),SMALL(IF(ISNUMBER(SEARCH(" "&amp;TRIM(MID(SUBSTITUTE(UPPER($C$26)," ",REPT(" ",100)),ROW(INDIRECT("1:"&amp;LEN($C$26)-LEN(SUBSTITUTE($C$26," ",""))+1))*100-99,100))&amp;" "," "&amp;UPPER($D$26)&amp;" ")),ROW(INDIRECT("1:"&amp;LEN($C$26)-LEN(SUBSTITUTE($C$26," ",""))+1)),99999),COLUMN()-COLUMN($F$26)+1)*100-99,100)),"")</f>
        <v/>
      </c>
      <c r="N26" s="19" t="str" cm="1">
        <f t="array" ref="N26" ca="1">IFERROR(TRIM(MID(SUBSTITUTE($C$26," ",REPT(" ",100)),SMALL(IF(ISNUMBER(SEARCH(" "&amp;TRIM(MID(SUBSTITUTE(UPPER($C$26)," ",REPT(" ",100)),ROW(INDIRECT("1:"&amp;LEN($C$26)-LEN(SUBSTITUTE($C$26," ",""))+1))*100-99,100))&amp;" "," "&amp;UPPER($D$26)&amp;" ")),ROW(INDIRECT("1:"&amp;LEN($C$26)-LEN(SUBSTITUTE($C$26," ",""))+1)),99999),COLUMN()-COLUMN($F$26)+1)*100-99,100)),"")</f>
        <v/>
      </c>
      <c r="O26" s="19" t="str" cm="1">
        <f t="array" ref="O26" ca="1">IFERROR(TRIM(MID(SUBSTITUTE($C$26," ",REPT(" ",100)),SMALL(IF(ISNUMBER(SEARCH(" "&amp;TRIM(MID(SUBSTITUTE(UPPER($C$26)," ",REPT(" ",100)),ROW(INDIRECT("1:"&amp;LEN($C$26)-LEN(SUBSTITUTE($C$26," ",""))+1))*100-99,100))&amp;" "," "&amp;UPPER($D$26)&amp;" ")),ROW(INDIRECT("1:"&amp;LEN($C$26)-LEN(SUBSTITUTE($C$26," ",""))+1)),99999),COLUMN()-COLUMN($F$26)+1)*100-99,100)),"")</f>
        <v/>
      </c>
      <c r="P26" s="19" t="str" cm="1">
        <f t="array" ref="P26" ca="1">IFERROR(TRIM(MID(SUBSTITUTE($C$26," ",REPT(" ",100)),SMALL(IF(ISNUMBER(SEARCH(" "&amp;TRIM(MID(SUBSTITUTE(UPPER($C$26)," ",REPT(" ",100)),ROW(INDIRECT("1:"&amp;LEN($C$26)-LEN(SUBSTITUTE($C$26," ",""))+1))*100-99,100))&amp;" "," "&amp;UPPER($D$26)&amp;" ")),ROW(INDIRECT("1:"&amp;LEN($C$26)-LEN(SUBSTITUTE($C$26," ",""))+1)),99999),COLUMN()-COLUMN($F$26)+1)*100-99,100)),"")</f>
        <v/>
      </c>
      <c r="Q26" s="19" t="str" cm="1">
        <f t="array" ref="Q26" ca="1">IFERROR(TRIM(MID(SUBSTITUTE($C$26," ",REPT(" ",100)),SMALL(IF(ISNUMBER(SEARCH(" "&amp;TRIM(MID(SUBSTITUTE(UPPER($C$26)," ",REPT(" ",100)),ROW(INDIRECT("1:"&amp;LEN($C$26)-LEN(SUBSTITUTE($C$26," ",""))+1))*100-99,100))&amp;" "," "&amp;UPPER($D$26)&amp;" ")),ROW(INDIRECT("1:"&amp;LEN($C$26)-LEN(SUBSTITUTE($C$26," ",""))+1)),99999),COLUMN()-COLUMN($F$26)+1)*100-99,100)),"")</f>
        <v/>
      </c>
      <c r="R26" s="19" t="str" cm="1">
        <f t="array" ref="R26" ca="1">IFERROR(TRIM(MID(SUBSTITUTE($C$26," ",REPT(" ",100)),SMALL(IF(ISNUMBER(SEARCH(" "&amp;TRIM(MID(SUBSTITUTE(UPPER($C$26)," ",REPT(" ",100)),ROW(INDIRECT("1:"&amp;LEN($C$26)-LEN(SUBSTITUTE($C$26," ",""))+1))*100-99,100))&amp;" "," "&amp;UPPER($D$26)&amp;" ")),ROW(INDIRECT("1:"&amp;LEN($C$26)-LEN(SUBSTITUTE($C$26," ",""))+1)),99999),COLUMN()-COLUMN($F$26)+1)*100-99,100)),"")</f>
        <v/>
      </c>
      <c r="S26" s="19" t="str" cm="1">
        <f t="array" ref="S26" ca="1">IFERROR(TRIM(MID(SUBSTITUTE($C$26," ",REPT(" ",100)),SMALL(IF(ISNUMBER(SEARCH(" "&amp;TRIM(MID(SUBSTITUTE(UPPER($C$26)," ",REPT(" ",100)),ROW(INDIRECT("1:"&amp;LEN($C$26)-LEN(SUBSTITUTE($C$26," ",""))+1))*100-99,100))&amp;" "," "&amp;UPPER($D$26)&amp;" ")),ROW(INDIRECT("1:"&amp;LEN($C$26)-LEN(SUBSTITUTE($C$26," ",""))+1)),99999),COLUMN()-COLUMN($F$26)+1)*100-99,100)),"")</f>
        <v/>
      </c>
      <c r="T26" s="19" t="str" cm="1">
        <f t="array" ref="T26" ca="1">IFERROR(TRIM(MID(SUBSTITUTE($C$26," ",REPT(" ",100)),SMALL(IF(ISNUMBER(SEARCH(" "&amp;TRIM(MID(SUBSTITUTE(UPPER($C$26)," ",REPT(" ",100)),ROW(INDIRECT("1:"&amp;LEN($C$26)-LEN(SUBSTITUTE($C$26," ",""))+1))*100-99,100))&amp;" "," "&amp;UPPER($D$26)&amp;" ")),ROW(INDIRECT("1:"&amp;LEN($C$26)-LEN(SUBSTITUTE($C$26," ",""))+1)),99999),COLUMN()-COLUMN($F$26)+1)*100-99,100)),"")</f>
        <v/>
      </c>
      <c r="U26" s="19" t="str" cm="1">
        <f t="array" ref="U26" ca="1">IFERROR(TRIM(MID(SUBSTITUTE($C$26," ",REPT(" ",100)),SMALL(IF(ISNUMBER(SEARCH(" "&amp;TRIM(MID(SUBSTITUTE(UPPER($C$26)," ",REPT(" ",100)),ROW(INDIRECT("1:"&amp;LEN($C$26)-LEN(SUBSTITUTE($C$26," ",""))+1))*100-99,100))&amp;" "," "&amp;UPPER($D$26)&amp;" ")),ROW(INDIRECT("1:"&amp;LEN($C$26)-LEN(SUBSTITUTE($C$26," ",""))+1)),99999),COLUMN()-COLUMN($F$26)+1)*100-99,100)),"")</f>
        <v/>
      </c>
      <c r="V26" s="19" t="str" cm="1">
        <f t="array" ref="V26" ca="1">IFERROR(TRIM(MID(SUBSTITUTE($C$26," ",REPT(" ",100)),SMALL(IF(ISNUMBER(SEARCH(" "&amp;TRIM(MID(SUBSTITUTE(UPPER($C$26)," ",REPT(" ",100)),ROW(INDIRECT("1:"&amp;LEN($C$26)-LEN(SUBSTITUTE($C$26," ",""))+1))*100-99,100))&amp;" "," "&amp;UPPER($D$26)&amp;" ")),ROW(INDIRECT("1:"&amp;LEN($C$26)-LEN(SUBSTITUTE($C$26," ",""))+1)),99999),COLUMN()-COLUMN($F$26)+1)*100-99,100)),"")</f>
        <v/>
      </c>
      <c r="W26" s="19" t="str" cm="1">
        <f t="array" ref="W26" ca="1">IFERROR(TRIM(MID(SUBSTITUTE($C$26," ",REPT(" ",100)),SMALL(IF(ISNUMBER(SEARCH(" "&amp;TRIM(MID(SUBSTITUTE(UPPER($C$26)," ",REPT(" ",100)),ROW(INDIRECT("1:"&amp;LEN($C$26)-LEN(SUBSTITUTE($C$26," ",""))+1))*100-99,100))&amp;" "," "&amp;UPPER($D$26)&amp;" ")),ROW(INDIRECT("1:"&amp;LEN($C$26)-LEN(SUBSTITUTE($C$26," ",""))+1)),99999),COLUMN()-COLUMN($F$26)+1)*100-99,100)),"")</f>
        <v/>
      </c>
      <c r="X26" s="19" t="str" cm="1">
        <f t="array" ref="X26" ca="1">IFERROR(TRIM(MID(SUBSTITUTE($C$26," ",REPT(" ",100)),SMALL(IF(ISNUMBER(SEARCH(" "&amp;TRIM(MID(SUBSTITUTE(UPPER($C$26)," ",REPT(" ",100)),ROW(INDIRECT("1:"&amp;LEN($C$26)-LEN(SUBSTITUTE($C$26," ",""))+1))*100-99,100))&amp;" "," "&amp;UPPER($D$26)&amp;" ")),ROW(INDIRECT("1:"&amp;LEN($C$26)-LEN(SUBSTITUTE($C$26," ",""))+1)),99999),COLUMN()-COLUMN($F$26)+1)*100-99,100)),"")</f>
        <v/>
      </c>
      <c r="Y26" s="19" t="str" cm="1">
        <f t="array" ref="Y26" ca="1">IFERROR(TRIM(MID(SUBSTITUTE($C$26," ",REPT(" ",100)),SMALL(IF(ISNUMBER(SEARCH(" "&amp;TRIM(MID(SUBSTITUTE(UPPER($C$26)," ",REPT(" ",100)),ROW(INDIRECT("1:"&amp;LEN($C$26)-LEN(SUBSTITUTE($C$26," ",""))+1))*100-99,100))&amp;" "," "&amp;UPPER($D$26)&amp;" ")),ROW(INDIRECT("1:"&amp;LEN($C$26)-LEN(SUBSTITUTE($C$26," ",""))+1)),99999),COLUMN()-COLUMN($F$26)+1)*100-99,100)),"")</f>
        <v/>
      </c>
      <c r="Z26" s="19" t="str" cm="1">
        <f t="array" ref="Z26" ca="1">IFERROR(TRIM(MID(SUBSTITUTE($C$26," ",REPT(" ",100)),SMALL(IF(ISNUMBER(SEARCH(" "&amp;TRIM(MID(SUBSTITUTE(UPPER($C$26)," ",REPT(" ",100)),ROW(INDIRECT("1:"&amp;LEN($C$26)-LEN(SUBSTITUTE($C$26," ",""))+1))*100-99,100))&amp;" "," "&amp;UPPER($D$26)&amp;" ")),ROW(INDIRECT("1:"&amp;LEN($C$26)-LEN(SUBSTITUTE($C$26," ",""))+1)),99999),COLUMN()-COLUMN($F$26)+1)*100-99,100)),"")</f>
        <v/>
      </c>
    </row>
    <row r="27" spans="2:26">
      <c r="B27" s="19" t="s">
        <v>94</v>
      </c>
      <c r="C27" s="19" t="str">
        <f>'06.LocSk'!AA27</f>
        <v/>
      </c>
      <c r="D27" s="19" t="str">
        <f>'10.SITE'!AA27</f>
        <v/>
      </c>
      <c r="E27" s="19" t="str">
        <f t="shared" ref="E27:E29" ca="1" si="0">IF(_xlfn.TEXTJOIN(",",TRUE,F27:Z27)="","No matches",_xlfn.TEXTJOIN(",",TRUE,F27:Z27))</f>
        <v>No matches</v>
      </c>
      <c r="F27" s="19" t="str" cm="1">
        <f t="array" ref="F27" ca="1">IFERROR(TRIM(MID(SUBSTITUTE($C$27," ",REPT(" ",100)),SMALL(IF(ISNUMBER(SEARCH(" "&amp;TRIM(MID(SUBSTITUTE(UPPER($C$27)," ",REPT(" ",100)),ROW(INDIRECT("1:"&amp;LEN($C$27)-LEN(SUBSTITUTE($C$27," ",""))+1))*100-99,100))&amp;" "," "&amp;UPPER($D$27)&amp;" ")),ROW(INDIRECT("1:"&amp;LEN($C$27)-LEN(SUBSTITUTE($C$27," ",""))+1)),99999),COLUMN()-COLUMN($F$27)+1)*100-99,100)),"")</f>
        <v/>
      </c>
    </row>
    <row r="28" spans="2:26">
      <c r="B28" s="19" t="s">
        <v>97</v>
      </c>
      <c r="C28" s="19" t="str">
        <f>'06.LocSk'!AA28</f>
        <v/>
      </c>
      <c r="D28" s="19" t="str">
        <f>'10.SITE'!AA28</f>
        <v/>
      </c>
      <c r="E28" s="19" t="str">
        <f t="shared" ca="1" si="0"/>
        <v>No matches</v>
      </c>
      <c r="F28" s="19" t="str" cm="1">
        <f t="array" ref="F28" ca="1">IFERROR(TRIM(MID(SUBSTITUTE($C$28," ",REPT(" ",100)),SMALL(IF(ISNUMBER(SEARCH(" "&amp;TRIM(MID(SUBSTITUTE(UPPER($C$28)," ",REPT(" ",100)),ROW(INDIRECT("1:"&amp;LEN($C$28)-LEN(SUBSTITUTE($C$28," ",""))+1))*100-99,100))&amp;" "," "&amp;UPPER($D$28)&amp;" ")),ROW(INDIRECT("1:"&amp;LEN($C$28)-LEN(SUBSTITUTE($C$28," ",""))+1)),99999),COLUMN()-COLUMN($F$28)+1)*100-99,100)),"")</f>
        <v/>
      </c>
    </row>
    <row r="29" spans="2:26">
      <c r="B29" s="19" t="s">
        <v>100</v>
      </c>
      <c r="C29" s="19" t="str">
        <f>'06.LocSk'!AA29</f>
        <v/>
      </c>
      <c r="D29" s="19" t="str">
        <f>'10.SITE'!AA29</f>
        <v/>
      </c>
      <c r="E29" s="19" t="str">
        <f t="shared" ca="1" si="0"/>
        <v>No matches</v>
      </c>
      <c r="F29" s="19" t="str" cm="1">
        <f t="array" ref="F29" ca="1">IFERROR(TRIM(MID(SUBSTITUTE($C$29," ",REPT(" ",100)),SMALL(IF(ISNUMBER(SEARCH(" "&amp;TRIM(MID(SUBSTITUTE(UPPER($C$29)," ",REPT(" ",100)),ROW(INDIRECT("1:"&amp;LEN($C$29)-LEN(SUBSTITUTE($C$29," ",""))+1))*100-99,100))&amp;" "," "&amp;UPPER($D$29)&amp;" ")),ROW(INDIRECT("1:"&amp;LEN($C$29)-LEN(SUBSTITUTE($C$29," ",""))+1)),99999),COLUMN()-COLUMN($F$29)+1)*100-99,100)),"")</f>
        <v/>
      </c>
    </row>
    <row r="31" spans="2:26" ht="74.150000000000006" customHeight="1"/>
    <row r="32" spans="2:26" ht="123.65" customHeight="1">
      <c r="E32" s="19" t="str">
        <f ca="1">IF(SUMPRODUCT(--(E26&lt;&gt;"no matches"),--(E27&lt;&gt;"no matches"))+SUMPRODUCT(--(E27&lt;&gt;"no matches"),--(E28&lt;&gt;"no matches"))+SUMPRODUCT(--(E28&lt;&gt;"no matches"),--(E29&lt;&gt;"no matches"))+SUMPRODUCT(--(E29&lt;&gt;"no matches"),--(E26&lt;&gt;"no matches"))&gt;0,"Property is identified with the help of Location Sketch: "&amp;IF(AND(E26&lt;&gt;"no matches",E27&lt;&gt;"no matches"),"'"&amp;E26&amp;"' at north boundary and '"&amp;E27&amp;"' at east boundary as verified through site investigation align with Location Sketch boundary references",IF(AND(E27&lt;&gt;"no matches",E28&lt;&gt;"no matches"),"'"&amp;E27&amp;"' at east boundary and '"&amp;E28&amp;"' at south boundary as verified through site investigation align with title deed boundary references",IF(AND(E28&lt;&gt;"no matches",E29&lt;&gt;"no matches"),"'"&amp;E28&amp;"' at south boundary and '"&amp;E29&amp;"' at west boundary as verified through site investigation align with location sketch boundary references",IF(AND(E29&lt;&gt;"no matches",E26&lt;&gt;"no matches"),"'"&amp;E29&amp;"' at west boundary and '"&amp;E26&amp;"' at north boundary as verified through site investigation align with Location Sketch boundary references","")))),"Property does not have matches/connections with respect to Location Sketch")</f>
        <v>Property does not have matches/connections with respect to Location Sketch</v>
      </c>
    </row>
    <row r="33" ht="49.5" customHeight="1"/>
    <row r="37" ht="107.65" customHeight="1"/>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9"/>
  <dimension ref="B2:BH37"/>
  <sheetViews>
    <sheetView topLeftCell="A25" workbookViewId="0">
      <selection activeCell="C32" sqref="C32"/>
    </sheetView>
  </sheetViews>
  <sheetFormatPr defaultColWidth="9" defaultRowHeight="14.5"/>
  <cols>
    <col min="2" max="2" width="8.7265625" style="19"/>
    <col min="3" max="4" width="27.54296875" style="19" customWidth="1"/>
    <col min="5" max="5" width="32.54296875" style="19" customWidth="1"/>
    <col min="6" max="6" width="28.26953125" style="19" customWidth="1"/>
    <col min="7" max="24" width="8.7265625" style="19"/>
    <col min="26" max="36" width="8.7265625" style="19"/>
    <col min="38" max="42" width="8.7265625" style="19"/>
    <col min="44" max="48" width="8.7265625" style="19"/>
    <col min="50" max="54" width="8.7265625" style="19"/>
    <col min="56" max="60" width="8.7265625" style="19"/>
  </cols>
  <sheetData>
    <row r="2" spans="4:5">
      <c r="D2" s="19" t="s">
        <v>44</v>
      </c>
      <c r="E2" s="19" t="s">
        <v>1100</v>
      </c>
    </row>
    <row r="26" spans="2:26">
      <c r="B26" s="19" t="s">
        <v>91</v>
      </c>
      <c r="C26" s="19" t="str">
        <f>'07.SurSk'!AA26</f>
        <v/>
      </c>
      <c r="D26" s="19" t="str">
        <f>'10.SITE'!AA26</f>
        <v/>
      </c>
      <c r="E26" s="19" t="str">
        <f ca="1">IF(_xlfn.TEXTJOIN(",",TRUE,F26:Z26)="","No matches",_xlfn.TEXTJOIN(",",TRUE,F26:Z26))</f>
        <v>No matches</v>
      </c>
      <c r="F26" s="19" t="str" cm="1">
        <f t="array" ref="F26" ca="1">IFERROR(TRIM(MID(SUBSTITUTE($C$26," ",REPT(" ",100)),SMALL(IF(ISNUMBER(SEARCH(" "&amp;TRIM(MID(SUBSTITUTE(UPPER($C$26)," ",REPT(" ",100)),ROW(INDIRECT("1:"&amp;LEN($C$26)-LEN(SUBSTITUTE($C$26," ",""))+1))*100-99,100))&amp;" "," "&amp;UPPER($D$26)&amp;" ")),ROW(INDIRECT("1:"&amp;LEN($C$26)-LEN(SUBSTITUTE($C$26," ",""))+1)),99999),COLUMN()-COLUMN($F$26)+1)*100-99,100)),"")</f>
        <v/>
      </c>
      <c r="G26" s="19" t="str" cm="1">
        <f t="array" ref="G26" ca="1">IFERROR(TRIM(MID(SUBSTITUTE($C$26," ",REPT(" ",100)),SMALL(IF(ISNUMBER(SEARCH(" "&amp;TRIM(MID(SUBSTITUTE(UPPER($C$26)," ",REPT(" ",100)),ROW(INDIRECT("1:"&amp;LEN($C$26)-LEN(SUBSTITUTE($C$26," ",""))+1))*100-99,100))&amp;" "," "&amp;UPPER($D$26)&amp;" ")),ROW(INDIRECT("1:"&amp;LEN($C$26)-LEN(SUBSTITUTE($C$26," ",""))+1)),99999),COLUMN()-COLUMN($F$26)+1)*100-99,100)),"")</f>
        <v/>
      </c>
      <c r="H26" s="19" t="str" cm="1">
        <f t="array" ref="H26" ca="1">IFERROR(TRIM(MID(SUBSTITUTE($C$26," ",REPT(" ",100)),SMALL(IF(ISNUMBER(SEARCH(" "&amp;TRIM(MID(SUBSTITUTE(UPPER($C$26)," ",REPT(" ",100)),ROW(INDIRECT("1:"&amp;LEN($C$26)-LEN(SUBSTITUTE($C$26," ",""))+1))*100-99,100))&amp;" "," "&amp;UPPER($D$26)&amp;" ")),ROW(INDIRECT("1:"&amp;LEN($C$26)-LEN(SUBSTITUTE($C$26," ",""))+1)),99999),COLUMN()-COLUMN($F$26)+1)*100-99,100)),"")</f>
        <v/>
      </c>
      <c r="I26" s="19" t="str" cm="1">
        <f t="array" ref="I26" ca="1">IFERROR(TRIM(MID(SUBSTITUTE($C$26," ",REPT(" ",100)),SMALL(IF(ISNUMBER(SEARCH(" "&amp;TRIM(MID(SUBSTITUTE(UPPER($C$26)," ",REPT(" ",100)),ROW(INDIRECT("1:"&amp;LEN($C$26)-LEN(SUBSTITUTE($C$26," ",""))+1))*100-99,100))&amp;" "," "&amp;UPPER($D$26)&amp;" ")),ROW(INDIRECT("1:"&amp;LEN($C$26)-LEN(SUBSTITUTE($C$26," ",""))+1)),99999),COLUMN()-COLUMN($F$26)+1)*100-99,100)),"")</f>
        <v/>
      </c>
      <c r="J26" s="19" t="str" cm="1">
        <f t="array" ref="J26" ca="1">IFERROR(TRIM(MID(SUBSTITUTE($C$26," ",REPT(" ",100)),SMALL(IF(ISNUMBER(SEARCH(" "&amp;TRIM(MID(SUBSTITUTE(UPPER($C$26)," ",REPT(" ",100)),ROW(INDIRECT("1:"&amp;LEN($C$26)-LEN(SUBSTITUTE($C$26," ",""))+1))*100-99,100))&amp;" "," "&amp;UPPER($D$26)&amp;" ")),ROW(INDIRECT("1:"&amp;LEN($C$26)-LEN(SUBSTITUTE($C$26," ",""))+1)),99999),COLUMN()-COLUMN($F$26)+1)*100-99,100)),"")</f>
        <v/>
      </c>
      <c r="K26" s="19" t="str" cm="1">
        <f t="array" ref="K26" ca="1">IFERROR(TRIM(MID(SUBSTITUTE($C$26," ",REPT(" ",100)),SMALL(IF(ISNUMBER(SEARCH(" "&amp;TRIM(MID(SUBSTITUTE(UPPER($C$26)," ",REPT(" ",100)),ROW(INDIRECT("1:"&amp;LEN($C$26)-LEN(SUBSTITUTE($C$26," ",""))+1))*100-99,100))&amp;" "," "&amp;UPPER($D$26)&amp;" ")),ROW(INDIRECT("1:"&amp;LEN($C$26)-LEN(SUBSTITUTE($C$26," ",""))+1)),99999),COLUMN()-COLUMN($F$26)+1)*100-99,100)),"")</f>
        <v/>
      </c>
      <c r="L26" s="19" t="str" cm="1">
        <f t="array" ref="L26" ca="1">IFERROR(TRIM(MID(SUBSTITUTE($C$26," ",REPT(" ",100)),SMALL(IF(ISNUMBER(SEARCH(" "&amp;TRIM(MID(SUBSTITUTE(UPPER($C$26)," ",REPT(" ",100)),ROW(INDIRECT("1:"&amp;LEN($C$26)-LEN(SUBSTITUTE($C$26," ",""))+1))*100-99,100))&amp;" "," "&amp;UPPER($D$26)&amp;" ")),ROW(INDIRECT("1:"&amp;LEN($C$26)-LEN(SUBSTITUTE($C$26," ",""))+1)),99999),COLUMN()-COLUMN($F$26)+1)*100-99,100)),"")</f>
        <v/>
      </c>
      <c r="M26" s="19" t="str" cm="1">
        <f t="array" ref="M26" ca="1">IFERROR(TRIM(MID(SUBSTITUTE($C$26," ",REPT(" ",100)),SMALL(IF(ISNUMBER(SEARCH(" "&amp;TRIM(MID(SUBSTITUTE(UPPER($C$26)," ",REPT(" ",100)),ROW(INDIRECT("1:"&amp;LEN($C$26)-LEN(SUBSTITUTE($C$26," ",""))+1))*100-99,100))&amp;" "," "&amp;UPPER($D$26)&amp;" ")),ROW(INDIRECT("1:"&amp;LEN($C$26)-LEN(SUBSTITUTE($C$26," ",""))+1)),99999),COLUMN()-COLUMN($F$26)+1)*100-99,100)),"")</f>
        <v/>
      </c>
      <c r="N26" s="19" t="str" cm="1">
        <f t="array" ref="N26" ca="1">IFERROR(TRIM(MID(SUBSTITUTE($C$26," ",REPT(" ",100)),SMALL(IF(ISNUMBER(SEARCH(" "&amp;TRIM(MID(SUBSTITUTE(UPPER($C$26)," ",REPT(" ",100)),ROW(INDIRECT("1:"&amp;LEN($C$26)-LEN(SUBSTITUTE($C$26," ",""))+1))*100-99,100))&amp;" "," "&amp;UPPER($D$26)&amp;" ")),ROW(INDIRECT("1:"&amp;LEN($C$26)-LEN(SUBSTITUTE($C$26," ",""))+1)),99999),COLUMN()-COLUMN($F$26)+1)*100-99,100)),"")</f>
        <v/>
      </c>
      <c r="O26" s="19" t="str" cm="1">
        <f t="array" ref="O26" ca="1">IFERROR(TRIM(MID(SUBSTITUTE($C$26," ",REPT(" ",100)),SMALL(IF(ISNUMBER(SEARCH(" "&amp;TRIM(MID(SUBSTITUTE(UPPER($C$26)," ",REPT(" ",100)),ROW(INDIRECT("1:"&amp;LEN($C$26)-LEN(SUBSTITUTE($C$26," ",""))+1))*100-99,100))&amp;" "," "&amp;UPPER($D$26)&amp;" ")),ROW(INDIRECT("1:"&amp;LEN($C$26)-LEN(SUBSTITUTE($C$26," ",""))+1)),99999),COLUMN()-COLUMN($F$26)+1)*100-99,100)),"")</f>
        <v/>
      </c>
      <c r="P26" s="19" t="str" cm="1">
        <f t="array" ref="P26" ca="1">IFERROR(TRIM(MID(SUBSTITUTE($C$26," ",REPT(" ",100)),SMALL(IF(ISNUMBER(SEARCH(" "&amp;TRIM(MID(SUBSTITUTE(UPPER($C$26)," ",REPT(" ",100)),ROW(INDIRECT("1:"&amp;LEN($C$26)-LEN(SUBSTITUTE($C$26," ",""))+1))*100-99,100))&amp;" "," "&amp;UPPER($D$26)&amp;" ")),ROW(INDIRECT("1:"&amp;LEN($C$26)-LEN(SUBSTITUTE($C$26," ",""))+1)),99999),COLUMN()-COLUMN($F$26)+1)*100-99,100)),"")</f>
        <v/>
      </c>
      <c r="Q26" s="19" t="str" cm="1">
        <f t="array" ref="Q26" ca="1">IFERROR(TRIM(MID(SUBSTITUTE($C$26," ",REPT(" ",100)),SMALL(IF(ISNUMBER(SEARCH(" "&amp;TRIM(MID(SUBSTITUTE(UPPER($C$26)," ",REPT(" ",100)),ROW(INDIRECT("1:"&amp;LEN($C$26)-LEN(SUBSTITUTE($C$26," ",""))+1))*100-99,100))&amp;" "," "&amp;UPPER($D$26)&amp;" ")),ROW(INDIRECT("1:"&amp;LEN($C$26)-LEN(SUBSTITUTE($C$26," ",""))+1)),99999),COLUMN()-COLUMN($F$26)+1)*100-99,100)),"")</f>
        <v/>
      </c>
      <c r="R26" s="19" t="str" cm="1">
        <f t="array" ref="R26" ca="1">IFERROR(TRIM(MID(SUBSTITUTE($C$26," ",REPT(" ",100)),SMALL(IF(ISNUMBER(SEARCH(" "&amp;TRIM(MID(SUBSTITUTE(UPPER($C$26)," ",REPT(" ",100)),ROW(INDIRECT("1:"&amp;LEN($C$26)-LEN(SUBSTITUTE($C$26," ",""))+1))*100-99,100))&amp;" "," "&amp;UPPER($D$26)&amp;" ")),ROW(INDIRECT("1:"&amp;LEN($C$26)-LEN(SUBSTITUTE($C$26," ",""))+1)),99999),COLUMN()-COLUMN($F$26)+1)*100-99,100)),"")</f>
        <v/>
      </c>
      <c r="S26" s="19" t="str" cm="1">
        <f t="array" ref="S26" ca="1">IFERROR(TRIM(MID(SUBSTITUTE($C$26," ",REPT(" ",100)),SMALL(IF(ISNUMBER(SEARCH(" "&amp;TRIM(MID(SUBSTITUTE(UPPER($C$26)," ",REPT(" ",100)),ROW(INDIRECT("1:"&amp;LEN($C$26)-LEN(SUBSTITUTE($C$26," ",""))+1))*100-99,100))&amp;" "," "&amp;UPPER($D$26)&amp;" ")),ROW(INDIRECT("1:"&amp;LEN($C$26)-LEN(SUBSTITUTE($C$26," ",""))+1)),99999),COLUMN()-COLUMN($F$26)+1)*100-99,100)),"")</f>
        <v/>
      </c>
      <c r="T26" s="19" t="str" cm="1">
        <f t="array" ref="T26" ca="1">IFERROR(TRIM(MID(SUBSTITUTE($C$26," ",REPT(" ",100)),SMALL(IF(ISNUMBER(SEARCH(" "&amp;TRIM(MID(SUBSTITUTE(UPPER($C$26)," ",REPT(" ",100)),ROW(INDIRECT("1:"&amp;LEN($C$26)-LEN(SUBSTITUTE($C$26," ",""))+1))*100-99,100))&amp;" "," "&amp;UPPER($D$26)&amp;" ")),ROW(INDIRECT("1:"&amp;LEN($C$26)-LEN(SUBSTITUTE($C$26," ",""))+1)),99999),COLUMN()-COLUMN($F$26)+1)*100-99,100)),"")</f>
        <v/>
      </c>
      <c r="U26" s="19" t="str" cm="1">
        <f t="array" ref="U26" ca="1">IFERROR(TRIM(MID(SUBSTITUTE($C$26," ",REPT(" ",100)),SMALL(IF(ISNUMBER(SEARCH(" "&amp;TRIM(MID(SUBSTITUTE(UPPER($C$26)," ",REPT(" ",100)),ROW(INDIRECT("1:"&amp;LEN($C$26)-LEN(SUBSTITUTE($C$26," ",""))+1))*100-99,100))&amp;" "," "&amp;UPPER($D$26)&amp;" ")),ROW(INDIRECT("1:"&amp;LEN($C$26)-LEN(SUBSTITUTE($C$26," ",""))+1)),99999),COLUMN()-COLUMN($F$26)+1)*100-99,100)),"")</f>
        <v/>
      </c>
      <c r="V26" s="19" t="str" cm="1">
        <f t="array" ref="V26" ca="1">IFERROR(TRIM(MID(SUBSTITUTE($C$26," ",REPT(" ",100)),SMALL(IF(ISNUMBER(SEARCH(" "&amp;TRIM(MID(SUBSTITUTE(UPPER($C$26)," ",REPT(" ",100)),ROW(INDIRECT("1:"&amp;LEN($C$26)-LEN(SUBSTITUTE($C$26," ",""))+1))*100-99,100))&amp;" "," "&amp;UPPER($D$26)&amp;" ")),ROW(INDIRECT("1:"&amp;LEN($C$26)-LEN(SUBSTITUTE($C$26," ",""))+1)),99999),COLUMN()-COLUMN($F$26)+1)*100-99,100)),"")</f>
        <v/>
      </c>
      <c r="W26" s="19" t="str" cm="1">
        <f t="array" ref="W26" ca="1">IFERROR(TRIM(MID(SUBSTITUTE($C$26," ",REPT(" ",100)),SMALL(IF(ISNUMBER(SEARCH(" "&amp;TRIM(MID(SUBSTITUTE(UPPER($C$26)," ",REPT(" ",100)),ROW(INDIRECT("1:"&amp;LEN($C$26)-LEN(SUBSTITUTE($C$26," ",""))+1))*100-99,100))&amp;" "," "&amp;UPPER($D$26)&amp;" ")),ROW(INDIRECT("1:"&amp;LEN($C$26)-LEN(SUBSTITUTE($C$26," ",""))+1)),99999),COLUMN()-COLUMN($F$26)+1)*100-99,100)),"")</f>
        <v/>
      </c>
      <c r="X26" s="19" t="str" cm="1">
        <f t="array" ref="X26" ca="1">IFERROR(TRIM(MID(SUBSTITUTE($C$26," ",REPT(" ",100)),SMALL(IF(ISNUMBER(SEARCH(" "&amp;TRIM(MID(SUBSTITUTE(UPPER($C$26)," ",REPT(" ",100)),ROW(INDIRECT("1:"&amp;LEN($C$26)-LEN(SUBSTITUTE($C$26," ",""))+1))*100-99,100))&amp;" "," "&amp;UPPER($D$26)&amp;" ")),ROW(INDIRECT("1:"&amp;LEN($C$26)-LEN(SUBSTITUTE($C$26," ",""))+1)),99999),COLUMN()-COLUMN($F$26)+1)*100-99,100)),"")</f>
        <v/>
      </c>
      <c r="Y26" s="19" t="str" cm="1">
        <f t="array" ref="Y26" ca="1">IFERROR(TRIM(MID(SUBSTITUTE($C$26," ",REPT(" ",100)),SMALL(IF(ISNUMBER(SEARCH(" "&amp;TRIM(MID(SUBSTITUTE(UPPER($C$26)," ",REPT(" ",100)),ROW(INDIRECT("1:"&amp;LEN($C$26)-LEN(SUBSTITUTE($C$26," ",""))+1))*100-99,100))&amp;" "," "&amp;UPPER($D$26)&amp;" ")),ROW(INDIRECT("1:"&amp;LEN($C$26)-LEN(SUBSTITUTE($C$26," ",""))+1)),99999),COLUMN()-COLUMN($F$26)+1)*100-99,100)),"")</f>
        <v/>
      </c>
      <c r="Z26" s="19" t="str" cm="1">
        <f t="array" ref="Z26" ca="1">IFERROR(TRIM(MID(SUBSTITUTE($C$26," ",REPT(" ",100)),SMALL(IF(ISNUMBER(SEARCH(" "&amp;TRIM(MID(SUBSTITUTE(UPPER($C$26)," ",REPT(" ",100)),ROW(INDIRECT("1:"&amp;LEN($C$26)-LEN(SUBSTITUTE($C$26," ",""))+1))*100-99,100))&amp;" "," "&amp;UPPER($D$26)&amp;" ")),ROW(INDIRECT("1:"&amp;LEN($C$26)-LEN(SUBSTITUTE($C$26," ",""))+1)),99999),COLUMN()-COLUMN($F$26)+1)*100-99,100)),"")</f>
        <v/>
      </c>
    </row>
    <row r="27" spans="2:26">
      <c r="B27" s="19" t="s">
        <v>94</v>
      </c>
      <c r="C27" s="19" t="str">
        <f>'07.SurSk'!AA27</f>
        <v/>
      </c>
      <c r="D27" s="19" t="str">
        <f>'10.SITE'!AA27</f>
        <v/>
      </c>
      <c r="E27" s="19" t="str">
        <f t="shared" ref="E27:E29" ca="1" si="0">IF(_xlfn.TEXTJOIN(",",TRUE,F27:Z27)="","No matches",_xlfn.TEXTJOIN(",",TRUE,F27:Z27))</f>
        <v>No matches</v>
      </c>
      <c r="F27" s="19" t="str" cm="1">
        <f t="array" ref="F27" ca="1">IFERROR(TRIM(MID(SUBSTITUTE($C$27," ",REPT(" ",100)),SMALL(IF(ISNUMBER(SEARCH(" "&amp;TRIM(MID(SUBSTITUTE(UPPER($C$27)," ",REPT(" ",100)),ROW(INDIRECT("1:"&amp;LEN($C$27)-LEN(SUBSTITUTE($C$27," ",""))+1))*100-99,100))&amp;" "," "&amp;UPPER($D$27)&amp;" ")),ROW(INDIRECT("1:"&amp;LEN($C$27)-LEN(SUBSTITUTE($C$27," ",""))+1)),99999),COLUMN()-COLUMN($F$27)+1)*100-99,100)),"")</f>
        <v/>
      </c>
    </row>
    <row r="28" spans="2:26">
      <c r="B28" s="19" t="s">
        <v>97</v>
      </c>
      <c r="C28" s="19" t="str">
        <f>'07.SurSk'!AA28</f>
        <v/>
      </c>
      <c r="D28" s="19" t="str">
        <f>'10.SITE'!AA28</f>
        <v/>
      </c>
      <c r="E28" s="19" t="str">
        <f t="shared" ca="1" si="0"/>
        <v>No matches</v>
      </c>
      <c r="F28" s="19" t="str" cm="1">
        <f t="array" ref="F28" ca="1">IFERROR(TRIM(MID(SUBSTITUTE($C$28," ",REPT(" ",100)),SMALL(IF(ISNUMBER(SEARCH(" "&amp;TRIM(MID(SUBSTITUTE(UPPER($C$28)," ",REPT(" ",100)),ROW(INDIRECT("1:"&amp;LEN($C$28)-LEN(SUBSTITUTE($C$28," ",""))+1))*100-99,100))&amp;" "," "&amp;UPPER($D$28)&amp;" ")),ROW(INDIRECT("1:"&amp;LEN($C$28)-LEN(SUBSTITUTE($C$28," ",""))+1)),99999),COLUMN()-COLUMN($F$28)+1)*100-99,100)),"")</f>
        <v/>
      </c>
    </row>
    <row r="29" spans="2:26">
      <c r="B29" s="19" t="s">
        <v>100</v>
      </c>
      <c r="C29" s="19" t="str">
        <f>'07.SurSk'!AA29</f>
        <v/>
      </c>
      <c r="D29" s="19" t="str">
        <f>'10.SITE'!AA29</f>
        <v/>
      </c>
      <c r="E29" s="19" t="str">
        <f t="shared" ca="1" si="0"/>
        <v>No matches</v>
      </c>
      <c r="F29" s="19" t="str" cm="1">
        <f t="array" ref="F29" ca="1">IFERROR(TRIM(MID(SUBSTITUTE($C$29," ",REPT(" ",100)),SMALL(IF(ISNUMBER(SEARCH(" "&amp;TRIM(MID(SUBSTITUTE(UPPER($C$29)," ",REPT(" ",100)),ROW(INDIRECT("1:"&amp;LEN($C$29)-LEN(SUBSTITUTE($C$29," ",""))+1))*100-99,100))&amp;" "," "&amp;UPPER($D$29)&amp;" ")),ROW(INDIRECT("1:"&amp;LEN($C$29)-LEN(SUBSTITUTE($C$29," ",""))+1)),99999),COLUMN()-COLUMN($F$29)+1)*100-99,100)),"")</f>
        <v/>
      </c>
    </row>
    <row r="31" spans="2:26" ht="74.150000000000006" customHeight="1"/>
    <row r="32" spans="2:26" ht="211.5" customHeight="1">
      <c r="C32" s="19" t="str">
        <f ca="1">IF('02.OTD'!AA2=0,"",'03.AnalysisboundaryDeed'!E32)</f>
        <v>Property boundaries does not have matches/connections with respect to Title deed</v>
      </c>
      <c r="D32" s="19" t="str">
        <f>IF('06.LocSk'!AA2=0,"",'04.AnalysisboundaryLocSk'!E32)</f>
        <v/>
      </c>
      <c r="E32" s="19" t="str">
        <f>IF('07.SurSk'!AA2=0,"",IF(SUMPRODUCT(--(E26&lt;&gt;"no matches"),--(E27&lt;&gt;"no matches"))+SUMPRODUCT(--(E27&lt;&gt;"no matches"),--(E28&lt;&gt;"no matches"))+SUMPRODUCT(--(E28&lt;&gt;"no matches"),--(E29&lt;&gt;"no matches"))+SUMPRODUCT(--(E29&lt;&gt;"no matches"),--(E26&lt;&gt;"no matches"))&gt;0,"Property is identified with the help of Survey Sketch: "&amp;IF(AND(E26&lt;&gt;"no matches",E27&lt;&gt;"no matches"),"'"&amp;E26&amp;"' at north boundary and '"&amp;E27&amp;"' at east boundary as verified through site investigation align with Survey Sketch boundary references",IF(AND(E27&lt;&gt;"no matches",E28&lt;&gt;"no matches"),"'"&amp;E27&amp;"' at east boundary and '"&amp;E28&amp;"' at south boundary as verified through site investigation align with title deed boundary references",IF(AND(E28&lt;&gt;"no matches",E29&lt;&gt;"no matches"),"'"&amp;E28&amp;"' at south boundary and '"&amp;E29&amp;"' at west boundary as verified through site investigation align with Survey sketch boundary references",IF(AND(E29&lt;&gt;"no matches",E26&lt;&gt;"no matches"),"'"&amp;E29&amp;"' at west boundary and '"&amp;E26&amp;"' at north boundary as verified through site investigation align with Survey Sketch boundary references","")))),"Property does not have matches/connections with respect to Survey Sketch"))</f>
        <v/>
      </c>
      <c r="F32" s="75" t="str">
        <f ca="1">_xlfn.TEXTJOIN(",",TRUE,C32:E32)</f>
        <v>Property boundaries does not have matches/connections with respect to Title deed</v>
      </c>
      <c r="G32" s="19" t="s">
        <v>319</v>
      </c>
    </row>
    <row r="33" spans="3:5" ht="49.5" customHeight="1">
      <c r="C33" s="19" t="s">
        <v>44</v>
      </c>
      <c r="D33" s="19" t="s">
        <v>213</v>
      </c>
      <c r="E33" s="19" t="s">
        <v>216</v>
      </c>
    </row>
    <row r="37" spans="3:5" ht="107.65" customHeight="1"/>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dimension ref="A2:AZ113"/>
  <sheetViews>
    <sheetView topLeftCell="W23" workbookViewId="0">
      <selection activeCell="AA23" sqref="AA23"/>
    </sheetView>
  </sheetViews>
  <sheetFormatPr defaultColWidth="9.26953125" defaultRowHeight="14.5"/>
  <cols>
    <col min="1" max="1" width="3" style="69" customWidth="1"/>
    <col min="2" max="2" width="23.26953125" style="69" customWidth="1"/>
    <col min="3" max="3" width="11.54296875" style="69" customWidth="1"/>
    <col min="4" max="26" width="9.26953125" style="69"/>
    <col min="27" max="27" width="52.7265625" style="69" customWidth="1"/>
    <col min="28" max="28" width="15.54296875" style="69" customWidth="1"/>
    <col min="29" max="29" width="25.26953125" style="69" customWidth="1"/>
    <col min="30" max="31" width="29.26953125" style="69" customWidth="1"/>
    <col min="32" max="16384" width="9.26953125" style="69"/>
  </cols>
  <sheetData>
    <row r="2" spans="1:29">
      <c r="C2" s="70" t="str">
        <f>IF(MaGic_AVM_Land!C2="Agreement","Y","N")</f>
        <v>Y</v>
      </c>
      <c r="D2" s="70" t="str">
        <f>IF(MaGic_AVM_Land!D2="Agreement","Y","N")</f>
        <v>N</v>
      </c>
      <c r="E2" s="70" t="str">
        <f>IF(MaGic_AVM_Land!E2="Agreement","Y","N")</f>
        <v>N</v>
      </c>
      <c r="F2" s="70" t="str">
        <f>IF(MaGic_AVM_Land!F2="Agreement","Y","N")</f>
        <v>N</v>
      </c>
      <c r="G2" s="70" t="str">
        <f>IF(MaGic_AVM_Land!G2="Agreement","Y","N")</f>
        <v>N</v>
      </c>
      <c r="H2" s="70" t="str">
        <f>IF(MaGic_AVM_Land!H2="Agreement","Y","N")</f>
        <v>N</v>
      </c>
      <c r="I2" s="70" t="str">
        <f>IF(MaGic_AVM_Land!I2="Agreement","Y","N")</f>
        <v>N</v>
      </c>
      <c r="J2" s="70" t="str">
        <f>IF(MaGic_AVM_Land!J2="Agreement","Y","N")</f>
        <v>N</v>
      </c>
      <c r="K2" s="70" t="str">
        <f>IF(MaGic_AVM_Land!K2="Agreement","Y","N")</f>
        <v>N</v>
      </c>
      <c r="L2" s="70" t="str">
        <f>IF(MaGic_AVM_Land!L2="Agreement","Y","N")</f>
        <v>N</v>
      </c>
      <c r="M2" s="70" t="str">
        <f>IF(MaGic_AVM_Land!M2="Agreement","Y","N")</f>
        <v>N</v>
      </c>
      <c r="N2" s="70" t="str">
        <f>IF(MaGic_AVM_Land!N2="Agreement","Y","N")</f>
        <v>N</v>
      </c>
      <c r="O2" s="70" t="str">
        <f>IF(MaGic_AVM_Land!O2="Agreement","Y","N")</f>
        <v>N</v>
      </c>
      <c r="P2" s="70" t="str">
        <f>IF(MaGic_AVM_Land!P2="Agreement","Y","N")</f>
        <v>N</v>
      </c>
      <c r="Q2" s="70" t="str">
        <f>IF(MaGic_AVM_Land!Q2="Agreement","Y","N")</f>
        <v>N</v>
      </c>
      <c r="R2" s="70" t="str">
        <f>IF(MaGic_AVM_Land!R2="Agreement","Y","N")</f>
        <v>N</v>
      </c>
      <c r="S2" s="70" t="str">
        <f>IF(MaGic_AVM_Land!S2="Agreement","Y","N")</f>
        <v>N</v>
      </c>
      <c r="T2" s="70" t="str">
        <f>IF(MaGic_AVM_Land!T2="Agreement","Y","N")</f>
        <v>N</v>
      </c>
      <c r="U2" s="70" t="str">
        <f>IF(MaGic_AVM_Land!U2="Agreement","Y","N")</f>
        <v>N</v>
      </c>
      <c r="V2" s="70" t="str">
        <f>IF(MaGic_AVM_Land!V2="Agreement","Y","N")</f>
        <v>N</v>
      </c>
      <c r="W2" s="70" t="str">
        <f>IF(MaGic_AVM_Land!W2="Agreement","Y","N")</f>
        <v>N</v>
      </c>
      <c r="X2" s="70" t="str">
        <f>IF(MaGic_AVM_Land!X2="Agreement","Y","N")</f>
        <v>N</v>
      </c>
      <c r="Y2" s="70" t="str">
        <f>IF(MaGic_AVM_Land!Y2="Agreement","Y","N")</f>
        <v>N</v>
      </c>
      <c r="Z2" s="70" t="str">
        <f>IF(MaGic_AVM_Land!Z2="Agreement","Y","N")</f>
        <v>N</v>
      </c>
      <c r="AA2" s="69">
        <f>COUNTIF(C2:Z2,"Y")</f>
        <v>1</v>
      </c>
      <c r="AB2" s="69" t="str" cm="1">
        <f t="array" ref="AB2:AC2">_xlfn.UNIQUE(C2:Z2,TRUE,FALSE)</f>
        <v>Y</v>
      </c>
      <c r="AC2" s="69" t="str">
        <v>N</v>
      </c>
    </row>
    <row r="3" spans="1:29">
      <c r="A3" s="69">
        <v>1</v>
      </c>
      <c r="B3" s="69" t="s">
        <v>48</v>
      </c>
      <c r="C3" s="70" t="str">
        <f>IF(C$2="Y",IF(MaGic_AVM_Land!C3=0,"",MaGic_AVM_Land!C3),"")</f>
        <v>153/2022</v>
      </c>
      <c r="D3" s="70" t="str">
        <f>IF(D$2="Y",IF(MaGic_AVM_Land!D3=0,"",MaGic_AVM_Land!D3),"")</f>
        <v/>
      </c>
      <c r="E3" s="70" t="str">
        <f>IF(E$2="Y",IF(MaGic_AVM_Land!E3=0,"",MaGic_AVM_Land!E3),"")</f>
        <v/>
      </c>
      <c r="F3" s="70" t="str">
        <f>IF(F$2="Y",IF(MaGic_AVM_Land!F3=0,"",MaGic_AVM_Land!F3),"")</f>
        <v/>
      </c>
      <c r="G3" s="70" t="str">
        <f>IF(G$2="Y",IF(MaGic_AVM_Land!G3=0,"",MaGic_AVM_Land!G3),"")</f>
        <v/>
      </c>
      <c r="H3" s="70" t="str">
        <f>IF(H$2="Y",IF(MaGic_AVM_Land!H3=0,"",MaGic_AVM_Land!H3),"")</f>
        <v/>
      </c>
      <c r="I3" s="70" t="str">
        <f>IF(I$2="Y",IF(MaGic_AVM_Land!I3=0,"",MaGic_AVM_Land!I3),"")</f>
        <v/>
      </c>
      <c r="J3" s="70" t="str">
        <f>IF(J$2="Y",IF(MaGic_AVM_Land!J3=0,"",MaGic_AVM_Land!J3),"")</f>
        <v/>
      </c>
      <c r="K3" s="70" t="str">
        <f>IF(K$2="Y",IF(MaGic_AVM_Land!K3=0,"",MaGic_AVM_Land!K3),"")</f>
        <v/>
      </c>
      <c r="L3" s="70" t="str">
        <f>IF(L$2="Y",IF(MaGic_AVM_Land!L3=0,"",MaGic_AVM_Land!L3),"")</f>
        <v/>
      </c>
      <c r="M3" s="70" t="str">
        <f>IF(M$2="Y",IF(MaGic_AVM_Land!M3=0,"",MaGic_AVM_Land!M3),"")</f>
        <v/>
      </c>
      <c r="N3" s="70" t="str">
        <f>IF(N$2="Y",IF(MaGic_AVM_Land!N3=0,"",MaGic_AVM_Land!N3),"")</f>
        <v/>
      </c>
      <c r="O3" s="70" t="str">
        <f>IF(O$2="Y",IF(MaGic_AVM_Land!O3=0,"",MaGic_AVM_Land!O3),"")</f>
        <v/>
      </c>
      <c r="P3" s="70" t="str">
        <f>IF(P$2="Y",IF(MaGic_AVM_Land!P3=0,"",MaGic_AVM_Land!P3),"")</f>
        <v/>
      </c>
      <c r="Q3" s="70" t="str">
        <f>IF(Q$2="Y",IF(MaGic_AVM_Land!Q3=0,"",MaGic_AVM_Land!Q3),"")</f>
        <v/>
      </c>
      <c r="R3" s="70" t="str">
        <f>IF(R$2="Y",IF(MaGic_AVM_Land!R3=0,"",MaGic_AVM_Land!R3),"")</f>
        <v/>
      </c>
      <c r="S3" s="70" t="str">
        <f>IF(S$2="Y",IF(MaGic_AVM_Land!S3=0,"",MaGic_AVM_Land!S3),"")</f>
        <v/>
      </c>
      <c r="T3" s="70" t="str">
        <f>IF(T$2="Y",IF(MaGic_AVM_Land!T3=0,"",MaGic_AVM_Land!T3),"")</f>
        <v/>
      </c>
      <c r="U3" s="70" t="str">
        <f>IF(U$2="Y",IF(MaGic_AVM_Land!U3=0,"",MaGic_AVM_Land!U3),"")</f>
        <v/>
      </c>
      <c r="V3" s="70" t="str">
        <f>IF(V$2="Y",IF(MaGic_AVM_Land!V3=0,"",MaGic_AVM_Land!V3),"")</f>
        <v/>
      </c>
      <c r="W3" s="70" t="str">
        <f>IF(W$2="Y",IF(MaGic_AVM_Land!W3=0,"",MaGic_AVM_Land!W3),"")</f>
        <v/>
      </c>
      <c r="X3" s="70" t="str">
        <f>IF(X$2="Y",IF(MaGic_AVM_Land!X3=0,"",MaGic_AVM_Land!X3),"")</f>
        <v/>
      </c>
      <c r="Y3" s="70" t="str">
        <f>IF(Y$2="Y",IF(MaGic_AVM_Land!Y3=0,"",MaGic_AVM_Land!Y3),"")</f>
        <v/>
      </c>
      <c r="Z3" s="70" t="str">
        <f>IF(Z$2="Y",IF(MaGic_AVM_Land!Z3=0,"",MaGic_AVM_Land!Z3),"")</f>
        <v/>
      </c>
      <c r="AA3" s="69" t="str">
        <f>_xlfn.TEXTJOIN(", ",TRUE,AB3:AZ3)</f>
        <v>153/2022</v>
      </c>
      <c r="AB3" s="69" t="str" cm="1">
        <f t="array" ref="AB3:AC3">_xlfn.UNIQUE(C3:Z3,TRUE,FALSE)</f>
        <v>153/2022</v>
      </c>
      <c r="AC3" s="69" t="str">
        <v/>
      </c>
    </row>
    <row r="4" spans="1:29">
      <c r="A4" s="69">
        <v>2</v>
      </c>
      <c r="B4" s="69" t="s">
        <v>51</v>
      </c>
      <c r="C4" s="70" t="str">
        <f>IF(C$2="Y",IF(MaGic_AVM_Land!C4=0,"",MaGic_AVM_Land!C4),"")</f>
        <v/>
      </c>
      <c r="D4" s="70" t="str">
        <f>IF(D$2="Y",IF(MaGic_AVM_Land!D4=0,"",MaGic_AVM_Land!D4),"")</f>
        <v/>
      </c>
      <c r="E4" s="70" t="str">
        <f>IF(E$2="Y",IF(MaGic_AVM_Land!E4=0,"",MaGic_AVM_Land!E4),"")</f>
        <v/>
      </c>
      <c r="F4" s="70" t="str">
        <f>IF(F$2="Y",IF(MaGic_AVM_Land!F4=0,"",MaGic_AVM_Land!F4),"")</f>
        <v/>
      </c>
      <c r="G4" s="70" t="str">
        <f>IF(G$2="Y",IF(MaGic_AVM_Land!G4=0,"",MaGic_AVM_Land!G4),"")</f>
        <v/>
      </c>
      <c r="H4" s="70" t="str">
        <f>IF(H$2="Y",IF(MaGic_AVM_Land!H4=0,"",MaGic_AVM_Land!H4),"")</f>
        <v/>
      </c>
      <c r="I4" s="70" t="str">
        <f>IF(I$2="Y",IF(MaGic_AVM_Land!I4=0,"",MaGic_AVM_Land!I4),"")</f>
        <v/>
      </c>
      <c r="J4" s="70" t="str">
        <f>IF(J$2="Y",IF(MaGic_AVM_Land!J4=0,"",MaGic_AVM_Land!J4),"")</f>
        <v/>
      </c>
      <c r="K4" s="70" t="str">
        <f>IF(K$2="Y",IF(MaGic_AVM_Land!K4=0,"",MaGic_AVM_Land!K4),"")</f>
        <v/>
      </c>
      <c r="L4" s="70" t="str">
        <f>IF(L$2="Y",IF(MaGic_AVM_Land!L4=0,"",MaGic_AVM_Land!L4),"")</f>
        <v/>
      </c>
      <c r="M4" s="70" t="str">
        <f>IF(M$2="Y",IF(MaGic_AVM_Land!M4=0,"",MaGic_AVM_Land!M4),"")</f>
        <v/>
      </c>
      <c r="N4" s="70" t="str">
        <f>IF(N$2="Y",IF(MaGic_AVM_Land!N4=0,"",MaGic_AVM_Land!N4),"")</f>
        <v/>
      </c>
      <c r="O4" s="70" t="str">
        <f>IF(O$2="Y",IF(MaGic_AVM_Land!O4=0,"",MaGic_AVM_Land!O4),"")</f>
        <v/>
      </c>
      <c r="P4" s="70" t="str">
        <f>IF(P$2="Y",IF(MaGic_AVM_Land!P4=0,"",MaGic_AVM_Land!P4),"")</f>
        <v/>
      </c>
      <c r="Q4" s="70" t="str">
        <f>IF(Q$2="Y",IF(MaGic_AVM_Land!Q4=0,"",MaGic_AVM_Land!Q4),"")</f>
        <v/>
      </c>
      <c r="R4" s="70" t="str">
        <f>IF(R$2="Y",IF(MaGic_AVM_Land!R4=0,"",MaGic_AVM_Land!R4),"")</f>
        <v/>
      </c>
      <c r="S4" s="70" t="str">
        <f>IF(S$2="Y",IF(MaGic_AVM_Land!S4=0,"",MaGic_AVM_Land!S4),"")</f>
        <v/>
      </c>
      <c r="T4" s="70" t="str">
        <f>IF(T$2="Y",IF(MaGic_AVM_Land!T4=0,"",MaGic_AVM_Land!T4),"")</f>
        <v/>
      </c>
      <c r="U4" s="70" t="str">
        <f>IF(U$2="Y",IF(MaGic_AVM_Land!U4=0,"",MaGic_AVM_Land!U4),"")</f>
        <v/>
      </c>
      <c r="V4" s="70" t="str">
        <f>IF(V$2="Y",IF(MaGic_AVM_Land!V4=0,"",MaGic_AVM_Land!V4),"")</f>
        <v/>
      </c>
      <c r="W4" s="70" t="str">
        <f>IF(W$2="Y",IF(MaGic_AVM_Land!W4=0,"",MaGic_AVM_Land!W4),"")</f>
        <v/>
      </c>
      <c r="X4" s="70" t="str">
        <f>IF(X$2="Y",IF(MaGic_AVM_Land!X4=0,"",MaGic_AVM_Land!X4),"")</f>
        <v/>
      </c>
      <c r="Y4" s="70" t="str">
        <f>IF(Y$2="Y",IF(MaGic_AVM_Land!Y4=0,"",MaGic_AVM_Land!Y4),"")</f>
        <v/>
      </c>
      <c r="Z4" s="70" t="str">
        <f>IF(Z$2="Y",IF(MaGic_AVM_Land!Z4=0,"",MaGic_AVM_Land!Z4),"")</f>
        <v/>
      </c>
      <c r="AA4" s="69" t="str">
        <f t="shared" ref="AA4:AA7" si="0">_xlfn.TEXTJOIN(", ",TRUE,AB4:AZ4)</f>
        <v/>
      </c>
      <c r="AB4" s="69" t="str" cm="1">
        <f t="array" ref="AB4">_xlfn.UNIQUE(C4:Z4,TRUE,FALSE)</f>
        <v/>
      </c>
    </row>
    <row r="5" spans="1:29">
      <c r="A5" s="69">
        <v>3</v>
      </c>
      <c r="B5" s="69" t="s">
        <v>52</v>
      </c>
      <c r="C5" s="70" t="str">
        <f>IF(C$2="Y",IF(MaGic_AVM_Land!C5=0,"",MaGic_AVM_Land!C5),"")</f>
        <v/>
      </c>
      <c r="D5" s="70" t="str">
        <f>IF(D$2="Y",IF(MaGic_AVM_Land!D5=0,"",MaGic_AVM_Land!D5),"")</f>
        <v/>
      </c>
      <c r="E5" s="70" t="str">
        <f>IF(E$2="Y",IF(MaGic_AVM_Land!E5=0,"",MaGic_AVM_Land!E5),"")</f>
        <v/>
      </c>
      <c r="F5" s="70" t="str">
        <f>IF(F$2="Y",IF(MaGic_AVM_Land!F5=0,"",MaGic_AVM_Land!F5),"")</f>
        <v/>
      </c>
      <c r="G5" s="70" t="str">
        <f>IF(G$2="Y",IF(MaGic_AVM_Land!G5=0,"",MaGic_AVM_Land!G5),"")</f>
        <v/>
      </c>
      <c r="H5" s="70" t="str">
        <f>IF(H$2="Y",IF(MaGic_AVM_Land!H5=0,"",MaGic_AVM_Land!H5),"")</f>
        <v/>
      </c>
      <c r="I5" s="70" t="str">
        <f>IF(I$2="Y",IF(MaGic_AVM_Land!I5=0,"",MaGic_AVM_Land!I5),"")</f>
        <v/>
      </c>
      <c r="J5" s="70" t="str">
        <f>IF(J$2="Y",IF(MaGic_AVM_Land!J5=0,"",MaGic_AVM_Land!J5),"")</f>
        <v/>
      </c>
      <c r="K5" s="70" t="str">
        <f>IF(K$2="Y",IF(MaGic_AVM_Land!K5=0,"",MaGic_AVM_Land!K5),"")</f>
        <v/>
      </c>
      <c r="L5" s="70" t="str">
        <f>IF(L$2="Y",IF(MaGic_AVM_Land!L5=0,"",MaGic_AVM_Land!L5),"")</f>
        <v/>
      </c>
      <c r="M5" s="70" t="str">
        <f>IF(M$2="Y",IF(MaGic_AVM_Land!M5=0,"",MaGic_AVM_Land!M5),"")</f>
        <v/>
      </c>
      <c r="N5" s="70" t="str">
        <f>IF(N$2="Y",IF(MaGic_AVM_Land!N5=0,"",MaGic_AVM_Land!N5),"")</f>
        <v/>
      </c>
      <c r="O5" s="70" t="str">
        <f>IF(O$2="Y",IF(MaGic_AVM_Land!O5=0,"",MaGic_AVM_Land!O5),"")</f>
        <v/>
      </c>
      <c r="P5" s="70" t="str">
        <f>IF(P$2="Y",IF(MaGic_AVM_Land!P5=0,"",MaGic_AVM_Land!P5),"")</f>
        <v/>
      </c>
      <c r="Q5" s="70" t="str">
        <f>IF(Q$2="Y",IF(MaGic_AVM_Land!Q5=0,"",MaGic_AVM_Land!Q5),"")</f>
        <v/>
      </c>
      <c r="R5" s="70" t="str">
        <f>IF(R$2="Y",IF(MaGic_AVM_Land!R5=0,"",MaGic_AVM_Land!R5),"")</f>
        <v/>
      </c>
      <c r="S5" s="70" t="str">
        <f>IF(S$2="Y",IF(MaGic_AVM_Land!S5=0,"",MaGic_AVM_Land!S5),"")</f>
        <v/>
      </c>
      <c r="T5" s="70" t="str">
        <f>IF(T$2="Y",IF(MaGic_AVM_Land!T5=0,"",MaGic_AVM_Land!T5),"")</f>
        <v/>
      </c>
      <c r="U5" s="70" t="str">
        <f>IF(U$2="Y",IF(MaGic_AVM_Land!U5=0,"",MaGic_AVM_Land!U5),"")</f>
        <v/>
      </c>
      <c r="V5" s="70" t="str">
        <f>IF(V$2="Y",IF(MaGic_AVM_Land!V5=0,"",MaGic_AVM_Land!V5),"")</f>
        <v/>
      </c>
      <c r="W5" s="70" t="str">
        <f>IF(W$2="Y",IF(MaGic_AVM_Land!W5=0,"",MaGic_AVM_Land!W5),"")</f>
        <v/>
      </c>
      <c r="X5" s="70" t="str">
        <f>IF(X$2="Y",IF(MaGic_AVM_Land!X5=0,"",MaGic_AVM_Land!X5),"")</f>
        <v/>
      </c>
      <c r="Y5" s="70" t="str">
        <f>IF(Y$2="Y",IF(MaGic_AVM_Land!Y5=0,"",MaGic_AVM_Land!Y5),"")</f>
        <v/>
      </c>
      <c r="Z5" s="70" t="str">
        <f>IF(Z$2="Y",IF(MaGic_AVM_Land!Z5=0,"",MaGic_AVM_Land!Z5),"")</f>
        <v/>
      </c>
      <c r="AA5" s="69" t="str">
        <f t="shared" si="0"/>
        <v/>
      </c>
      <c r="AB5" s="69" t="str" cm="1">
        <f t="array" ref="AB5">_xlfn.UNIQUE(C5:Z5,TRUE,FALSE)</f>
        <v/>
      </c>
    </row>
    <row r="6" spans="1:29">
      <c r="A6" s="69">
        <v>4</v>
      </c>
      <c r="B6" s="69" t="s">
        <v>1101</v>
      </c>
      <c r="C6" s="70" t="str">
        <f>IF(C$2="Y",IF(MaGic_AVM_Land!C6=0,"",MaGic_AVM_Land!C6),"")</f>
        <v>Jayan</v>
      </c>
      <c r="D6" s="70" t="str">
        <f>IF(D$2="Y",IF(MaGic_AVM_Land!D6=0,"",MaGic_AVM_Land!D6),"")</f>
        <v/>
      </c>
      <c r="E6" s="70" t="str">
        <f>IF(E$2="Y",IF(MaGic_AVM_Land!E6=0,"",MaGic_AVM_Land!E6),"")</f>
        <v/>
      </c>
      <c r="F6" s="70" t="str">
        <f>IF(F$2="Y",IF(MaGic_AVM_Land!F6=0,"",MaGic_AVM_Land!F6),"")</f>
        <v/>
      </c>
      <c r="G6" s="70" t="str">
        <f>IF(G$2="Y",IF(MaGic_AVM_Land!G6=0,"",MaGic_AVM_Land!G6),"")</f>
        <v/>
      </c>
      <c r="H6" s="70" t="str">
        <f>IF(H$2="Y",IF(MaGic_AVM_Land!H6=0,"",MaGic_AVM_Land!H6),"")</f>
        <v/>
      </c>
      <c r="I6" s="70" t="str">
        <f>IF(I$2="Y",IF(MaGic_AVM_Land!I6=0,"",MaGic_AVM_Land!I6),"")</f>
        <v/>
      </c>
      <c r="J6" s="70" t="str">
        <f>IF(J$2="Y",IF(MaGic_AVM_Land!J6=0,"",MaGic_AVM_Land!J6),"")</f>
        <v/>
      </c>
      <c r="K6" s="70" t="str">
        <f>IF(K$2="Y",IF(MaGic_AVM_Land!K6=0,"",MaGic_AVM_Land!K6),"")</f>
        <v/>
      </c>
      <c r="L6" s="70" t="str">
        <f>IF(L$2="Y",IF(MaGic_AVM_Land!L6=0,"",MaGic_AVM_Land!L6),"")</f>
        <v/>
      </c>
      <c r="M6" s="70" t="str">
        <f>IF(M$2="Y",IF(MaGic_AVM_Land!M6=0,"",MaGic_AVM_Land!M6),"")</f>
        <v/>
      </c>
      <c r="N6" s="70" t="str">
        <f>IF(N$2="Y",IF(MaGic_AVM_Land!N6=0,"",MaGic_AVM_Land!N6),"")</f>
        <v/>
      </c>
      <c r="O6" s="70" t="str">
        <f>IF(O$2="Y",IF(MaGic_AVM_Land!O6=0,"",MaGic_AVM_Land!O6),"")</f>
        <v/>
      </c>
      <c r="P6" s="70" t="str">
        <f>IF(P$2="Y",IF(MaGic_AVM_Land!P6=0,"",MaGic_AVM_Land!P6),"")</f>
        <v/>
      </c>
      <c r="Q6" s="70" t="str">
        <f>IF(Q$2="Y",IF(MaGic_AVM_Land!Q6=0,"",MaGic_AVM_Land!Q6),"")</f>
        <v/>
      </c>
      <c r="R6" s="70" t="str">
        <f>IF(R$2="Y",IF(MaGic_AVM_Land!R6=0,"",MaGic_AVM_Land!R6),"")</f>
        <v/>
      </c>
      <c r="S6" s="70" t="str">
        <f>IF(S$2="Y",IF(MaGic_AVM_Land!S6=0,"",MaGic_AVM_Land!S6),"")</f>
        <v/>
      </c>
      <c r="T6" s="70" t="str">
        <f>IF(T$2="Y",IF(MaGic_AVM_Land!T6=0,"",MaGic_AVM_Land!T6),"")</f>
        <v/>
      </c>
      <c r="U6" s="70" t="str">
        <f>IF(U$2="Y",IF(MaGic_AVM_Land!U6=0,"",MaGic_AVM_Land!U6),"")</f>
        <v/>
      </c>
      <c r="V6" s="70" t="str">
        <f>IF(V$2="Y",IF(MaGic_AVM_Land!V6=0,"",MaGic_AVM_Land!V6),"")</f>
        <v/>
      </c>
      <c r="W6" s="70" t="str">
        <f>IF(W$2="Y",IF(MaGic_AVM_Land!W6=0,"",MaGic_AVM_Land!W6),"")</f>
        <v/>
      </c>
      <c r="X6" s="70" t="str">
        <f>IF(X$2="Y",IF(MaGic_AVM_Land!X6=0,"",MaGic_AVM_Land!X6),"")</f>
        <v/>
      </c>
      <c r="Y6" s="70" t="str">
        <f>IF(Y$2="Y",IF(MaGic_AVM_Land!Y6=0,"",MaGic_AVM_Land!Y6),"")</f>
        <v/>
      </c>
      <c r="Z6" s="70" t="str">
        <f>IF(Z$2="Y",IF(MaGic_AVM_Land!Z6=0,"",MaGic_AVM_Land!Z6),"")</f>
        <v/>
      </c>
      <c r="AA6" s="69" t="str">
        <f t="shared" si="0"/>
        <v>Jayan</v>
      </c>
      <c r="AB6" s="69" t="str" cm="1">
        <f t="array" ref="AB6:AC6">_xlfn.UNIQUE(C6:Z6,TRUE,FALSE)</f>
        <v>Jayan</v>
      </c>
      <c r="AC6" s="69" t="str">
        <v/>
      </c>
    </row>
    <row r="7" spans="1:29">
      <c r="A7" s="69">
        <v>5</v>
      </c>
      <c r="B7" s="69" t="s">
        <v>1102</v>
      </c>
      <c r="C7" s="70" t="str">
        <f>IF(C$2="Y",IF(MaGic_AVM_Land!C7=0,"",MaGic_AVM_Land!C7),"")</f>
        <v>Jobin</v>
      </c>
      <c r="D7" s="70" t="str">
        <f>IF(D$2="Y",IF(MaGic_AVM_Land!D7=0,"",MaGic_AVM_Land!D7),"")</f>
        <v/>
      </c>
      <c r="E7" s="70" t="str">
        <f>IF(E$2="Y",IF(MaGic_AVM_Land!E7=0,"",MaGic_AVM_Land!E7),"")</f>
        <v/>
      </c>
      <c r="F7" s="70" t="str">
        <f>IF(F$2="Y",IF(MaGic_AVM_Land!F7=0,"",MaGic_AVM_Land!F7),"")</f>
        <v/>
      </c>
      <c r="G7" s="70" t="str">
        <f>IF(G$2="Y",IF(MaGic_AVM_Land!G7=0,"",MaGic_AVM_Land!G7),"")</f>
        <v/>
      </c>
      <c r="H7" s="70" t="str">
        <f>IF(H$2="Y",IF(MaGic_AVM_Land!H7=0,"",MaGic_AVM_Land!H7),"")</f>
        <v/>
      </c>
      <c r="I7" s="70" t="str">
        <f>IF(I$2="Y",IF(MaGic_AVM_Land!I7=0,"",MaGic_AVM_Land!I7),"")</f>
        <v/>
      </c>
      <c r="J7" s="70" t="str">
        <f>IF(J$2="Y",IF(MaGic_AVM_Land!J7=0,"",MaGic_AVM_Land!J7),"")</f>
        <v/>
      </c>
      <c r="K7" s="70" t="str">
        <f>IF(K$2="Y",IF(MaGic_AVM_Land!K7=0,"",MaGic_AVM_Land!K7),"")</f>
        <v/>
      </c>
      <c r="L7" s="70" t="str">
        <f>IF(L$2="Y",IF(MaGic_AVM_Land!L7=0,"",MaGic_AVM_Land!L7),"")</f>
        <v/>
      </c>
      <c r="M7" s="70" t="str">
        <f>IF(M$2="Y",IF(MaGic_AVM_Land!M7=0,"",MaGic_AVM_Land!M7),"")</f>
        <v/>
      </c>
      <c r="N7" s="70" t="str">
        <f>IF(N$2="Y",IF(MaGic_AVM_Land!N7=0,"",MaGic_AVM_Land!N7),"")</f>
        <v/>
      </c>
      <c r="O7" s="70" t="str">
        <f>IF(O$2="Y",IF(MaGic_AVM_Land!O7=0,"",MaGic_AVM_Land!O7),"")</f>
        <v/>
      </c>
      <c r="P7" s="70" t="str">
        <f>IF(P$2="Y",IF(MaGic_AVM_Land!P7=0,"",MaGic_AVM_Land!P7),"")</f>
        <v/>
      </c>
      <c r="Q7" s="70" t="str">
        <f>IF(Q$2="Y",IF(MaGic_AVM_Land!Q7=0,"",MaGic_AVM_Land!Q7),"")</f>
        <v/>
      </c>
      <c r="R7" s="70" t="str">
        <f>IF(R$2="Y",IF(MaGic_AVM_Land!R7=0,"",MaGic_AVM_Land!R7),"")</f>
        <v/>
      </c>
      <c r="S7" s="70" t="str">
        <f>IF(S$2="Y",IF(MaGic_AVM_Land!S7=0,"",MaGic_AVM_Land!S7),"")</f>
        <v/>
      </c>
      <c r="T7" s="70" t="str">
        <f>IF(T$2="Y",IF(MaGic_AVM_Land!T7=0,"",MaGic_AVM_Land!T7),"")</f>
        <v/>
      </c>
      <c r="U7" s="70" t="str">
        <f>IF(U$2="Y",IF(MaGic_AVM_Land!U7=0,"",MaGic_AVM_Land!U7),"")</f>
        <v/>
      </c>
      <c r="V7" s="70" t="str">
        <f>IF(V$2="Y",IF(MaGic_AVM_Land!V7=0,"",MaGic_AVM_Land!V7),"")</f>
        <v/>
      </c>
      <c r="W7" s="70" t="str">
        <f>IF(W$2="Y",IF(MaGic_AVM_Land!W7=0,"",MaGic_AVM_Land!W7),"")</f>
        <v/>
      </c>
      <c r="X7" s="70" t="str">
        <f>IF(X$2="Y",IF(MaGic_AVM_Land!X7=0,"",MaGic_AVM_Land!X7),"")</f>
        <v/>
      </c>
      <c r="Y7" s="70" t="str">
        <f>IF(Y$2="Y",IF(MaGic_AVM_Land!Y7=0,"",MaGic_AVM_Land!Y7),"")</f>
        <v/>
      </c>
      <c r="Z7" s="70" t="str">
        <f>IF(Z$2="Y",IF(MaGic_AVM_Land!Z7=0,"",MaGic_AVM_Land!Z7),"")</f>
        <v/>
      </c>
      <c r="AA7" s="69" t="str">
        <f t="shared" si="0"/>
        <v>Jobin</v>
      </c>
      <c r="AB7" s="69" t="str" cm="1">
        <f t="array" ref="AB7:AC7">_xlfn.UNIQUE(C7:Z7,TRUE,FALSE)</f>
        <v>Jobin</v>
      </c>
      <c r="AC7" s="69" t="str">
        <v/>
      </c>
    </row>
    <row r="8" spans="1:29">
      <c r="A8" s="69">
        <v>6</v>
      </c>
      <c r="B8" s="69" t="s">
        <v>31</v>
      </c>
      <c r="C8" s="70" t="str">
        <f>IF(C$2="Y",IF(MaGic_AVM_Land!C8=0,"",MaGic_AVM_Land!C8),"")</f>
        <v>Thiruvanthapuram</v>
      </c>
      <c r="D8" s="70" t="str">
        <f>IF(D$2="Y",IF(MaGic_AVM_Land!D8=0,"",MaGic_AVM_Land!D8),"")</f>
        <v/>
      </c>
      <c r="E8" s="70" t="str">
        <f>IF(E$2="Y",IF(MaGic_AVM_Land!E8=0,"",MaGic_AVM_Land!E8),"")</f>
        <v/>
      </c>
      <c r="F8" s="70" t="str">
        <f>IF(F$2="Y",IF(MaGic_AVM_Land!F8=0,"",MaGic_AVM_Land!F8),"")</f>
        <v/>
      </c>
      <c r="G8" s="70" t="str">
        <f>IF(G$2="Y",IF(MaGic_AVM_Land!G8=0,"",MaGic_AVM_Land!G8),"")</f>
        <v/>
      </c>
      <c r="H8" s="70" t="str">
        <f>IF(H$2="Y",IF(MaGic_AVM_Land!H8=0,"",MaGic_AVM_Land!H8),"")</f>
        <v/>
      </c>
      <c r="I8" s="70" t="str">
        <f>IF(I$2="Y",IF(MaGic_AVM_Land!I8=0,"",MaGic_AVM_Land!I8),"")</f>
        <v/>
      </c>
      <c r="J8" s="70" t="str">
        <f>IF(J$2="Y",IF(MaGic_AVM_Land!J8=0,"",MaGic_AVM_Land!J8),"")</f>
        <v/>
      </c>
      <c r="K8" s="70" t="str">
        <f>IF(K$2="Y",IF(MaGic_AVM_Land!K8=0,"",MaGic_AVM_Land!K8),"")</f>
        <v/>
      </c>
      <c r="L8" s="70" t="str">
        <f>IF(L$2="Y",IF(MaGic_AVM_Land!L8=0,"",MaGic_AVM_Land!L8),"")</f>
        <v/>
      </c>
      <c r="M8" s="70" t="str">
        <f>IF(M$2="Y",IF(MaGic_AVM_Land!M8=0,"",MaGic_AVM_Land!M8),"")</f>
        <v/>
      </c>
      <c r="N8" s="70" t="str">
        <f>IF(N$2="Y",IF(MaGic_AVM_Land!N8=0,"",MaGic_AVM_Land!N8),"")</f>
        <v/>
      </c>
      <c r="O8" s="70" t="str">
        <f>IF(O$2="Y",IF(MaGic_AVM_Land!O8=0,"",MaGic_AVM_Land!O8),"")</f>
        <v/>
      </c>
      <c r="P8" s="70" t="str">
        <f>IF(P$2="Y",IF(MaGic_AVM_Land!P8=0,"",MaGic_AVM_Land!P8),"")</f>
        <v/>
      </c>
      <c r="Q8" s="70" t="str">
        <f>IF(Q$2="Y",IF(MaGic_AVM_Land!Q8=0,"",MaGic_AVM_Land!Q8),"")</f>
        <v/>
      </c>
      <c r="R8" s="70" t="str">
        <f>IF(R$2="Y",IF(MaGic_AVM_Land!R8=0,"",MaGic_AVM_Land!R8),"")</f>
        <v/>
      </c>
      <c r="S8" s="70" t="str">
        <f>IF(S$2="Y",IF(MaGic_AVM_Land!S8=0,"",MaGic_AVM_Land!S8),"")</f>
        <v/>
      </c>
      <c r="T8" s="70" t="str">
        <f>IF(T$2="Y",IF(MaGic_AVM_Land!T8=0,"",MaGic_AVM_Land!T8),"")</f>
        <v/>
      </c>
      <c r="U8" s="70" t="str">
        <f>IF(U$2="Y",IF(MaGic_AVM_Land!U8=0,"",MaGic_AVM_Land!U8),"")</f>
        <v/>
      </c>
      <c r="V8" s="70" t="str">
        <f>IF(V$2="Y",IF(MaGic_AVM_Land!V8=0,"",MaGic_AVM_Land!V8),"")</f>
        <v/>
      </c>
      <c r="W8" s="70" t="str">
        <f>IF(W$2="Y",IF(MaGic_AVM_Land!W8=0,"",MaGic_AVM_Land!W8),"")</f>
        <v/>
      </c>
      <c r="X8" s="70" t="str">
        <f>IF(X$2="Y",IF(MaGic_AVM_Land!X8=0,"",MaGic_AVM_Land!X8),"")</f>
        <v/>
      </c>
      <c r="Y8" s="70" t="str">
        <f>IF(Y$2="Y",IF(MaGic_AVM_Land!Y8=0,"",MaGic_AVM_Land!Y8),"")</f>
        <v/>
      </c>
      <c r="Z8" s="70" t="str">
        <f>IF(Z$2="Y",IF(MaGic_AVM_Land!Z8=0,"",MaGic_AVM_Land!Z8),"")</f>
        <v/>
      </c>
      <c r="AA8" s="69" t="str">
        <f>CONCATENATE(IF(AB8="",AC8,AB8)," District")</f>
        <v>Thiruvanthapuram District</v>
      </c>
      <c r="AB8" s="69" t="str" cm="1">
        <f t="array" ref="AB8:AC8">_xlfn.UNIQUE(C8:Z8,TRUE,FALSE)</f>
        <v>Thiruvanthapuram</v>
      </c>
      <c r="AC8" s="69" t="str">
        <v/>
      </c>
    </row>
    <row r="9" spans="1:29">
      <c r="A9" s="69">
        <v>7</v>
      </c>
      <c r="B9" s="69" t="s">
        <v>59</v>
      </c>
      <c r="C9" s="70" t="str">
        <f>IF(C$2="Y",IF(MaGic_AVM_Land!C9=0,"",MaGic_AVM_Land!C9),"")</f>
        <v>Murukkumpuzha</v>
      </c>
      <c r="D9" s="70" t="str">
        <f>IF(D$2="Y",IF(MaGic_AVM_Land!D9=0,"",MaGic_AVM_Land!D9),"")</f>
        <v/>
      </c>
      <c r="E9" s="70" t="str">
        <f>IF(E$2="Y",IF(MaGic_AVM_Land!E9=0,"",MaGic_AVM_Land!E9),"")</f>
        <v/>
      </c>
      <c r="F9" s="70" t="str">
        <f>IF(F$2="Y",IF(MaGic_AVM_Land!F9=0,"",MaGic_AVM_Land!F9),"")</f>
        <v/>
      </c>
      <c r="G9" s="70" t="str">
        <f>IF(G$2="Y",IF(MaGic_AVM_Land!G9=0,"",MaGic_AVM_Land!G9),"")</f>
        <v/>
      </c>
      <c r="H9" s="70" t="str">
        <f>IF(H$2="Y",IF(MaGic_AVM_Land!H9=0,"",MaGic_AVM_Land!H9),"")</f>
        <v/>
      </c>
      <c r="I9" s="70" t="str">
        <f>IF(I$2="Y",IF(MaGic_AVM_Land!I9=0,"",MaGic_AVM_Land!I9),"")</f>
        <v/>
      </c>
      <c r="J9" s="70" t="str">
        <f>IF(J$2="Y",IF(MaGic_AVM_Land!J9=0,"",MaGic_AVM_Land!J9),"")</f>
        <v/>
      </c>
      <c r="K9" s="70" t="str">
        <f>IF(K$2="Y",IF(MaGic_AVM_Land!K9=0,"",MaGic_AVM_Land!K9),"")</f>
        <v/>
      </c>
      <c r="L9" s="70" t="str">
        <f>IF(L$2="Y",IF(MaGic_AVM_Land!L9=0,"",MaGic_AVM_Land!L9),"")</f>
        <v/>
      </c>
      <c r="M9" s="70" t="str">
        <f>IF(M$2="Y",IF(MaGic_AVM_Land!M9=0,"",MaGic_AVM_Land!M9),"")</f>
        <v/>
      </c>
      <c r="N9" s="70" t="str">
        <f>IF(N$2="Y",IF(MaGic_AVM_Land!N9=0,"",MaGic_AVM_Land!N9),"")</f>
        <v/>
      </c>
      <c r="O9" s="70" t="str">
        <f>IF(O$2="Y",IF(MaGic_AVM_Land!O9=0,"",MaGic_AVM_Land!O9),"")</f>
        <v/>
      </c>
      <c r="P9" s="70" t="str">
        <f>IF(P$2="Y",IF(MaGic_AVM_Land!P9=0,"",MaGic_AVM_Land!P9),"")</f>
        <v/>
      </c>
      <c r="Q9" s="70" t="str">
        <f>IF(Q$2="Y",IF(MaGic_AVM_Land!Q9=0,"",MaGic_AVM_Land!Q9),"")</f>
        <v/>
      </c>
      <c r="R9" s="70" t="str">
        <f>IF(R$2="Y",IF(MaGic_AVM_Land!R9=0,"",MaGic_AVM_Land!R9),"")</f>
        <v/>
      </c>
      <c r="S9" s="70" t="str">
        <f>IF(S$2="Y",IF(MaGic_AVM_Land!S9=0,"",MaGic_AVM_Land!S9),"")</f>
        <v/>
      </c>
      <c r="T9" s="70" t="str">
        <f>IF(T$2="Y",IF(MaGic_AVM_Land!T9=0,"",MaGic_AVM_Land!T9),"")</f>
        <v/>
      </c>
      <c r="U9" s="70" t="str">
        <f>IF(U$2="Y",IF(MaGic_AVM_Land!U9=0,"",MaGic_AVM_Land!U9),"")</f>
        <v/>
      </c>
      <c r="V9" s="70" t="str">
        <f>IF(V$2="Y",IF(MaGic_AVM_Land!V9=0,"",MaGic_AVM_Land!V9),"")</f>
        <v/>
      </c>
      <c r="W9" s="70" t="str">
        <f>IF(W$2="Y",IF(MaGic_AVM_Land!W9=0,"",MaGic_AVM_Land!W9),"")</f>
        <v/>
      </c>
      <c r="X9" s="70" t="str">
        <f>IF(X$2="Y",IF(MaGic_AVM_Land!X9=0,"",MaGic_AVM_Land!X9),"")</f>
        <v/>
      </c>
      <c r="Y9" s="70" t="str">
        <f>IF(Y$2="Y",IF(MaGic_AVM_Land!Y9=0,"",MaGic_AVM_Land!Y9),"")</f>
        <v/>
      </c>
      <c r="Z9" s="70" t="str">
        <f>IF(Z$2="Y",IF(MaGic_AVM_Land!Z9=0,"",MaGic_AVM_Land!Z9),"")</f>
        <v/>
      </c>
      <c r="AA9" s="69" t="str">
        <f>CONCATENATE(IF(AB9="",AC9,AB9)," SRO")</f>
        <v>Murukkumpuzha SRO</v>
      </c>
      <c r="AB9" s="69" t="str" cm="1">
        <f t="array" ref="AB9:AC9">_xlfn.UNIQUE(C9:Z9,TRUE,FALSE)</f>
        <v>Murukkumpuzha</v>
      </c>
      <c r="AC9" s="69" t="str">
        <v/>
      </c>
    </row>
    <row r="10" spans="1:29">
      <c r="A10" s="69">
        <v>8</v>
      </c>
      <c r="B10" s="69" t="s">
        <v>61</v>
      </c>
      <c r="C10" s="70" t="str">
        <f>IF(C$2="Y",IF(MaGic_AVM_Land!C10=0,"",MaGic_AVM_Land!C10),"")</f>
        <v>Thiruvanthupuram</v>
      </c>
      <c r="D10" s="70" t="str">
        <f>IF(D$2="Y",IF(MaGic_AVM_Land!D10=0,"",MaGic_AVM_Land!D10),"")</f>
        <v/>
      </c>
      <c r="E10" s="70" t="str">
        <f>IF(E$2="Y",IF(MaGic_AVM_Land!E10=0,"",MaGic_AVM_Land!E10),"")</f>
        <v/>
      </c>
      <c r="F10" s="70" t="str">
        <f>IF(F$2="Y",IF(MaGic_AVM_Land!F10=0,"",MaGic_AVM_Land!F10),"")</f>
        <v/>
      </c>
      <c r="G10" s="70" t="str">
        <f>IF(G$2="Y",IF(MaGic_AVM_Land!G10=0,"",MaGic_AVM_Land!G10),"")</f>
        <v/>
      </c>
      <c r="H10" s="70" t="str">
        <f>IF(H$2="Y",IF(MaGic_AVM_Land!H10=0,"",MaGic_AVM_Land!H10),"")</f>
        <v/>
      </c>
      <c r="I10" s="70" t="str">
        <f>IF(I$2="Y",IF(MaGic_AVM_Land!I10=0,"",MaGic_AVM_Land!I10),"")</f>
        <v/>
      </c>
      <c r="J10" s="70" t="str">
        <f>IF(J$2="Y",IF(MaGic_AVM_Land!J10=0,"",MaGic_AVM_Land!J10),"")</f>
        <v/>
      </c>
      <c r="K10" s="70" t="str">
        <f>IF(K$2="Y",IF(MaGic_AVM_Land!K10=0,"",MaGic_AVM_Land!K10),"")</f>
        <v/>
      </c>
      <c r="L10" s="70" t="str">
        <f>IF(L$2="Y",IF(MaGic_AVM_Land!L10=0,"",MaGic_AVM_Land!L10),"")</f>
        <v/>
      </c>
      <c r="M10" s="70" t="str">
        <f>IF(M$2="Y",IF(MaGic_AVM_Land!M10=0,"",MaGic_AVM_Land!M10),"")</f>
        <v/>
      </c>
      <c r="N10" s="70" t="str">
        <f>IF(N$2="Y",IF(MaGic_AVM_Land!N10=0,"",MaGic_AVM_Land!N10),"")</f>
        <v/>
      </c>
      <c r="O10" s="70" t="str">
        <f>IF(O$2="Y",IF(MaGic_AVM_Land!O10=0,"",MaGic_AVM_Land!O10),"")</f>
        <v/>
      </c>
      <c r="P10" s="70" t="str">
        <f>IF(P$2="Y",IF(MaGic_AVM_Land!P10=0,"",MaGic_AVM_Land!P10),"")</f>
        <v/>
      </c>
      <c r="Q10" s="70" t="str">
        <f>IF(Q$2="Y",IF(MaGic_AVM_Land!Q10=0,"",MaGic_AVM_Land!Q10),"")</f>
        <v/>
      </c>
      <c r="R10" s="70" t="str">
        <f>IF(R$2="Y",IF(MaGic_AVM_Land!R10=0,"",MaGic_AVM_Land!R10),"")</f>
        <v/>
      </c>
      <c r="S10" s="70" t="str">
        <f>IF(S$2="Y",IF(MaGic_AVM_Land!S10=0,"",MaGic_AVM_Land!S10),"")</f>
        <v/>
      </c>
      <c r="T10" s="70" t="str">
        <f>IF(T$2="Y",IF(MaGic_AVM_Land!T10=0,"",MaGic_AVM_Land!T10),"")</f>
        <v/>
      </c>
      <c r="U10" s="70" t="str">
        <f>IF(U$2="Y",IF(MaGic_AVM_Land!U10=0,"",MaGic_AVM_Land!U10),"")</f>
        <v/>
      </c>
      <c r="V10" s="70" t="str">
        <f>IF(V$2="Y",IF(MaGic_AVM_Land!V10=0,"",MaGic_AVM_Land!V10),"")</f>
        <v/>
      </c>
      <c r="W10" s="70" t="str">
        <f>IF(W$2="Y",IF(MaGic_AVM_Land!W10=0,"",MaGic_AVM_Land!W10),"")</f>
        <v/>
      </c>
      <c r="X10" s="70" t="str">
        <f>IF(X$2="Y",IF(MaGic_AVM_Land!X10=0,"",MaGic_AVM_Land!X10),"")</f>
        <v/>
      </c>
      <c r="Y10" s="70" t="str">
        <f>IF(Y$2="Y",IF(MaGic_AVM_Land!Y10=0,"",MaGic_AVM_Land!Y10),"")</f>
        <v/>
      </c>
      <c r="Z10" s="70" t="str">
        <f>IF(Z$2="Y",IF(MaGic_AVM_Land!Z10=0,"",MaGic_AVM_Land!Z10),"")</f>
        <v/>
      </c>
      <c r="AA10" s="69" t="str">
        <f>CONCATENATE(IF(AB10="",AC10,AB10)," Taluk")</f>
        <v>Thiruvanthupuram Taluk</v>
      </c>
      <c r="AB10" s="69" t="str" cm="1">
        <f t="array" ref="AB10:AC10">_xlfn.UNIQUE(C10:Z10,TRUE,FALSE)</f>
        <v>Thiruvanthupuram</v>
      </c>
      <c r="AC10" s="69" t="str">
        <v/>
      </c>
    </row>
    <row r="11" spans="1:29">
      <c r="A11" s="69">
        <v>9</v>
      </c>
      <c r="B11" s="69" t="s">
        <v>63</v>
      </c>
      <c r="C11" s="70" t="str">
        <f>IF(C$2="Y",IF(MaGic_AVM_Land!C11=0,"",MaGic_AVM_Land!C11),"")</f>
        <v>Veilyoor</v>
      </c>
      <c r="D11" s="70" t="str">
        <f>IF(D$2="Y",IF(MaGic_AVM_Land!D11=0,"",MaGic_AVM_Land!D11),"")</f>
        <v/>
      </c>
      <c r="E11" s="70" t="str">
        <f>IF(E$2="Y",IF(MaGic_AVM_Land!E11=0,"",MaGic_AVM_Land!E11),"")</f>
        <v/>
      </c>
      <c r="F11" s="70" t="str">
        <f>IF(F$2="Y",IF(MaGic_AVM_Land!F11=0,"",MaGic_AVM_Land!F11),"")</f>
        <v/>
      </c>
      <c r="G11" s="70" t="str">
        <f>IF(G$2="Y",IF(MaGic_AVM_Land!G11=0,"",MaGic_AVM_Land!G11),"")</f>
        <v/>
      </c>
      <c r="H11" s="70" t="str">
        <f>IF(H$2="Y",IF(MaGic_AVM_Land!H11=0,"",MaGic_AVM_Land!H11),"")</f>
        <v/>
      </c>
      <c r="I11" s="70" t="str">
        <f>IF(I$2="Y",IF(MaGic_AVM_Land!I11=0,"",MaGic_AVM_Land!I11),"")</f>
        <v/>
      </c>
      <c r="J11" s="70" t="str">
        <f>IF(J$2="Y",IF(MaGic_AVM_Land!J11=0,"",MaGic_AVM_Land!J11),"")</f>
        <v/>
      </c>
      <c r="K11" s="70" t="str">
        <f>IF(K$2="Y",IF(MaGic_AVM_Land!K11=0,"",MaGic_AVM_Land!K11),"")</f>
        <v/>
      </c>
      <c r="L11" s="70" t="str">
        <f>IF(L$2="Y",IF(MaGic_AVM_Land!L11=0,"",MaGic_AVM_Land!L11),"")</f>
        <v/>
      </c>
      <c r="M11" s="70" t="str">
        <f>IF(M$2="Y",IF(MaGic_AVM_Land!M11=0,"",MaGic_AVM_Land!M11),"")</f>
        <v/>
      </c>
      <c r="N11" s="70" t="str">
        <f>IF(N$2="Y",IF(MaGic_AVM_Land!N11=0,"",MaGic_AVM_Land!N11),"")</f>
        <v/>
      </c>
      <c r="O11" s="70" t="str">
        <f>IF(O$2="Y",IF(MaGic_AVM_Land!O11=0,"",MaGic_AVM_Land!O11),"")</f>
        <v/>
      </c>
      <c r="P11" s="70" t="str">
        <f>IF(P$2="Y",IF(MaGic_AVM_Land!P11=0,"",MaGic_AVM_Land!P11),"")</f>
        <v/>
      </c>
      <c r="Q11" s="70" t="str">
        <f>IF(Q$2="Y",IF(MaGic_AVM_Land!Q11=0,"",MaGic_AVM_Land!Q11),"")</f>
        <v/>
      </c>
      <c r="R11" s="70" t="str">
        <f>IF(R$2="Y",IF(MaGic_AVM_Land!R11=0,"",MaGic_AVM_Land!R11),"")</f>
        <v/>
      </c>
      <c r="S11" s="70" t="str">
        <f>IF(S$2="Y",IF(MaGic_AVM_Land!S11=0,"",MaGic_AVM_Land!S11),"")</f>
        <v/>
      </c>
      <c r="T11" s="70" t="str">
        <f>IF(T$2="Y",IF(MaGic_AVM_Land!T11=0,"",MaGic_AVM_Land!T11),"")</f>
        <v/>
      </c>
      <c r="U11" s="70" t="str">
        <f>IF(U$2="Y",IF(MaGic_AVM_Land!U11=0,"",MaGic_AVM_Land!U11),"")</f>
        <v/>
      </c>
      <c r="V11" s="70" t="str">
        <f>IF(V$2="Y",IF(MaGic_AVM_Land!V11=0,"",MaGic_AVM_Land!V11),"")</f>
        <v/>
      </c>
      <c r="W11" s="70" t="str">
        <f>IF(W$2="Y",IF(MaGic_AVM_Land!W11=0,"",MaGic_AVM_Land!W11),"")</f>
        <v/>
      </c>
      <c r="X11" s="70" t="str">
        <f>IF(X$2="Y",IF(MaGic_AVM_Land!X11=0,"",MaGic_AVM_Land!X11),"")</f>
        <v/>
      </c>
      <c r="Y11" s="70" t="str">
        <f>IF(Y$2="Y",IF(MaGic_AVM_Land!Y11=0,"",MaGic_AVM_Land!Y11),"")</f>
        <v/>
      </c>
      <c r="Z11" s="70" t="str">
        <f>IF(Z$2="Y",IF(MaGic_AVM_Land!Z11=0,"",MaGic_AVM_Land!Z11),"")</f>
        <v/>
      </c>
      <c r="AA11" s="69" t="str">
        <f>CONCATENATE(IF(AB11="",AC11,AB11)," Village")</f>
        <v>Veilyoor Village</v>
      </c>
      <c r="AB11" s="69" t="str" cm="1">
        <f t="array" ref="AB11:AC11">_xlfn.UNIQUE(C11:Z11,TRUE,FALSE)</f>
        <v>Veilyoor</v>
      </c>
      <c r="AC11" s="69" t="str">
        <v/>
      </c>
    </row>
    <row r="12" spans="1:29">
      <c r="A12" s="69">
        <v>10</v>
      </c>
      <c r="B12" s="69" t="s">
        <v>65</v>
      </c>
      <c r="C12" s="70" t="str">
        <f>IF(C$2="Y",IF(MaGic_AVM_Land!C12=0,"",MaGic_AVM_Land!C12),"")</f>
        <v>Grama Panchayat</v>
      </c>
      <c r="D12" s="70" t="str">
        <f>IF(D$2="Y",IF(MaGic_AVM_Land!D12=0,"",MaGic_AVM_Land!D12),"")</f>
        <v/>
      </c>
      <c r="E12" s="70" t="str">
        <f>IF(E$2="Y",IF(MaGic_AVM_Land!E12=0,"",MaGic_AVM_Land!E12),"")</f>
        <v/>
      </c>
      <c r="F12" s="70" t="str">
        <f>IF(F$2="Y",IF(MaGic_AVM_Land!F12=0,"",MaGic_AVM_Land!F12),"")</f>
        <v/>
      </c>
      <c r="G12" s="70" t="str">
        <f>IF(G$2="Y",IF(MaGic_AVM_Land!G12=0,"",MaGic_AVM_Land!G12),"")</f>
        <v/>
      </c>
      <c r="H12" s="70" t="str">
        <f>IF(H$2="Y",IF(MaGic_AVM_Land!H12=0,"",MaGic_AVM_Land!H12),"")</f>
        <v/>
      </c>
      <c r="I12" s="70" t="str">
        <f>IF(I$2="Y",IF(MaGic_AVM_Land!I12=0,"",MaGic_AVM_Land!I12),"")</f>
        <v/>
      </c>
      <c r="J12" s="70" t="str">
        <f>IF(J$2="Y",IF(MaGic_AVM_Land!J12=0,"",MaGic_AVM_Land!J12),"")</f>
        <v/>
      </c>
      <c r="K12" s="70" t="str">
        <f>IF(K$2="Y",IF(MaGic_AVM_Land!K12=0,"",MaGic_AVM_Land!K12),"")</f>
        <v/>
      </c>
      <c r="L12" s="70" t="str">
        <f>IF(L$2="Y",IF(MaGic_AVM_Land!L12=0,"",MaGic_AVM_Land!L12),"")</f>
        <v/>
      </c>
      <c r="M12" s="70" t="str">
        <f>IF(M$2="Y",IF(MaGic_AVM_Land!M12=0,"",MaGic_AVM_Land!M12),"")</f>
        <v/>
      </c>
      <c r="N12" s="70" t="str">
        <f>IF(N$2="Y",IF(MaGic_AVM_Land!N12=0,"",MaGic_AVM_Land!N12),"")</f>
        <v/>
      </c>
      <c r="O12" s="70" t="str">
        <f>IF(O$2="Y",IF(MaGic_AVM_Land!O12=0,"",MaGic_AVM_Land!O12),"")</f>
        <v/>
      </c>
      <c r="P12" s="70" t="str">
        <f>IF(P$2="Y",IF(MaGic_AVM_Land!P12=0,"",MaGic_AVM_Land!P12),"")</f>
        <v/>
      </c>
      <c r="Q12" s="70" t="str">
        <f>IF(Q$2="Y",IF(MaGic_AVM_Land!Q12=0,"",MaGic_AVM_Land!Q12),"")</f>
        <v/>
      </c>
      <c r="R12" s="70" t="str">
        <f>IF(R$2="Y",IF(MaGic_AVM_Land!R12=0,"",MaGic_AVM_Land!R12),"")</f>
        <v/>
      </c>
      <c r="S12" s="70" t="str">
        <f>IF(S$2="Y",IF(MaGic_AVM_Land!S12=0,"",MaGic_AVM_Land!S12),"")</f>
        <v/>
      </c>
      <c r="T12" s="70" t="str">
        <f>IF(T$2="Y",IF(MaGic_AVM_Land!T12=0,"",MaGic_AVM_Land!T12),"")</f>
        <v/>
      </c>
      <c r="U12" s="70" t="str">
        <f>IF(U$2="Y",IF(MaGic_AVM_Land!U12=0,"",MaGic_AVM_Land!U12),"")</f>
        <v/>
      </c>
      <c r="V12" s="70" t="str">
        <f>IF(V$2="Y",IF(MaGic_AVM_Land!V12=0,"",MaGic_AVM_Land!V12),"")</f>
        <v/>
      </c>
      <c r="W12" s="70" t="str">
        <f>IF(W$2="Y",IF(MaGic_AVM_Land!W12=0,"",MaGic_AVM_Land!W12),"")</f>
        <v/>
      </c>
      <c r="X12" s="70" t="str">
        <f>IF(X$2="Y",IF(MaGic_AVM_Land!X12=0,"",MaGic_AVM_Land!X12),"")</f>
        <v/>
      </c>
      <c r="Y12" s="70" t="str">
        <f>IF(Y$2="Y",IF(MaGic_AVM_Land!Y12=0,"",MaGic_AVM_Land!Y12),"")</f>
        <v/>
      </c>
      <c r="Z12" s="70" t="str">
        <f>IF(Z$2="Y",IF(MaGic_AVM_Land!Z12=0,"",MaGic_AVM_Land!Z12),"")</f>
        <v/>
      </c>
      <c r="AA12" s="69" t="str">
        <f>CONCATENATE(IF(AB12="",AC12,AB12))</f>
        <v>Grama Panchayat</v>
      </c>
      <c r="AB12" s="69" t="str" cm="1">
        <f t="array" ref="AB12:AC12">_xlfn.UNIQUE(C12:Z12,TRUE,FALSE)</f>
        <v>Grama Panchayat</v>
      </c>
      <c r="AC12" s="69" t="str">
        <v/>
      </c>
    </row>
    <row r="13" spans="1:29">
      <c r="A13" s="69">
        <v>11</v>
      </c>
      <c r="B13" s="69" t="s">
        <v>67</v>
      </c>
      <c r="C13" s="70" t="str">
        <f>IF(C$2="Y",IF(MaGic_AVM_Land!C13=0,"",MaGic_AVM_Land!C13),"")</f>
        <v>Mangalapuram</v>
      </c>
      <c r="D13" s="70" t="str">
        <f>IF(D$2="Y",IF(MaGic_AVM_Land!D13=0,"",MaGic_AVM_Land!D13),"")</f>
        <v/>
      </c>
      <c r="E13" s="70" t="str">
        <f>IF(E$2="Y",IF(MaGic_AVM_Land!E13=0,"",MaGic_AVM_Land!E13),"")</f>
        <v/>
      </c>
      <c r="F13" s="70" t="str">
        <f>IF(F$2="Y",IF(MaGic_AVM_Land!F13=0,"",MaGic_AVM_Land!F13),"")</f>
        <v/>
      </c>
      <c r="G13" s="70" t="str">
        <f>IF(G$2="Y",IF(MaGic_AVM_Land!G13=0,"",MaGic_AVM_Land!G13),"")</f>
        <v/>
      </c>
      <c r="H13" s="70" t="str">
        <f>IF(H$2="Y",IF(MaGic_AVM_Land!H13=0,"",MaGic_AVM_Land!H13),"")</f>
        <v/>
      </c>
      <c r="I13" s="70" t="str">
        <f>IF(I$2="Y",IF(MaGic_AVM_Land!I13=0,"",MaGic_AVM_Land!I13),"")</f>
        <v/>
      </c>
      <c r="J13" s="70" t="str">
        <f>IF(J$2="Y",IF(MaGic_AVM_Land!J13=0,"",MaGic_AVM_Land!J13),"")</f>
        <v/>
      </c>
      <c r="K13" s="70" t="str">
        <f>IF(K$2="Y",IF(MaGic_AVM_Land!K13=0,"",MaGic_AVM_Land!K13),"")</f>
        <v/>
      </c>
      <c r="L13" s="70" t="str">
        <f>IF(L$2="Y",IF(MaGic_AVM_Land!L13=0,"",MaGic_AVM_Land!L13),"")</f>
        <v/>
      </c>
      <c r="M13" s="70" t="str">
        <f>IF(M$2="Y",IF(MaGic_AVM_Land!M13=0,"",MaGic_AVM_Land!M13),"")</f>
        <v/>
      </c>
      <c r="N13" s="70" t="str">
        <f>IF(N$2="Y",IF(MaGic_AVM_Land!N13=0,"",MaGic_AVM_Land!N13),"")</f>
        <v/>
      </c>
      <c r="O13" s="70" t="str">
        <f>IF(O$2="Y",IF(MaGic_AVM_Land!O13=0,"",MaGic_AVM_Land!O13),"")</f>
        <v/>
      </c>
      <c r="P13" s="70" t="str">
        <f>IF(P$2="Y",IF(MaGic_AVM_Land!P13=0,"",MaGic_AVM_Land!P13),"")</f>
        <v/>
      </c>
      <c r="Q13" s="70" t="str">
        <f>IF(Q$2="Y",IF(MaGic_AVM_Land!Q13=0,"",MaGic_AVM_Land!Q13),"")</f>
        <v/>
      </c>
      <c r="R13" s="70" t="str">
        <f>IF(R$2="Y",IF(MaGic_AVM_Land!R13=0,"",MaGic_AVM_Land!R13),"")</f>
        <v/>
      </c>
      <c r="S13" s="70" t="str">
        <f>IF(S$2="Y",IF(MaGic_AVM_Land!S13=0,"",MaGic_AVM_Land!S13),"")</f>
        <v/>
      </c>
      <c r="T13" s="70" t="str">
        <f>IF(T$2="Y",IF(MaGic_AVM_Land!T13=0,"",MaGic_AVM_Land!T13),"")</f>
        <v/>
      </c>
      <c r="U13" s="70" t="str">
        <f>IF(U$2="Y",IF(MaGic_AVM_Land!U13=0,"",MaGic_AVM_Land!U13),"")</f>
        <v/>
      </c>
      <c r="V13" s="70" t="str">
        <f>IF(V$2="Y",IF(MaGic_AVM_Land!V13=0,"",MaGic_AVM_Land!V13),"")</f>
        <v/>
      </c>
      <c r="W13" s="70" t="str">
        <f>IF(W$2="Y",IF(MaGic_AVM_Land!W13=0,"",MaGic_AVM_Land!W13),"")</f>
        <v/>
      </c>
      <c r="X13" s="70" t="str">
        <f>IF(X$2="Y",IF(MaGic_AVM_Land!X13=0,"",MaGic_AVM_Land!X13),"")</f>
        <v/>
      </c>
      <c r="Y13" s="70" t="str">
        <f>IF(Y$2="Y",IF(MaGic_AVM_Land!Y13=0,"",MaGic_AVM_Land!Y13),"")</f>
        <v/>
      </c>
      <c r="Z13" s="70" t="str">
        <f>IF(Z$2="Y",IF(MaGic_AVM_Land!Z13=0,"",MaGic_AVM_Land!Z13),"")</f>
        <v/>
      </c>
      <c r="AA13" s="69" t="str">
        <f>CONCATENATE(IF(AB13="",AC13,AB13)," ",AA12)</f>
        <v>Mangalapuram Grama Panchayat</v>
      </c>
      <c r="AB13" s="69" t="str" cm="1">
        <f t="array" ref="AB13:AC13">_xlfn.UNIQUE(C13:Z13,TRUE,FALSE)</f>
        <v>Mangalapuram</v>
      </c>
      <c r="AC13" s="69" t="str">
        <v/>
      </c>
    </row>
    <row r="14" spans="1:29">
      <c r="A14" s="69">
        <v>12</v>
      </c>
      <c r="B14" s="69" t="s">
        <v>69</v>
      </c>
      <c r="C14" s="70" t="str">
        <f>IF(C$2="Y",IF(MaGic_AVM_Land!C14=0,"",MaGic_AVM_Land!C14),"")</f>
        <v/>
      </c>
      <c r="D14" s="70" t="str">
        <f>IF(D$2="Y",IF(MaGic_AVM_Land!D14=0,"",MaGic_AVM_Land!D14),"")</f>
        <v/>
      </c>
      <c r="E14" s="70" t="str">
        <f>IF(E$2="Y",IF(MaGic_AVM_Land!E14=0,"",MaGic_AVM_Land!E14),"")</f>
        <v/>
      </c>
      <c r="F14" s="70" t="str">
        <f>IF(F$2="Y",IF(MaGic_AVM_Land!F14=0,"",MaGic_AVM_Land!F14),"")</f>
        <v/>
      </c>
      <c r="G14" s="70" t="str">
        <f>IF(G$2="Y",IF(MaGic_AVM_Land!G14=0,"",MaGic_AVM_Land!G14),"")</f>
        <v/>
      </c>
      <c r="H14" s="70" t="str">
        <f>IF(H$2="Y",IF(MaGic_AVM_Land!H14=0,"",MaGic_AVM_Land!H14),"")</f>
        <v/>
      </c>
      <c r="I14" s="70" t="str">
        <f>IF(I$2="Y",IF(MaGic_AVM_Land!I14=0,"",MaGic_AVM_Land!I14),"")</f>
        <v/>
      </c>
      <c r="J14" s="70" t="str">
        <f>IF(J$2="Y",IF(MaGic_AVM_Land!J14=0,"",MaGic_AVM_Land!J14),"")</f>
        <v/>
      </c>
      <c r="K14" s="70" t="str">
        <f>IF(K$2="Y",IF(MaGic_AVM_Land!K14=0,"",MaGic_AVM_Land!K14),"")</f>
        <v/>
      </c>
      <c r="L14" s="70" t="str">
        <f>IF(L$2="Y",IF(MaGic_AVM_Land!L14=0,"",MaGic_AVM_Land!L14),"")</f>
        <v/>
      </c>
      <c r="M14" s="70" t="str">
        <f>IF(M$2="Y",IF(MaGic_AVM_Land!M14=0,"",MaGic_AVM_Land!M14),"")</f>
        <v/>
      </c>
      <c r="N14" s="70" t="str">
        <f>IF(N$2="Y",IF(MaGic_AVM_Land!N14=0,"",MaGic_AVM_Land!N14),"")</f>
        <v/>
      </c>
      <c r="O14" s="70" t="str">
        <f>IF(O$2="Y",IF(MaGic_AVM_Land!O14=0,"",MaGic_AVM_Land!O14),"")</f>
        <v/>
      </c>
      <c r="P14" s="70" t="str">
        <f>IF(P$2="Y",IF(MaGic_AVM_Land!P14=0,"",MaGic_AVM_Land!P14),"")</f>
        <v/>
      </c>
      <c r="Q14" s="70" t="str">
        <f>IF(Q$2="Y",IF(MaGic_AVM_Land!Q14=0,"",MaGic_AVM_Land!Q14),"")</f>
        <v/>
      </c>
      <c r="R14" s="70" t="str">
        <f>IF(R$2="Y",IF(MaGic_AVM_Land!R14=0,"",MaGic_AVM_Land!R14),"")</f>
        <v/>
      </c>
      <c r="S14" s="70" t="str">
        <f>IF(S$2="Y",IF(MaGic_AVM_Land!S14=0,"",MaGic_AVM_Land!S14),"")</f>
        <v/>
      </c>
      <c r="T14" s="70" t="str">
        <f>IF(T$2="Y",IF(MaGic_AVM_Land!T14=0,"",MaGic_AVM_Land!T14),"")</f>
        <v/>
      </c>
      <c r="U14" s="70" t="str">
        <f>IF(U$2="Y",IF(MaGic_AVM_Land!U14=0,"",MaGic_AVM_Land!U14),"")</f>
        <v/>
      </c>
      <c r="V14" s="70" t="str">
        <f>IF(V$2="Y",IF(MaGic_AVM_Land!V14=0,"",MaGic_AVM_Land!V14),"")</f>
        <v/>
      </c>
      <c r="W14" s="70" t="str">
        <f>IF(W$2="Y",IF(MaGic_AVM_Land!W14=0,"",MaGic_AVM_Land!W14),"")</f>
        <v/>
      </c>
      <c r="X14" s="70" t="str">
        <f>IF(X$2="Y",IF(MaGic_AVM_Land!X14=0,"",MaGic_AVM_Land!X14),"")</f>
        <v/>
      </c>
      <c r="Y14" s="70" t="str">
        <f>IF(Y$2="Y",IF(MaGic_AVM_Land!Y14=0,"",MaGic_AVM_Land!Y14),"")</f>
        <v/>
      </c>
      <c r="Z14" s="70" t="str">
        <f>IF(Z$2="Y",IF(MaGic_AVM_Land!Z14=0,"",MaGic_AVM_Land!Z14),"")</f>
        <v/>
      </c>
      <c r="AA14" s="69" t="str">
        <f t="shared" ref="AA14:AA18" si="1">_xlfn.TEXTJOIN(",",TRUE,AB14:AZ14)</f>
        <v/>
      </c>
      <c r="AB14" s="69" t="str" cm="1">
        <f t="array" ref="AB14">_xlfn.UNIQUE(C14:Z14,TRUE,FALSE)</f>
        <v/>
      </c>
    </row>
    <row r="15" spans="1:29">
      <c r="A15" s="69">
        <v>13</v>
      </c>
      <c r="B15" s="69" t="s">
        <v>70</v>
      </c>
      <c r="C15" s="70">
        <f>IF(C$2="Y",IF(MaGic_AVM_Land!C15=0,"",MaGic_AVM_Land!C15),"")</f>
        <v>254</v>
      </c>
      <c r="D15" s="70" t="str">
        <f>IF(D$2="Y",IF(MaGic_AVM_Land!D15=0,"",MaGic_AVM_Land!D15),"")</f>
        <v/>
      </c>
      <c r="E15" s="70" t="str">
        <f>IF(E$2="Y",IF(MaGic_AVM_Land!E15=0,"",MaGic_AVM_Land!E15),"")</f>
        <v/>
      </c>
      <c r="F15" s="70" t="str">
        <f>IF(F$2="Y",IF(MaGic_AVM_Land!F15=0,"",MaGic_AVM_Land!F15),"")</f>
        <v/>
      </c>
      <c r="G15" s="70" t="str">
        <f>IF(G$2="Y",IF(MaGic_AVM_Land!G15=0,"",MaGic_AVM_Land!G15),"")</f>
        <v/>
      </c>
      <c r="H15" s="70" t="str">
        <f>IF(H$2="Y",IF(MaGic_AVM_Land!H15=0,"",MaGic_AVM_Land!H15),"")</f>
        <v/>
      </c>
      <c r="I15" s="70" t="str">
        <f>IF(I$2="Y",IF(MaGic_AVM_Land!I15=0,"",MaGic_AVM_Land!I15),"")</f>
        <v/>
      </c>
      <c r="J15" s="70" t="str">
        <f>IF(J$2="Y",IF(MaGic_AVM_Land!J15=0,"",MaGic_AVM_Land!J15),"")</f>
        <v/>
      </c>
      <c r="K15" s="70" t="str">
        <f>IF(K$2="Y",IF(MaGic_AVM_Land!K15=0,"",MaGic_AVM_Land!K15),"")</f>
        <v/>
      </c>
      <c r="L15" s="70" t="str">
        <f>IF(L$2="Y",IF(MaGic_AVM_Land!L15=0,"",MaGic_AVM_Land!L15),"")</f>
        <v/>
      </c>
      <c r="M15" s="70" t="str">
        <f>IF(M$2="Y",IF(MaGic_AVM_Land!M15=0,"",MaGic_AVM_Land!M15),"")</f>
        <v/>
      </c>
      <c r="N15" s="70" t="str">
        <f>IF(N$2="Y",IF(MaGic_AVM_Land!N15=0,"",MaGic_AVM_Land!N15),"")</f>
        <v/>
      </c>
      <c r="O15" s="70" t="str">
        <f>IF(O$2="Y",IF(MaGic_AVM_Land!O15=0,"",MaGic_AVM_Land!O15),"")</f>
        <v/>
      </c>
      <c r="P15" s="70" t="str">
        <f>IF(P$2="Y",IF(MaGic_AVM_Land!P15=0,"",MaGic_AVM_Land!P15),"")</f>
        <v/>
      </c>
      <c r="Q15" s="70" t="str">
        <f>IF(Q$2="Y",IF(MaGic_AVM_Land!Q15=0,"",MaGic_AVM_Land!Q15),"")</f>
        <v/>
      </c>
      <c r="R15" s="70" t="str">
        <f>IF(R$2="Y",IF(MaGic_AVM_Land!R15=0,"",MaGic_AVM_Land!R15),"")</f>
        <v/>
      </c>
      <c r="S15" s="70" t="str">
        <f>IF(S$2="Y",IF(MaGic_AVM_Land!S15=0,"",MaGic_AVM_Land!S15),"")</f>
        <v/>
      </c>
      <c r="T15" s="70" t="str">
        <f>IF(T$2="Y",IF(MaGic_AVM_Land!T15=0,"",MaGic_AVM_Land!T15),"")</f>
        <v/>
      </c>
      <c r="U15" s="70" t="str">
        <f>IF(U$2="Y",IF(MaGic_AVM_Land!U15=0,"",MaGic_AVM_Land!U15),"")</f>
        <v/>
      </c>
      <c r="V15" s="70" t="str">
        <f>IF(V$2="Y",IF(MaGic_AVM_Land!V15=0,"",MaGic_AVM_Land!V15),"")</f>
        <v/>
      </c>
      <c r="W15" s="70" t="str">
        <f>IF(W$2="Y",IF(MaGic_AVM_Land!W15=0,"",MaGic_AVM_Land!W15),"")</f>
        <v/>
      </c>
      <c r="X15" s="70" t="str">
        <f>IF(X$2="Y",IF(MaGic_AVM_Land!X15=0,"",MaGic_AVM_Land!X15),"")</f>
        <v/>
      </c>
      <c r="Y15" s="70" t="str">
        <f>IF(Y$2="Y",IF(MaGic_AVM_Land!Y15=0,"",MaGic_AVM_Land!Y15),"")</f>
        <v/>
      </c>
      <c r="Z15" s="70" t="str">
        <f>IF(Z$2="Y",IF(MaGic_AVM_Land!Z15=0,"",MaGic_AVM_Land!Z15),"")</f>
        <v/>
      </c>
      <c r="AA15" s="69" t="str">
        <f t="shared" si="1"/>
        <v>254</v>
      </c>
      <c r="AB15" s="69" cm="1">
        <f t="array" ref="AB15:AC15">_xlfn.UNIQUE(C15:Z15,TRUE,FALSE)</f>
        <v>254</v>
      </c>
      <c r="AC15" s="69" t="str">
        <v/>
      </c>
    </row>
    <row r="16" spans="1:29">
      <c r="A16" s="69">
        <v>14</v>
      </c>
      <c r="B16" s="69" t="s">
        <v>71</v>
      </c>
      <c r="C16" s="70" t="str">
        <f>IF(C$2="Y",IF(MaGic_AVM_Land!C16=0,"",MaGic_AVM_Land!C16),"")</f>
        <v>21-2</v>
      </c>
      <c r="D16" s="70" t="str">
        <f>IF(D$2="Y",IF(MaGic_AVM_Land!D16=0,"",MaGic_AVM_Land!D16),"")</f>
        <v/>
      </c>
      <c r="E16" s="70" t="str">
        <f>IF(E$2="Y",IF(MaGic_AVM_Land!E16=0,"",MaGic_AVM_Land!E16),"")</f>
        <v/>
      </c>
      <c r="F16" s="70" t="str">
        <f>IF(F$2="Y",IF(MaGic_AVM_Land!F16=0,"",MaGic_AVM_Land!F16),"")</f>
        <v/>
      </c>
      <c r="G16" s="70" t="str">
        <f>IF(G$2="Y",IF(MaGic_AVM_Land!G16=0,"",MaGic_AVM_Land!G16),"")</f>
        <v/>
      </c>
      <c r="H16" s="70" t="str">
        <f>IF(H$2="Y",IF(MaGic_AVM_Land!H16=0,"",MaGic_AVM_Land!H16),"")</f>
        <v/>
      </c>
      <c r="I16" s="70" t="str">
        <f>IF(I$2="Y",IF(MaGic_AVM_Land!I16=0,"",MaGic_AVM_Land!I16),"")</f>
        <v/>
      </c>
      <c r="J16" s="70" t="str">
        <f>IF(J$2="Y",IF(MaGic_AVM_Land!J16=0,"",MaGic_AVM_Land!J16),"")</f>
        <v/>
      </c>
      <c r="K16" s="70" t="str">
        <f>IF(K$2="Y",IF(MaGic_AVM_Land!K16=0,"",MaGic_AVM_Land!K16),"")</f>
        <v/>
      </c>
      <c r="L16" s="70" t="str">
        <f>IF(L$2="Y",IF(MaGic_AVM_Land!L16=0,"",MaGic_AVM_Land!L16),"")</f>
        <v/>
      </c>
      <c r="M16" s="70" t="str">
        <f>IF(M$2="Y",IF(MaGic_AVM_Land!M16=0,"",MaGic_AVM_Land!M16),"")</f>
        <v/>
      </c>
      <c r="N16" s="70" t="str">
        <f>IF(N$2="Y",IF(MaGic_AVM_Land!N16=0,"",MaGic_AVM_Land!N16),"")</f>
        <v/>
      </c>
      <c r="O16" s="70" t="str">
        <f>IF(O$2="Y",IF(MaGic_AVM_Land!O16=0,"",MaGic_AVM_Land!O16),"")</f>
        <v/>
      </c>
      <c r="P16" s="70" t="str">
        <f>IF(P$2="Y",IF(MaGic_AVM_Land!P16=0,"",MaGic_AVM_Land!P16),"")</f>
        <v/>
      </c>
      <c r="Q16" s="70" t="str">
        <f>IF(Q$2="Y",IF(MaGic_AVM_Land!Q16=0,"",MaGic_AVM_Land!Q16),"")</f>
        <v/>
      </c>
      <c r="R16" s="70" t="str">
        <f>IF(R$2="Y",IF(MaGic_AVM_Land!R16=0,"",MaGic_AVM_Land!R16),"")</f>
        <v/>
      </c>
      <c r="S16" s="70" t="str">
        <f>IF(S$2="Y",IF(MaGic_AVM_Land!S16=0,"",MaGic_AVM_Land!S16),"")</f>
        <v/>
      </c>
      <c r="T16" s="70" t="str">
        <f>IF(T$2="Y",IF(MaGic_AVM_Land!T16=0,"",MaGic_AVM_Land!T16),"")</f>
        <v/>
      </c>
      <c r="U16" s="70" t="str">
        <f>IF(U$2="Y",IF(MaGic_AVM_Land!U16=0,"",MaGic_AVM_Land!U16),"")</f>
        <v/>
      </c>
      <c r="V16" s="70" t="str">
        <f>IF(V$2="Y",IF(MaGic_AVM_Land!V16=0,"",MaGic_AVM_Land!V16),"")</f>
        <v/>
      </c>
      <c r="W16" s="70" t="str">
        <f>IF(W$2="Y",IF(MaGic_AVM_Land!W16=0,"",MaGic_AVM_Land!W16),"")</f>
        <v/>
      </c>
      <c r="X16" s="70" t="str">
        <f>IF(X$2="Y",IF(MaGic_AVM_Land!X16=0,"",MaGic_AVM_Land!X16),"")</f>
        <v/>
      </c>
      <c r="Y16" s="70" t="str">
        <f>IF(Y$2="Y",IF(MaGic_AVM_Land!Y16=0,"",MaGic_AVM_Land!Y16),"")</f>
        <v/>
      </c>
      <c r="Z16" s="70" t="str">
        <f>IF(Z$2="Y",IF(MaGic_AVM_Land!Z16=0,"",MaGic_AVM_Land!Z16),"")</f>
        <v/>
      </c>
      <c r="AA16" s="69" t="str">
        <f t="shared" si="1"/>
        <v>21-2</v>
      </c>
      <c r="AB16" s="69" t="str" cm="1">
        <f t="array" ref="AB16:AC16">_xlfn.UNIQUE(C16:Z16,TRUE,FALSE)</f>
        <v>21-2</v>
      </c>
      <c r="AC16" s="69" t="str">
        <v/>
      </c>
    </row>
    <row r="17" spans="1:52">
      <c r="A17" s="69">
        <v>15</v>
      </c>
      <c r="B17" s="69" t="s">
        <v>77</v>
      </c>
      <c r="C17" s="70" t="str">
        <f>IF(C$2="Y",IF(MaGic_AVM_Land!C17=0,"",MaGic_AVM_Land!C17),"")</f>
        <v/>
      </c>
      <c r="D17" s="70" t="str">
        <f>IF(D$2="Y",IF(MaGic_AVM_Land!D17=0,"",MaGic_AVM_Land!D17),"")</f>
        <v/>
      </c>
      <c r="E17" s="70" t="str">
        <f>IF(E$2="Y",IF(MaGic_AVM_Land!E17=0,"",MaGic_AVM_Land!E17),"")</f>
        <v/>
      </c>
      <c r="F17" s="70" t="str">
        <f>IF(F$2="Y",IF(MaGic_AVM_Land!F17=0,"",MaGic_AVM_Land!F17),"")</f>
        <v/>
      </c>
      <c r="G17" s="70" t="str">
        <f>IF(G$2="Y",IF(MaGic_AVM_Land!G17=0,"",MaGic_AVM_Land!G17),"")</f>
        <v/>
      </c>
      <c r="H17" s="70" t="str">
        <f>IF(H$2="Y",IF(MaGic_AVM_Land!H17=0,"",MaGic_AVM_Land!H17),"")</f>
        <v/>
      </c>
      <c r="I17" s="70" t="str">
        <f>IF(I$2="Y",IF(MaGic_AVM_Land!I17=0,"",MaGic_AVM_Land!I17),"")</f>
        <v/>
      </c>
      <c r="J17" s="70" t="str">
        <f>IF(J$2="Y",IF(MaGic_AVM_Land!J17=0,"",MaGic_AVM_Land!J17),"")</f>
        <v/>
      </c>
      <c r="K17" s="70" t="str">
        <f>IF(K$2="Y",IF(MaGic_AVM_Land!K17=0,"",MaGic_AVM_Land!K17),"")</f>
        <v/>
      </c>
      <c r="L17" s="70" t="str">
        <f>IF(L$2="Y",IF(MaGic_AVM_Land!L17=0,"",MaGic_AVM_Land!L17),"")</f>
        <v/>
      </c>
      <c r="M17" s="70" t="str">
        <f>IF(M$2="Y",IF(MaGic_AVM_Land!M17=0,"",MaGic_AVM_Land!M17),"")</f>
        <v/>
      </c>
      <c r="N17" s="70" t="str">
        <f>IF(N$2="Y",IF(MaGic_AVM_Land!N17=0,"",MaGic_AVM_Land!N17),"")</f>
        <v/>
      </c>
      <c r="O17" s="70" t="str">
        <f>IF(O$2="Y",IF(MaGic_AVM_Land!O17=0,"",MaGic_AVM_Land!O17),"")</f>
        <v/>
      </c>
      <c r="P17" s="70" t="str">
        <f>IF(P$2="Y",IF(MaGic_AVM_Land!P17=0,"",MaGic_AVM_Land!P17),"")</f>
        <v/>
      </c>
      <c r="Q17" s="70" t="str">
        <f>IF(Q$2="Y",IF(MaGic_AVM_Land!Q17=0,"",MaGic_AVM_Land!Q17),"")</f>
        <v/>
      </c>
      <c r="R17" s="70" t="str">
        <f>IF(R$2="Y",IF(MaGic_AVM_Land!R17=0,"",MaGic_AVM_Land!R17),"")</f>
        <v/>
      </c>
      <c r="S17" s="70" t="str">
        <f>IF(S$2="Y",IF(MaGic_AVM_Land!S17=0,"",MaGic_AVM_Land!S17),"")</f>
        <v/>
      </c>
      <c r="T17" s="70" t="str">
        <f>IF(T$2="Y",IF(MaGic_AVM_Land!T17=0,"",MaGic_AVM_Land!T17),"")</f>
        <v/>
      </c>
      <c r="U17" s="70" t="str">
        <f>IF(U$2="Y",IF(MaGic_AVM_Land!U17=0,"",MaGic_AVM_Land!U17),"")</f>
        <v/>
      </c>
      <c r="V17" s="70" t="str">
        <f>IF(V$2="Y",IF(MaGic_AVM_Land!V17=0,"",MaGic_AVM_Land!V17),"")</f>
        <v/>
      </c>
      <c r="W17" s="70" t="str">
        <f>IF(W$2="Y",IF(MaGic_AVM_Land!W17=0,"",MaGic_AVM_Land!W17),"")</f>
        <v/>
      </c>
      <c r="X17" s="70" t="str">
        <f>IF(X$2="Y",IF(MaGic_AVM_Land!X17=0,"",MaGic_AVM_Land!X17),"")</f>
        <v/>
      </c>
      <c r="Y17" s="70" t="str">
        <f>IF(Y$2="Y",IF(MaGic_AVM_Land!Y17=0,"",MaGic_AVM_Land!Y17),"")</f>
        <v/>
      </c>
      <c r="Z17" s="70" t="str">
        <f>IF(Z$2="Y",IF(MaGic_AVM_Land!Z17=0,"",MaGic_AVM_Land!Z17),"")</f>
        <v/>
      </c>
      <c r="AA17" s="69" t="str">
        <f t="shared" si="1"/>
        <v/>
      </c>
      <c r="AB17" s="69" t="str" cm="1">
        <f t="array" ref="AB17">_xlfn.UNIQUE(C17:Z17,TRUE,FALSE)</f>
        <v/>
      </c>
    </row>
    <row r="18" spans="1:52">
      <c r="A18" s="69">
        <v>16</v>
      </c>
      <c r="B18" s="69" t="s">
        <v>78</v>
      </c>
      <c r="C18" s="70" t="str">
        <f>IF(C$2="Y",IF(MaGic_AVM_Land!C18=0,"",MaGic_AVM_Land!C18),"")</f>
        <v/>
      </c>
      <c r="D18" s="70" t="str">
        <f>IF(D$2="Y",IF(MaGic_AVM_Land!D18=0,"",MaGic_AVM_Land!D18),"")</f>
        <v/>
      </c>
      <c r="E18" s="70" t="str">
        <f>IF(E$2="Y",IF(MaGic_AVM_Land!E18=0,"",MaGic_AVM_Land!E18),"")</f>
        <v/>
      </c>
      <c r="F18" s="70" t="str">
        <f>IF(F$2="Y",IF(MaGic_AVM_Land!F18=0,"",MaGic_AVM_Land!F18),"")</f>
        <v/>
      </c>
      <c r="G18" s="70" t="str">
        <f>IF(G$2="Y",IF(MaGic_AVM_Land!G18=0,"",MaGic_AVM_Land!G18),"")</f>
        <v/>
      </c>
      <c r="H18" s="70" t="str">
        <f>IF(H$2="Y",IF(MaGic_AVM_Land!H18=0,"",MaGic_AVM_Land!H18),"")</f>
        <v/>
      </c>
      <c r="I18" s="70" t="str">
        <f>IF(I$2="Y",IF(MaGic_AVM_Land!I18=0,"",MaGic_AVM_Land!I18),"")</f>
        <v/>
      </c>
      <c r="J18" s="70" t="str">
        <f>IF(J$2="Y",IF(MaGic_AVM_Land!J18=0,"",MaGic_AVM_Land!J18),"")</f>
        <v/>
      </c>
      <c r="K18" s="70" t="str">
        <f>IF(K$2="Y",IF(MaGic_AVM_Land!K18=0,"",MaGic_AVM_Land!K18),"")</f>
        <v/>
      </c>
      <c r="L18" s="70" t="str">
        <f>IF(L$2="Y",IF(MaGic_AVM_Land!L18=0,"",MaGic_AVM_Land!L18),"")</f>
        <v/>
      </c>
      <c r="M18" s="70" t="str">
        <f>IF(M$2="Y",IF(MaGic_AVM_Land!M18=0,"",MaGic_AVM_Land!M18),"")</f>
        <v/>
      </c>
      <c r="N18" s="70" t="str">
        <f>IF(N$2="Y",IF(MaGic_AVM_Land!N18=0,"",MaGic_AVM_Land!N18),"")</f>
        <v/>
      </c>
      <c r="O18" s="70" t="str">
        <f>IF(O$2="Y",IF(MaGic_AVM_Land!O18=0,"",MaGic_AVM_Land!O18),"")</f>
        <v/>
      </c>
      <c r="P18" s="70" t="str">
        <f>IF(P$2="Y",IF(MaGic_AVM_Land!P18=0,"",MaGic_AVM_Land!P18),"")</f>
        <v/>
      </c>
      <c r="Q18" s="70" t="str">
        <f>IF(Q$2="Y",IF(MaGic_AVM_Land!Q18=0,"",MaGic_AVM_Land!Q18),"")</f>
        <v/>
      </c>
      <c r="R18" s="70" t="str">
        <f>IF(R$2="Y",IF(MaGic_AVM_Land!R18=0,"",MaGic_AVM_Land!R18),"")</f>
        <v/>
      </c>
      <c r="S18" s="70" t="str">
        <f>IF(S$2="Y",IF(MaGic_AVM_Land!S18=0,"",MaGic_AVM_Land!S18),"")</f>
        <v/>
      </c>
      <c r="T18" s="70" t="str">
        <f>IF(T$2="Y",IF(MaGic_AVM_Land!T18=0,"",MaGic_AVM_Land!T18),"")</f>
        <v/>
      </c>
      <c r="U18" s="70" t="str">
        <f>IF(U$2="Y",IF(MaGic_AVM_Land!U18=0,"",MaGic_AVM_Land!U18),"")</f>
        <v/>
      </c>
      <c r="V18" s="70" t="str">
        <f>IF(V$2="Y",IF(MaGic_AVM_Land!V18=0,"",MaGic_AVM_Land!V18),"")</f>
        <v/>
      </c>
      <c r="W18" s="70" t="str">
        <f>IF(W$2="Y",IF(MaGic_AVM_Land!W18=0,"",MaGic_AVM_Land!W18),"")</f>
        <v/>
      </c>
      <c r="X18" s="70" t="str">
        <f>IF(X$2="Y",IF(MaGic_AVM_Land!X18=0,"",MaGic_AVM_Land!X18),"")</f>
        <v/>
      </c>
      <c r="Y18" s="70" t="str">
        <f>IF(Y$2="Y",IF(MaGic_AVM_Land!Y18=0,"",MaGic_AVM_Land!Y18),"")</f>
        <v/>
      </c>
      <c r="Z18" s="70" t="str">
        <f>IF(Z$2="Y",IF(MaGic_AVM_Land!Z18=0,"",MaGic_AVM_Land!Z18),"")</f>
        <v/>
      </c>
      <c r="AA18" s="69" t="str">
        <f t="shared" si="1"/>
        <v/>
      </c>
      <c r="AB18" s="69" t="str" cm="1">
        <f t="array" ref="AB18">_xlfn.UNIQUE(C18:Z18,TRUE,FALSE)</f>
        <v/>
      </c>
    </row>
    <row r="19" spans="1:52">
      <c r="A19" s="69">
        <v>17</v>
      </c>
      <c r="B19" s="69" t="s">
        <v>79</v>
      </c>
      <c r="C19" s="70" t="str">
        <f>IF(C$2="Y",IF(MaGic_AVM_Land!C19=0,"",MaGic_AVM_Land!C19),"")</f>
        <v/>
      </c>
      <c r="D19" s="70" t="str">
        <f>IF(D$2="Y",IF(MaGic_AVM_Land!D19=0,"",MaGic_AVM_Land!D19),"")</f>
        <v/>
      </c>
      <c r="E19" s="70" t="str">
        <f>IF(E$2="Y",IF(MaGic_AVM_Land!E19=0,"",MaGic_AVM_Land!E19),"")</f>
        <v/>
      </c>
      <c r="F19" s="70" t="str">
        <f>IF(F$2="Y",IF(MaGic_AVM_Land!F19=0,"",MaGic_AVM_Land!F19),"")</f>
        <v/>
      </c>
      <c r="G19" s="70" t="str">
        <f>IF(G$2="Y",IF(MaGic_AVM_Land!G19=0,"",MaGic_AVM_Land!G19),"")</f>
        <v/>
      </c>
      <c r="H19" s="70" t="str">
        <f>IF(H$2="Y",IF(MaGic_AVM_Land!H19=0,"",MaGic_AVM_Land!H19),"")</f>
        <v/>
      </c>
      <c r="I19" s="70" t="str">
        <f>IF(I$2="Y",IF(MaGic_AVM_Land!I19=0,"",MaGic_AVM_Land!I19),"")</f>
        <v/>
      </c>
      <c r="J19" s="70" t="str">
        <f>IF(J$2="Y",IF(MaGic_AVM_Land!J19=0,"",MaGic_AVM_Land!J19),"")</f>
        <v/>
      </c>
      <c r="K19" s="70" t="str">
        <f>IF(K$2="Y",IF(MaGic_AVM_Land!K19=0,"",MaGic_AVM_Land!K19),"")</f>
        <v/>
      </c>
      <c r="L19" s="70" t="str">
        <f>IF(L$2="Y",IF(MaGic_AVM_Land!L19=0,"",MaGic_AVM_Land!L19),"")</f>
        <v/>
      </c>
      <c r="M19" s="70" t="str">
        <f>IF(M$2="Y",IF(MaGic_AVM_Land!M19=0,"",MaGic_AVM_Land!M19),"")</f>
        <v/>
      </c>
      <c r="N19" s="70" t="str">
        <f>IF(N$2="Y",IF(MaGic_AVM_Land!N19=0,"",MaGic_AVM_Land!N19),"")</f>
        <v/>
      </c>
      <c r="O19" s="70" t="str">
        <f>IF(O$2="Y",IF(MaGic_AVM_Land!O19=0,"",MaGic_AVM_Land!O19),"")</f>
        <v/>
      </c>
      <c r="P19" s="70" t="str">
        <f>IF(P$2="Y",IF(MaGic_AVM_Land!P19=0,"",MaGic_AVM_Land!P19),"")</f>
        <v/>
      </c>
      <c r="Q19" s="70" t="str">
        <f>IF(Q$2="Y",IF(MaGic_AVM_Land!Q19=0,"",MaGic_AVM_Land!Q19),"")</f>
        <v/>
      </c>
      <c r="R19" s="70" t="str">
        <f>IF(R$2="Y",IF(MaGic_AVM_Land!R19=0,"",MaGic_AVM_Land!R19),"")</f>
        <v/>
      </c>
      <c r="S19" s="70" t="str">
        <f>IF(S$2="Y",IF(MaGic_AVM_Land!S19=0,"",MaGic_AVM_Land!S19),"")</f>
        <v/>
      </c>
      <c r="T19" s="70" t="str">
        <f>IF(T$2="Y",IF(MaGic_AVM_Land!T19=0,"",MaGic_AVM_Land!T19),"")</f>
        <v/>
      </c>
      <c r="U19" s="70" t="str">
        <f>IF(U$2="Y",IF(MaGic_AVM_Land!U19=0,"",MaGic_AVM_Land!U19),"")</f>
        <v/>
      </c>
      <c r="V19" s="70" t="str">
        <f>IF(V$2="Y",IF(MaGic_AVM_Land!V19=0,"",MaGic_AVM_Land!V19),"")</f>
        <v/>
      </c>
      <c r="W19" s="70" t="str">
        <f>IF(W$2="Y",IF(MaGic_AVM_Land!W19=0,"",MaGic_AVM_Land!W19),"")</f>
        <v/>
      </c>
      <c r="X19" s="70" t="str">
        <f>IF(X$2="Y",IF(MaGic_AVM_Land!X19=0,"",MaGic_AVM_Land!X19),"")</f>
        <v/>
      </c>
      <c r="Y19" s="70" t="str">
        <f>IF(Y$2="Y",IF(MaGic_AVM_Land!Y19=0,"",MaGic_AVM_Land!Y19),"")</f>
        <v/>
      </c>
      <c r="Z19" s="70" t="str">
        <f>IF(Z$2="Y",IF(MaGic_AVM_Land!Z19=0,"",MaGic_AVM_Land!Z19),"")</f>
        <v/>
      </c>
      <c r="AA19" s="69" t="str">
        <f t="shared" ref="AA19:AA22" si="2">_xlfn.TEXTJOIN(",",TRUE,AB19:AZ19)</f>
        <v/>
      </c>
      <c r="AB19" s="69" t="str" cm="1">
        <f t="array" ref="AB19">_xlfn.UNIQUE(C19:Z19,TRUE,FALSE)</f>
        <v/>
      </c>
    </row>
    <row r="20" spans="1:52">
      <c r="A20" s="69">
        <v>18</v>
      </c>
      <c r="B20" s="69" t="s">
        <v>80</v>
      </c>
      <c r="C20" s="70" t="str">
        <f>IF(C$2="Y",IF(MaGic_AVM_Land!C20=0,"",MaGic_AVM_Land!C20),"")</f>
        <v/>
      </c>
      <c r="D20" s="70" t="str">
        <f>IF(D$2="Y",IF(MaGic_AVM_Land!D20=0,"",MaGic_AVM_Land!D20),"")</f>
        <v/>
      </c>
      <c r="E20" s="70" t="str">
        <f>IF(E$2="Y",IF(MaGic_AVM_Land!E20=0,"",MaGic_AVM_Land!E20),"")</f>
        <v/>
      </c>
      <c r="F20" s="70" t="str">
        <f>IF(F$2="Y",IF(MaGic_AVM_Land!F20=0,"",MaGic_AVM_Land!F20),"")</f>
        <v/>
      </c>
      <c r="G20" s="70" t="str">
        <f>IF(G$2="Y",IF(MaGic_AVM_Land!G20=0,"",MaGic_AVM_Land!G20),"")</f>
        <v/>
      </c>
      <c r="H20" s="70" t="str">
        <f>IF(H$2="Y",IF(MaGic_AVM_Land!H20=0,"",MaGic_AVM_Land!H20),"")</f>
        <v/>
      </c>
      <c r="I20" s="70" t="str">
        <f>IF(I$2="Y",IF(MaGic_AVM_Land!I20=0,"",MaGic_AVM_Land!I20),"")</f>
        <v/>
      </c>
      <c r="J20" s="70" t="str">
        <f>IF(J$2="Y",IF(MaGic_AVM_Land!J20=0,"",MaGic_AVM_Land!J20),"")</f>
        <v/>
      </c>
      <c r="K20" s="70" t="str">
        <f>IF(K$2="Y",IF(MaGic_AVM_Land!K20=0,"",MaGic_AVM_Land!K20),"")</f>
        <v/>
      </c>
      <c r="L20" s="70" t="str">
        <f>IF(L$2="Y",IF(MaGic_AVM_Land!L20=0,"",MaGic_AVM_Land!L20),"")</f>
        <v/>
      </c>
      <c r="M20" s="70" t="str">
        <f>IF(M$2="Y",IF(MaGic_AVM_Land!M20=0,"",MaGic_AVM_Land!M20),"")</f>
        <v/>
      </c>
      <c r="N20" s="70" t="str">
        <f>IF(N$2="Y",IF(MaGic_AVM_Land!N20=0,"",MaGic_AVM_Land!N20),"")</f>
        <v/>
      </c>
      <c r="O20" s="70" t="str">
        <f>IF(O$2="Y",IF(MaGic_AVM_Land!O20=0,"",MaGic_AVM_Land!O20),"")</f>
        <v/>
      </c>
      <c r="P20" s="70" t="str">
        <f>IF(P$2="Y",IF(MaGic_AVM_Land!P20=0,"",MaGic_AVM_Land!P20),"")</f>
        <v/>
      </c>
      <c r="Q20" s="70" t="str">
        <f>IF(Q$2="Y",IF(MaGic_AVM_Land!Q20=0,"",MaGic_AVM_Land!Q20),"")</f>
        <v/>
      </c>
      <c r="R20" s="70" t="str">
        <f>IF(R$2="Y",IF(MaGic_AVM_Land!R20=0,"",MaGic_AVM_Land!R20),"")</f>
        <v/>
      </c>
      <c r="S20" s="70" t="str">
        <f>IF(S$2="Y",IF(MaGic_AVM_Land!S20=0,"",MaGic_AVM_Land!S20),"")</f>
        <v/>
      </c>
      <c r="T20" s="70" t="str">
        <f>IF(T$2="Y",IF(MaGic_AVM_Land!T20=0,"",MaGic_AVM_Land!T20),"")</f>
        <v/>
      </c>
      <c r="U20" s="70" t="str">
        <f>IF(U$2="Y",IF(MaGic_AVM_Land!U20=0,"",MaGic_AVM_Land!U20),"")</f>
        <v/>
      </c>
      <c r="V20" s="70" t="str">
        <f>IF(V$2="Y",IF(MaGic_AVM_Land!V20=0,"",MaGic_AVM_Land!V20),"")</f>
        <v/>
      </c>
      <c r="W20" s="70" t="str">
        <f>IF(W$2="Y",IF(MaGic_AVM_Land!W20=0,"",MaGic_AVM_Land!W20),"")</f>
        <v/>
      </c>
      <c r="X20" s="70" t="str">
        <f>IF(X$2="Y",IF(MaGic_AVM_Land!X20=0,"",MaGic_AVM_Land!X20),"")</f>
        <v/>
      </c>
      <c r="Y20" s="70" t="str">
        <f>IF(Y$2="Y",IF(MaGic_AVM_Land!Y20=0,"",MaGic_AVM_Land!Y20),"")</f>
        <v/>
      </c>
      <c r="Z20" s="70" t="str">
        <f>IF(Z$2="Y",IF(MaGic_AVM_Land!Z20=0,"",MaGic_AVM_Land!Z20),"")</f>
        <v/>
      </c>
      <c r="AA20" s="69" t="str">
        <f t="shared" si="2"/>
        <v/>
      </c>
      <c r="AB20" s="69" t="str" cm="1">
        <f t="array" ref="AB20">_xlfn.UNIQUE(C20:Z20,TRUE,FALSE)</f>
        <v/>
      </c>
    </row>
    <row r="21" spans="1:52">
      <c r="A21" s="69">
        <v>19</v>
      </c>
      <c r="B21" s="69" t="s">
        <v>81</v>
      </c>
      <c r="C21" s="70" t="str">
        <f>IF(C$2="Y",IF(MaGic_AVM_Land!C21=0,"",MaGic_AVM_Land!C21),"")</f>
        <v/>
      </c>
      <c r="D21" s="70" t="str">
        <f>IF(D$2="Y",IF(MaGic_AVM_Land!D21=0,"",MaGic_AVM_Land!D21),"")</f>
        <v/>
      </c>
      <c r="E21" s="70" t="str">
        <f>IF(E$2="Y",IF(MaGic_AVM_Land!E21=0,"",MaGic_AVM_Land!E21),"")</f>
        <v/>
      </c>
      <c r="F21" s="70" t="str">
        <f>IF(F$2="Y",IF(MaGic_AVM_Land!F21=0,"",MaGic_AVM_Land!F21),"")</f>
        <v/>
      </c>
      <c r="G21" s="70" t="str">
        <f>IF(G$2="Y",IF(MaGic_AVM_Land!G21=0,"",MaGic_AVM_Land!G21),"")</f>
        <v/>
      </c>
      <c r="H21" s="70" t="str">
        <f>IF(H$2="Y",IF(MaGic_AVM_Land!H21=0,"",MaGic_AVM_Land!H21),"")</f>
        <v/>
      </c>
      <c r="I21" s="70" t="str">
        <f>IF(I$2="Y",IF(MaGic_AVM_Land!I21=0,"",MaGic_AVM_Land!I21),"")</f>
        <v/>
      </c>
      <c r="J21" s="70" t="str">
        <f>IF(J$2="Y",IF(MaGic_AVM_Land!J21=0,"",MaGic_AVM_Land!J21),"")</f>
        <v/>
      </c>
      <c r="K21" s="70" t="str">
        <f>IF(K$2="Y",IF(MaGic_AVM_Land!K21=0,"",MaGic_AVM_Land!K21),"")</f>
        <v/>
      </c>
      <c r="L21" s="70" t="str">
        <f>IF(L$2="Y",IF(MaGic_AVM_Land!L21=0,"",MaGic_AVM_Land!L21),"")</f>
        <v/>
      </c>
      <c r="M21" s="70" t="str">
        <f>IF(M$2="Y",IF(MaGic_AVM_Land!M21=0,"",MaGic_AVM_Land!M21),"")</f>
        <v/>
      </c>
      <c r="N21" s="70" t="str">
        <f>IF(N$2="Y",IF(MaGic_AVM_Land!N21=0,"",MaGic_AVM_Land!N21),"")</f>
        <v/>
      </c>
      <c r="O21" s="70" t="str">
        <f>IF(O$2="Y",IF(MaGic_AVM_Land!O21=0,"",MaGic_AVM_Land!O21),"")</f>
        <v/>
      </c>
      <c r="P21" s="70" t="str">
        <f>IF(P$2="Y",IF(MaGic_AVM_Land!P21=0,"",MaGic_AVM_Land!P21),"")</f>
        <v/>
      </c>
      <c r="Q21" s="70" t="str">
        <f>IF(Q$2="Y",IF(MaGic_AVM_Land!Q21=0,"",MaGic_AVM_Land!Q21),"")</f>
        <v/>
      </c>
      <c r="R21" s="70" t="str">
        <f>IF(R$2="Y",IF(MaGic_AVM_Land!R21=0,"",MaGic_AVM_Land!R21),"")</f>
        <v/>
      </c>
      <c r="S21" s="70" t="str">
        <f>IF(S$2="Y",IF(MaGic_AVM_Land!S21=0,"",MaGic_AVM_Land!S21),"")</f>
        <v/>
      </c>
      <c r="T21" s="70" t="str">
        <f>IF(T$2="Y",IF(MaGic_AVM_Land!T21=0,"",MaGic_AVM_Land!T21),"")</f>
        <v/>
      </c>
      <c r="U21" s="70" t="str">
        <f>IF(U$2="Y",IF(MaGic_AVM_Land!U21=0,"",MaGic_AVM_Land!U21),"")</f>
        <v/>
      </c>
      <c r="V21" s="70" t="str">
        <f>IF(V$2="Y",IF(MaGic_AVM_Land!V21=0,"",MaGic_AVM_Land!V21),"")</f>
        <v/>
      </c>
      <c r="W21" s="70" t="str">
        <f>IF(W$2="Y",IF(MaGic_AVM_Land!W21=0,"",MaGic_AVM_Land!W21),"")</f>
        <v/>
      </c>
      <c r="X21" s="70" t="str">
        <f>IF(X$2="Y",IF(MaGic_AVM_Land!X21=0,"",MaGic_AVM_Land!X21),"")</f>
        <v/>
      </c>
      <c r="Y21" s="70" t="str">
        <f>IF(Y$2="Y",IF(MaGic_AVM_Land!Y21=0,"",MaGic_AVM_Land!Y21),"")</f>
        <v/>
      </c>
      <c r="Z21" s="70" t="str">
        <f>IF(Z$2="Y",IF(MaGic_AVM_Land!Z21=0,"",MaGic_AVM_Land!Z21),"")</f>
        <v/>
      </c>
      <c r="AA21" s="69" t="str">
        <f t="shared" si="2"/>
        <v/>
      </c>
      <c r="AB21" s="69" t="str" cm="1">
        <f t="array" ref="AB21">_xlfn.UNIQUE(C21:Z21,TRUE,FALSE)</f>
        <v/>
      </c>
    </row>
    <row r="22" spans="1:52">
      <c r="A22" s="69">
        <v>20</v>
      </c>
      <c r="B22" s="69" t="s">
        <v>82</v>
      </c>
      <c r="C22" s="70" t="str">
        <f>IF(C$2="Y",IF(MaGic_AVM_Land!C22=0,"",MaGic_AVM_Land!C22),"")</f>
        <v/>
      </c>
      <c r="D22" s="70" t="str">
        <f>IF(D$2="Y",IF(MaGic_AVM_Land!D22=0,"",MaGic_AVM_Land!D22),"")</f>
        <v/>
      </c>
      <c r="E22" s="70" t="str">
        <f>IF(E$2="Y",IF(MaGic_AVM_Land!E22=0,"",MaGic_AVM_Land!E22),"")</f>
        <v/>
      </c>
      <c r="F22" s="70" t="str">
        <f>IF(F$2="Y",IF(MaGic_AVM_Land!F22=0,"",MaGic_AVM_Land!F22),"")</f>
        <v/>
      </c>
      <c r="G22" s="70" t="str">
        <f>IF(G$2="Y",IF(MaGic_AVM_Land!G22=0,"",MaGic_AVM_Land!G22),"")</f>
        <v/>
      </c>
      <c r="H22" s="70" t="str">
        <f>IF(H$2="Y",IF(MaGic_AVM_Land!H22=0,"",MaGic_AVM_Land!H22),"")</f>
        <v/>
      </c>
      <c r="I22" s="70" t="str">
        <f>IF(I$2="Y",IF(MaGic_AVM_Land!I22=0,"",MaGic_AVM_Land!I22),"")</f>
        <v/>
      </c>
      <c r="J22" s="70" t="str">
        <f>IF(J$2="Y",IF(MaGic_AVM_Land!J22=0,"",MaGic_AVM_Land!J22),"")</f>
        <v/>
      </c>
      <c r="K22" s="70" t="str">
        <f>IF(K$2="Y",IF(MaGic_AVM_Land!K22=0,"",MaGic_AVM_Land!K22),"")</f>
        <v/>
      </c>
      <c r="L22" s="70" t="str">
        <f>IF(L$2="Y",IF(MaGic_AVM_Land!L22=0,"",MaGic_AVM_Land!L22),"")</f>
        <v/>
      </c>
      <c r="M22" s="70" t="str">
        <f>IF(M$2="Y",IF(MaGic_AVM_Land!M22=0,"",MaGic_AVM_Land!M22),"")</f>
        <v/>
      </c>
      <c r="N22" s="70" t="str">
        <f>IF(N$2="Y",IF(MaGic_AVM_Land!N22=0,"",MaGic_AVM_Land!N22),"")</f>
        <v/>
      </c>
      <c r="O22" s="70" t="str">
        <f>IF(O$2="Y",IF(MaGic_AVM_Land!O22=0,"",MaGic_AVM_Land!O22),"")</f>
        <v/>
      </c>
      <c r="P22" s="70" t="str">
        <f>IF(P$2="Y",IF(MaGic_AVM_Land!P22=0,"",MaGic_AVM_Land!P22),"")</f>
        <v/>
      </c>
      <c r="Q22" s="70" t="str">
        <f>IF(Q$2="Y",IF(MaGic_AVM_Land!Q22=0,"",MaGic_AVM_Land!Q22),"")</f>
        <v/>
      </c>
      <c r="R22" s="70" t="str">
        <f>IF(R$2="Y",IF(MaGic_AVM_Land!R22=0,"",MaGic_AVM_Land!R22),"")</f>
        <v/>
      </c>
      <c r="S22" s="70" t="str">
        <f>IF(S$2="Y",IF(MaGic_AVM_Land!S22=0,"",MaGic_AVM_Land!S22),"")</f>
        <v/>
      </c>
      <c r="T22" s="70" t="str">
        <f>IF(T$2="Y",IF(MaGic_AVM_Land!T22=0,"",MaGic_AVM_Land!T22),"")</f>
        <v/>
      </c>
      <c r="U22" s="70" t="str">
        <f>IF(U$2="Y",IF(MaGic_AVM_Land!U22=0,"",MaGic_AVM_Land!U22),"")</f>
        <v/>
      </c>
      <c r="V22" s="70" t="str">
        <f>IF(V$2="Y",IF(MaGic_AVM_Land!V22=0,"",MaGic_AVM_Land!V22),"")</f>
        <v/>
      </c>
      <c r="W22" s="70" t="str">
        <f>IF(W$2="Y",IF(MaGic_AVM_Land!W22=0,"",MaGic_AVM_Land!W22),"")</f>
        <v/>
      </c>
      <c r="X22" s="70" t="str">
        <f>IF(X$2="Y",IF(MaGic_AVM_Land!X22=0,"",MaGic_AVM_Land!X22),"")</f>
        <v/>
      </c>
      <c r="Y22" s="70" t="str">
        <f>IF(Y$2="Y",IF(MaGic_AVM_Land!Y22=0,"",MaGic_AVM_Land!Y22),"")</f>
        <v/>
      </c>
      <c r="Z22" s="70" t="str">
        <f>IF(Z$2="Y",IF(MaGic_AVM_Land!Z22=0,"",MaGic_AVM_Land!Z22),"")</f>
        <v/>
      </c>
      <c r="AA22" s="69" t="str">
        <f t="shared" si="2"/>
        <v/>
      </c>
      <c r="AB22" s="69" t="str" cm="1">
        <f t="array" ref="AB22">_xlfn.UNIQUE(C22:Z22,TRUE,FALSE)</f>
        <v/>
      </c>
    </row>
    <row r="23" spans="1:52">
      <c r="A23" s="69">
        <v>21</v>
      </c>
      <c r="B23" s="69" t="s">
        <v>83</v>
      </c>
      <c r="C23" s="70">
        <f>IF(C$2="Y",IF(MaGic_AVM_Land!C23=0,"",MaGic_AVM_Land!C23),"")</f>
        <v>2.0699999999999998</v>
      </c>
      <c r="D23" s="70" t="str">
        <f>IF(D$2="Y",IF(MaGic_AVM_Land!D23=0,"",MaGic_AVM_Land!D23),"")</f>
        <v/>
      </c>
      <c r="E23" s="70" t="str">
        <f>IF(E$2="Y",IF(MaGic_AVM_Land!E23=0,"",MaGic_AVM_Land!E23),"")</f>
        <v/>
      </c>
      <c r="F23" s="70" t="str">
        <f>IF(F$2="Y",IF(MaGic_AVM_Land!F23=0,"",MaGic_AVM_Land!F23),"")</f>
        <v/>
      </c>
      <c r="G23" s="70" t="str">
        <f>IF(G$2="Y",IF(MaGic_AVM_Land!G23=0,"",MaGic_AVM_Land!G23),"")</f>
        <v/>
      </c>
      <c r="H23" s="70" t="str">
        <f>IF(H$2="Y",IF(MaGic_AVM_Land!H23=0,"",MaGic_AVM_Land!H23),"")</f>
        <v/>
      </c>
      <c r="I23" s="70" t="str">
        <f>IF(I$2="Y",IF(MaGic_AVM_Land!I23=0,"",MaGic_AVM_Land!I23),"")</f>
        <v/>
      </c>
      <c r="J23" s="70" t="str">
        <f>IF(J$2="Y",IF(MaGic_AVM_Land!J23=0,"",MaGic_AVM_Land!J23),"")</f>
        <v/>
      </c>
      <c r="K23" s="70" t="str">
        <f>IF(K$2="Y",IF(MaGic_AVM_Land!K23=0,"",MaGic_AVM_Land!K23),"")</f>
        <v/>
      </c>
      <c r="L23" s="70" t="str">
        <f>IF(L$2="Y",IF(MaGic_AVM_Land!L23=0,"",MaGic_AVM_Land!L23),"")</f>
        <v/>
      </c>
      <c r="M23" s="70" t="str">
        <f>IF(M$2="Y",IF(MaGic_AVM_Land!M23=0,"",MaGic_AVM_Land!M23),"")</f>
        <v/>
      </c>
      <c r="N23" s="70" t="str">
        <f>IF(N$2="Y",IF(MaGic_AVM_Land!N23=0,"",MaGic_AVM_Land!N23),"")</f>
        <v/>
      </c>
      <c r="O23" s="70" t="str">
        <f>IF(O$2="Y",IF(MaGic_AVM_Land!O23=0,"",MaGic_AVM_Land!O23),"")</f>
        <v/>
      </c>
      <c r="P23" s="70" t="str">
        <f>IF(P$2="Y",IF(MaGic_AVM_Land!P23=0,"",MaGic_AVM_Land!P23),"")</f>
        <v/>
      </c>
      <c r="Q23" s="70" t="str">
        <f>IF(Q$2="Y",IF(MaGic_AVM_Land!Q23=0,"",MaGic_AVM_Land!Q23),"")</f>
        <v/>
      </c>
      <c r="R23" s="70" t="str">
        <f>IF(R$2="Y",IF(MaGic_AVM_Land!R23=0,"",MaGic_AVM_Land!R23),"")</f>
        <v/>
      </c>
      <c r="S23" s="70" t="str">
        <f>IF(S$2="Y",IF(MaGic_AVM_Land!S23=0,"",MaGic_AVM_Land!S23),"")</f>
        <v/>
      </c>
      <c r="T23" s="70" t="str">
        <f>IF(T$2="Y",IF(MaGic_AVM_Land!T23=0,"",MaGic_AVM_Land!T23),"")</f>
        <v/>
      </c>
      <c r="U23" s="70" t="str">
        <f>IF(U$2="Y",IF(MaGic_AVM_Land!U23=0,"",MaGic_AVM_Land!U23),"")</f>
        <v/>
      </c>
      <c r="V23" s="70" t="str">
        <f>IF(V$2="Y",IF(MaGic_AVM_Land!V23=0,"",MaGic_AVM_Land!V23),"")</f>
        <v/>
      </c>
      <c r="W23" s="70" t="str">
        <f>IF(W$2="Y",IF(MaGic_AVM_Land!W23=0,"",MaGic_AVM_Land!W23),"")</f>
        <v/>
      </c>
      <c r="X23" s="70" t="str">
        <f>IF(X$2="Y",IF(MaGic_AVM_Land!X23=0,"",MaGic_AVM_Land!X23),"")</f>
        <v/>
      </c>
      <c r="Y23" s="70" t="str">
        <f>IF(Y$2="Y",IF(MaGic_AVM_Land!Y23=0,"",MaGic_AVM_Land!Y23),"")</f>
        <v/>
      </c>
      <c r="Z23" s="70" t="str">
        <f>IF(Z$2="Y",IF(MaGic_AVM_Land!Z23=0,"",MaGic_AVM_Land!Z23),"")</f>
        <v/>
      </c>
      <c r="AA23" s="69">
        <f>SUM(C23:Z23)</f>
        <v>2.0699999999999998</v>
      </c>
      <c r="AB23" s="69" cm="1">
        <f t="array" ref="AB23:AC23">_xlfn.UNIQUE(C23:Z23,TRUE,FALSE)</f>
        <v>2.0699999999999998</v>
      </c>
      <c r="AC23" s="69" t="str">
        <v/>
      </c>
    </row>
    <row r="24" spans="1:52">
      <c r="A24" s="69">
        <v>22</v>
      </c>
      <c r="B24" s="69" t="s">
        <v>84</v>
      </c>
      <c r="C24" s="70" t="str">
        <f>IF(C$2="Y",IF(MaGic_AVM_Land!C24=0,"",MaGic_AVM_Land!C24),"")</f>
        <v/>
      </c>
      <c r="D24" s="70" t="str">
        <f>IF(D$2="Y",IF(MaGic_AVM_Land!D24=0,"",MaGic_AVM_Land!D24),"")</f>
        <v/>
      </c>
      <c r="E24" s="70" t="str">
        <f>IF(E$2="Y",IF(MaGic_AVM_Land!E24=0,"",MaGic_AVM_Land!E24),"")</f>
        <v/>
      </c>
      <c r="F24" s="70" t="str">
        <f>IF(F$2="Y",IF(MaGic_AVM_Land!F24=0,"",MaGic_AVM_Land!F24),"")</f>
        <v/>
      </c>
      <c r="G24" s="70" t="str">
        <f>IF(G$2="Y",IF(MaGic_AVM_Land!G24=0,"",MaGic_AVM_Land!G24),"")</f>
        <v/>
      </c>
      <c r="H24" s="70" t="str">
        <f>IF(H$2="Y",IF(MaGic_AVM_Land!H24=0,"",MaGic_AVM_Land!H24),"")</f>
        <v/>
      </c>
      <c r="I24" s="70" t="str">
        <f>IF(I$2="Y",IF(MaGic_AVM_Land!I24=0,"",MaGic_AVM_Land!I24),"")</f>
        <v/>
      </c>
      <c r="J24" s="70" t="str">
        <f>IF(J$2="Y",IF(MaGic_AVM_Land!J24=0,"",MaGic_AVM_Land!J24),"")</f>
        <v/>
      </c>
      <c r="K24" s="70" t="str">
        <f>IF(K$2="Y",IF(MaGic_AVM_Land!K24=0,"",MaGic_AVM_Land!K24),"")</f>
        <v/>
      </c>
      <c r="L24" s="70" t="str">
        <f>IF(L$2="Y",IF(MaGic_AVM_Land!L24=0,"",MaGic_AVM_Land!L24),"")</f>
        <v/>
      </c>
      <c r="M24" s="70" t="str">
        <f>IF(M$2="Y",IF(MaGic_AVM_Land!M24=0,"",MaGic_AVM_Land!M24),"")</f>
        <v/>
      </c>
      <c r="N24" s="70" t="str">
        <f>IF(N$2="Y",IF(MaGic_AVM_Land!N24=0,"",MaGic_AVM_Land!N24),"")</f>
        <v/>
      </c>
      <c r="O24" s="70" t="str">
        <f>IF(O$2="Y",IF(MaGic_AVM_Land!O24=0,"",MaGic_AVM_Land!O24),"")</f>
        <v/>
      </c>
      <c r="P24" s="70" t="str">
        <f>IF(P$2="Y",IF(MaGic_AVM_Land!P24=0,"",MaGic_AVM_Land!P24),"")</f>
        <v/>
      </c>
      <c r="Q24" s="70" t="str">
        <f>IF(Q$2="Y",IF(MaGic_AVM_Land!Q24=0,"",MaGic_AVM_Land!Q24),"")</f>
        <v/>
      </c>
      <c r="R24" s="70" t="str">
        <f>IF(R$2="Y",IF(MaGic_AVM_Land!R24=0,"",MaGic_AVM_Land!R24),"")</f>
        <v/>
      </c>
      <c r="S24" s="70" t="str">
        <f>IF(S$2="Y",IF(MaGic_AVM_Land!S24=0,"",MaGic_AVM_Land!S24),"")</f>
        <v/>
      </c>
      <c r="T24" s="70" t="str">
        <f>IF(T$2="Y",IF(MaGic_AVM_Land!T24=0,"",MaGic_AVM_Land!T24),"")</f>
        <v/>
      </c>
      <c r="U24" s="70" t="str">
        <f>IF(U$2="Y",IF(MaGic_AVM_Land!U24=0,"",MaGic_AVM_Land!U24),"")</f>
        <v/>
      </c>
      <c r="V24" s="70" t="str">
        <f>IF(V$2="Y",IF(MaGic_AVM_Land!V24=0,"",MaGic_AVM_Land!V24),"")</f>
        <v/>
      </c>
      <c r="W24" s="70" t="str">
        <f>IF(W$2="Y",IF(MaGic_AVM_Land!W24=0,"",MaGic_AVM_Land!W24),"")</f>
        <v/>
      </c>
      <c r="X24" s="70" t="str">
        <f>IF(X$2="Y",IF(MaGic_AVM_Land!X24=0,"",MaGic_AVM_Land!X24),"")</f>
        <v/>
      </c>
      <c r="Y24" s="70" t="str">
        <f>IF(Y$2="Y",IF(MaGic_AVM_Land!Y24=0,"",MaGic_AVM_Land!Y24),"")</f>
        <v/>
      </c>
      <c r="Z24" s="70" t="str">
        <f>IF(Z$2="Y",IF(MaGic_AVM_Land!Z24=0,"",MaGic_AVM_Land!Z24),"")</f>
        <v/>
      </c>
      <c r="AA24" s="69" t="str">
        <f>_xlfn.TEXTJOIN(", ",TRUE,AB24:AZ24)</f>
        <v/>
      </c>
      <c r="AB24" s="69" t="str" cm="1">
        <f t="array" ref="AB24">_xlfn.UNIQUE(C24:Z24,TRUE,FALSE)</f>
        <v/>
      </c>
    </row>
    <row r="25" spans="1:52">
      <c r="B25" s="69" t="s">
        <v>168</v>
      </c>
      <c r="C25" s="70" t="str">
        <f>IF(C$2="Y",IF(MaGic_AVM_Land!C25=0,"",MaGic_AVM_Land!C25),"")</f>
        <v/>
      </c>
      <c r="D25" s="70" t="str">
        <f>IF(D$2="Y",IF(MaGic_AVM_Land!D25=0,"",MaGic_AVM_Land!D25),"")</f>
        <v/>
      </c>
      <c r="E25" s="70" t="str">
        <f>IF(E$2="Y",IF(MaGic_AVM_Land!E25=0,"",MaGic_AVM_Land!E25),"")</f>
        <v/>
      </c>
      <c r="F25" s="70" t="str">
        <f>IF(F$2="Y",IF(MaGic_AVM_Land!F25=0,"",MaGic_AVM_Land!F25),"")</f>
        <v/>
      </c>
      <c r="G25" s="70" t="str">
        <f>IF(G$2="Y",IF(MaGic_AVM_Land!G25=0,"",MaGic_AVM_Land!G25),"")</f>
        <v/>
      </c>
      <c r="H25" s="70" t="str">
        <f>IF(H$2="Y",IF(MaGic_AVM_Land!H25=0,"",MaGic_AVM_Land!H25),"")</f>
        <v/>
      </c>
      <c r="I25" s="70" t="str">
        <f>IF(I$2="Y",IF(MaGic_AVM_Land!I25=0,"",MaGic_AVM_Land!I25),"")</f>
        <v/>
      </c>
      <c r="J25" s="70" t="str">
        <f>IF(J$2="Y",IF(MaGic_AVM_Land!J25=0,"",MaGic_AVM_Land!J25),"")</f>
        <v/>
      </c>
      <c r="K25" s="70" t="str">
        <f>IF(K$2="Y",IF(MaGic_AVM_Land!K25=0,"",MaGic_AVM_Land!K25),"")</f>
        <v/>
      </c>
      <c r="L25" s="70" t="str">
        <f>IF(L$2="Y",IF(MaGic_AVM_Land!L25=0,"",MaGic_AVM_Land!L25),"")</f>
        <v/>
      </c>
      <c r="M25" s="70" t="str">
        <f>IF(M$2="Y",IF(MaGic_AVM_Land!M25=0,"",MaGic_AVM_Land!M25),"")</f>
        <v/>
      </c>
      <c r="N25" s="70" t="str">
        <f>IF(N$2="Y",IF(MaGic_AVM_Land!N25=0,"",MaGic_AVM_Land!N25),"")</f>
        <v/>
      </c>
      <c r="O25" s="70" t="str">
        <f>IF(O$2="Y",IF(MaGic_AVM_Land!O25=0,"",MaGic_AVM_Land!O25),"")</f>
        <v/>
      </c>
      <c r="P25" s="70" t="str">
        <f>IF(P$2="Y",IF(MaGic_AVM_Land!P25=0,"",MaGic_AVM_Land!P25),"")</f>
        <v/>
      </c>
      <c r="Q25" s="70" t="str">
        <f>IF(Q$2="Y",IF(MaGic_AVM_Land!Q25=0,"",MaGic_AVM_Land!Q25),"")</f>
        <v/>
      </c>
      <c r="R25" s="70" t="str">
        <f>IF(R$2="Y",IF(MaGic_AVM_Land!R25=0,"",MaGic_AVM_Land!R25),"")</f>
        <v/>
      </c>
      <c r="S25" s="70" t="str">
        <f>IF(S$2="Y",IF(MaGic_AVM_Land!S25=0,"",MaGic_AVM_Land!S25),"")</f>
        <v/>
      </c>
      <c r="T25" s="70" t="str">
        <f>IF(T$2="Y",IF(MaGic_AVM_Land!T25=0,"",MaGic_AVM_Land!T25),"")</f>
        <v/>
      </c>
      <c r="U25" s="70" t="str">
        <f>IF(U$2="Y",IF(MaGic_AVM_Land!U25=0,"",MaGic_AVM_Land!U25),"")</f>
        <v/>
      </c>
      <c r="V25" s="70" t="str">
        <f>IF(V$2="Y",IF(MaGic_AVM_Land!V25=0,"",MaGic_AVM_Land!V25),"")</f>
        <v/>
      </c>
      <c r="W25" s="70" t="str">
        <f>IF(W$2="Y",IF(MaGic_AVM_Land!W25=0,"",MaGic_AVM_Land!W25),"")</f>
        <v/>
      </c>
      <c r="X25" s="70" t="str">
        <f>IF(X$2="Y",IF(MaGic_AVM_Land!X25=0,"",MaGic_AVM_Land!X25),"")</f>
        <v/>
      </c>
      <c r="Y25" s="70" t="str">
        <f>IF(Y$2="Y",IF(MaGic_AVM_Land!Y25=0,"",MaGic_AVM_Land!Y25),"")</f>
        <v/>
      </c>
      <c r="Z25" s="70" t="str">
        <f>IF(Z$2="Y",IF(MaGic_AVM_Land!Z25=0,"",MaGic_AVM_Land!Z25),"")</f>
        <v/>
      </c>
      <c r="AB25" s="69" t="str" cm="1">
        <f t="array" ref="AB25">_xlfn.UNIQUE(C25:Z25,TRUE,FALSE)</f>
        <v/>
      </c>
    </row>
    <row r="26" spans="1:52">
      <c r="A26" s="69">
        <v>24</v>
      </c>
      <c r="B26" s="69" t="s">
        <v>91</v>
      </c>
      <c r="C26" s="70" t="str">
        <f>IF(C$2="Y",IF(MaGic_AVM_Land!C26=0,"",MaGic_AVM_Land!C26),"")</f>
        <v/>
      </c>
      <c r="D26" s="70" t="str">
        <f>IF(D$2="Y",IF(MaGic_AVM_Land!D26=0,"",MaGic_AVM_Land!D26),"")</f>
        <v/>
      </c>
      <c r="E26" s="70" t="str">
        <f>IF(E$2="Y",IF(MaGic_AVM_Land!E26=0,"",MaGic_AVM_Land!E26),"")</f>
        <v/>
      </c>
      <c r="F26" s="70" t="str">
        <f>IF(F$2="Y",IF(MaGic_AVM_Land!F26=0,"",MaGic_AVM_Land!F26),"")</f>
        <v/>
      </c>
      <c r="G26" s="70" t="str">
        <f>IF(G$2="Y",IF(MaGic_AVM_Land!G26=0,"",MaGic_AVM_Land!G26),"")</f>
        <v/>
      </c>
      <c r="H26" s="70" t="str">
        <f>IF(H$2="Y",IF(MaGic_AVM_Land!H26=0,"",MaGic_AVM_Land!H26),"")</f>
        <v/>
      </c>
      <c r="I26" s="70" t="str">
        <f>IF(I$2="Y",IF(MaGic_AVM_Land!I26=0,"",MaGic_AVM_Land!I26),"")</f>
        <v/>
      </c>
      <c r="J26" s="70" t="str">
        <f>IF(J$2="Y",IF(MaGic_AVM_Land!J26=0,"",MaGic_AVM_Land!J26),"")</f>
        <v/>
      </c>
      <c r="K26" s="70" t="str">
        <f>IF(K$2="Y",IF(MaGic_AVM_Land!K26=0,"",MaGic_AVM_Land!K26),"")</f>
        <v/>
      </c>
      <c r="L26" s="70" t="str">
        <f>IF(L$2="Y",IF(MaGic_AVM_Land!L26=0,"",MaGic_AVM_Land!L26),"")</f>
        <v/>
      </c>
      <c r="M26" s="70" t="str">
        <f>IF(M$2="Y",IF(MaGic_AVM_Land!M26=0,"",MaGic_AVM_Land!M26),"")</f>
        <v/>
      </c>
      <c r="N26" s="70" t="str">
        <f>IF(N$2="Y",IF(MaGic_AVM_Land!N26=0,"",MaGic_AVM_Land!N26),"")</f>
        <v/>
      </c>
      <c r="O26" s="70" t="str">
        <f>IF(O$2="Y",IF(MaGic_AVM_Land!O26=0,"",MaGic_AVM_Land!O26),"")</f>
        <v/>
      </c>
      <c r="P26" s="70" t="str">
        <f>IF(P$2="Y",IF(MaGic_AVM_Land!P26=0,"",MaGic_AVM_Land!P26),"")</f>
        <v/>
      </c>
      <c r="Q26" s="70" t="str">
        <f>IF(Q$2="Y",IF(MaGic_AVM_Land!Q26=0,"",MaGic_AVM_Land!Q26),"")</f>
        <v/>
      </c>
      <c r="R26" s="70" t="str">
        <f>IF(R$2="Y",IF(MaGic_AVM_Land!R26=0,"",MaGic_AVM_Land!R26),"")</f>
        <v/>
      </c>
      <c r="S26" s="70" t="str">
        <f>IF(S$2="Y",IF(MaGic_AVM_Land!S26=0,"",MaGic_AVM_Land!S26),"")</f>
        <v/>
      </c>
      <c r="T26" s="70" t="str">
        <f>IF(T$2="Y",IF(MaGic_AVM_Land!T26=0,"",MaGic_AVM_Land!T26),"")</f>
        <v/>
      </c>
      <c r="U26" s="70" t="str">
        <f>IF(U$2="Y",IF(MaGic_AVM_Land!U26=0,"",MaGic_AVM_Land!U26),"")</f>
        <v/>
      </c>
      <c r="V26" s="70" t="str">
        <f>IF(V$2="Y",IF(MaGic_AVM_Land!V26=0,"",MaGic_AVM_Land!V26),"")</f>
        <v/>
      </c>
      <c r="W26" s="70" t="str">
        <f>IF(W$2="Y",IF(MaGic_AVM_Land!W26=0,"",MaGic_AVM_Land!W26),"")</f>
        <v/>
      </c>
      <c r="X26" s="70" t="str">
        <f>IF(X$2="Y",IF(MaGic_AVM_Land!X26=0,"",MaGic_AVM_Land!X26),"")</f>
        <v/>
      </c>
      <c r="Y26" s="70" t="str">
        <f>IF(Y$2="Y",IF(MaGic_AVM_Land!Y26=0,"",MaGic_AVM_Land!Y26),"")</f>
        <v/>
      </c>
      <c r="Z26" s="70" t="str">
        <f>IF(Z$2="Y",IF(MaGic_AVM_Land!Z26=0,"",MaGic_AVM_Land!Z26),"")</f>
        <v/>
      </c>
      <c r="AA26" s="68" t="str">
        <f>_xlfn.TEXTJOIN(",",TRUE,AB26:AZ26)</f>
        <v/>
      </c>
      <c r="AB26" s="68" t="str" cm="1">
        <f t="array" ref="AB26">_xlfn.UNIQUE(C26:Z26,TRUE,FALSE)</f>
        <v/>
      </c>
      <c r="AC26" s="68"/>
      <c r="AD26" s="68"/>
      <c r="AE26" s="68"/>
      <c r="AF26" s="68"/>
      <c r="AG26" s="68"/>
      <c r="AH26" s="68"/>
      <c r="AI26" s="68"/>
      <c r="AJ26" s="68"/>
      <c r="AK26" s="68"/>
      <c r="AL26" s="68"/>
      <c r="AM26" s="68"/>
      <c r="AN26" s="68"/>
      <c r="AO26" s="68"/>
      <c r="AP26" s="68"/>
      <c r="AQ26" s="68"/>
      <c r="AR26" s="68"/>
      <c r="AS26" s="68"/>
      <c r="AT26" s="68"/>
      <c r="AU26" s="68"/>
      <c r="AV26" s="68"/>
      <c r="AW26" s="68"/>
      <c r="AX26" s="68"/>
      <c r="AY26" s="68"/>
      <c r="AZ26" s="68"/>
    </row>
    <row r="27" spans="1:52">
      <c r="A27" s="69">
        <v>25</v>
      </c>
      <c r="B27" s="69" t="s">
        <v>94</v>
      </c>
      <c r="C27" s="70" t="str">
        <f>IF(C$2="Y",IF(MaGic_AVM_Land!C27=0,"",MaGic_AVM_Land!C27),"")</f>
        <v/>
      </c>
      <c r="D27" s="70" t="str">
        <f>IF(D$2="Y",IF(MaGic_AVM_Land!D27=0,"",MaGic_AVM_Land!D27),"")</f>
        <v/>
      </c>
      <c r="E27" s="70" t="str">
        <f>IF(E$2="Y",IF(MaGic_AVM_Land!E27=0,"",MaGic_AVM_Land!E27),"")</f>
        <v/>
      </c>
      <c r="F27" s="70" t="str">
        <f>IF(F$2="Y",IF(MaGic_AVM_Land!F27=0,"",MaGic_AVM_Land!F27),"")</f>
        <v/>
      </c>
      <c r="G27" s="70" t="str">
        <f>IF(G$2="Y",IF(MaGic_AVM_Land!G27=0,"",MaGic_AVM_Land!G27),"")</f>
        <v/>
      </c>
      <c r="H27" s="70" t="str">
        <f>IF(H$2="Y",IF(MaGic_AVM_Land!H27=0,"",MaGic_AVM_Land!H27),"")</f>
        <v/>
      </c>
      <c r="I27" s="70" t="str">
        <f>IF(I$2="Y",IF(MaGic_AVM_Land!I27=0,"",MaGic_AVM_Land!I27),"")</f>
        <v/>
      </c>
      <c r="J27" s="70" t="str">
        <f>IF(J$2="Y",IF(MaGic_AVM_Land!J27=0,"",MaGic_AVM_Land!J27),"")</f>
        <v/>
      </c>
      <c r="K27" s="70" t="str">
        <f>IF(K$2="Y",IF(MaGic_AVM_Land!K27=0,"",MaGic_AVM_Land!K27),"")</f>
        <v/>
      </c>
      <c r="L27" s="70" t="str">
        <f>IF(L$2="Y",IF(MaGic_AVM_Land!L27=0,"",MaGic_AVM_Land!L27),"")</f>
        <v/>
      </c>
      <c r="M27" s="70" t="str">
        <f>IF(M$2="Y",IF(MaGic_AVM_Land!M27=0,"",MaGic_AVM_Land!M27),"")</f>
        <v/>
      </c>
      <c r="N27" s="70" t="str">
        <f>IF(N$2="Y",IF(MaGic_AVM_Land!N27=0,"",MaGic_AVM_Land!N27),"")</f>
        <v/>
      </c>
      <c r="O27" s="70" t="str">
        <f>IF(O$2="Y",IF(MaGic_AVM_Land!O27=0,"",MaGic_AVM_Land!O27),"")</f>
        <v/>
      </c>
      <c r="P27" s="70" t="str">
        <f>IF(P$2="Y",IF(MaGic_AVM_Land!P27=0,"",MaGic_AVM_Land!P27),"")</f>
        <v/>
      </c>
      <c r="Q27" s="70" t="str">
        <f>IF(Q$2="Y",IF(MaGic_AVM_Land!Q27=0,"",MaGic_AVM_Land!Q27),"")</f>
        <v/>
      </c>
      <c r="R27" s="70" t="str">
        <f>IF(R$2="Y",IF(MaGic_AVM_Land!R27=0,"",MaGic_AVM_Land!R27),"")</f>
        <v/>
      </c>
      <c r="S27" s="70" t="str">
        <f>IF(S$2="Y",IF(MaGic_AVM_Land!S27=0,"",MaGic_AVM_Land!S27),"")</f>
        <v/>
      </c>
      <c r="T27" s="70" t="str">
        <f>IF(T$2="Y",IF(MaGic_AVM_Land!T27=0,"",MaGic_AVM_Land!T27),"")</f>
        <v/>
      </c>
      <c r="U27" s="70" t="str">
        <f>IF(U$2="Y",IF(MaGic_AVM_Land!U27=0,"",MaGic_AVM_Land!U27),"")</f>
        <v/>
      </c>
      <c r="V27" s="70" t="str">
        <f>IF(V$2="Y",IF(MaGic_AVM_Land!V27=0,"",MaGic_AVM_Land!V27),"")</f>
        <v/>
      </c>
      <c r="W27" s="70" t="str">
        <f>IF(W$2="Y",IF(MaGic_AVM_Land!W27=0,"",MaGic_AVM_Land!W27),"")</f>
        <v/>
      </c>
      <c r="X27" s="70" t="str">
        <f>IF(X$2="Y",IF(MaGic_AVM_Land!X27=0,"",MaGic_AVM_Land!X27),"")</f>
        <v/>
      </c>
      <c r="Y27" s="70" t="str">
        <f>IF(Y$2="Y",IF(MaGic_AVM_Land!Y27=0,"",MaGic_AVM_Land!Y27),"")</f>
        <v/>
      </c>
      <c r="Z27" s="70" t="str">
        <f>IF(Z$2="Y",IF(MaGic_AVM_Land!Z27=0,"",MaGic_AVM_Land!Z27),"")</f>
        <v/>
      </c>
      <c r="AA27" s="68" t="str">
        <f t="shared" ref="AA27:AA29" si="3">_xlfn.TEXTJOIN(",",TRUE,AB27:AZ27)</f>
        <v/>
      </c>
      <c r="AB27" s="68" t="str" cm="1">
        <f t="array" ref="AB27">_xlfn.UNIQUE(C27:Z27,TRUE,FALSE)</f>
        <v/>
      </c>
      <c r="AC27" s="68"/>
      <c r="AD27" s="68"/>
      <c r="AE27" s="68"/>
      <c r="AF27" s="68"/>
      <c r="AG27" s="68"/>
      <c r="AH27" s="68"/>
      <c r="AI27" s="68"/>
      <c r="AJ27" s="68"/>
      <c r="AK27" s="68"/>
      <c r="AL27" s="68"/>
      <c r="AM27" s="68"/>
      <c r="AN27" s="68"/>
      <c r="AO27" s="68"/>
      <c r="AP27" s="68"/>
      <c r="AQ27" s="68"/>
      <c r="AR27" s="68"/>
      <c r="AS27" s="68"/>
      <c r="AT27" s="68"/>
      <c r="AU27" s="68"/>
      <c r="AV27" s="68"/>
      <c r="AW27" s="68"/>
      <c r="AX27" s="68"/>
      <c r="AY27" s="68"/>
      <c r="AZ27" s="68"/>
    </row>
    <row r="28" spans="1:52">
      <c r="A28" s="69">
        <v>26</v>
      </c>
      <c r="B28" s="69" t="s">
        <v>97</v>
      </c>
      <c r="C28" s="70" t="str">
        <f>IF(C$2="Y",IF(MaGic_AVM_Land!C28=0,"",MaGic_AVM_Land!C28),"")</f>
        <v/>
      </c>
      <c r="D28" s="70" t="str">
        <f>IF(D$2="Y",IF(MaGic_AVM_Land!D28=0,"",MaGic_AVM_Land!D28),"")</f>
        <v/>
      </c>
      <c r="E28" s="70" t="str">
        <f>IF(E$2="Y",IF(MaGic_AVM_Land!E28=0,"",MaGic_AVM_Land!E28),"")</f>
        <v/>
      </c>
      <c r="F28" s="70" t="str">
        <f>IF(F$2="Y",IF(MaGic_AVM_Land!F28=0,"",MaGic_AVM_Land!F28),"")</f>
        <v/>
      </c>
      <c r="G28" s="70" t="str">
        <f>IF(G$2="Y",IF(MaGic_AVM_Land!G28=0,"",MaGic_AVM_Land!G28),"")</f>
        <v/>
      </c>
      <c r="H28" s="70" t="str">
        <f>IF(H$2="Y",IF(MaGic_AVM_Land!H28=0,"",MaGic_AVM_Land!H28),"")</f>
        <v/>
      </c>
      <c r="I28" s="70" t="str">
        <f>IF(I$2="Y",IF(MaGic_AVM_Land!I28=0,"",MaGic_AVM_Land!I28),"")</f>
        <v/>
      </c>
      <c r="J28" s="70" t="str">
        <f>IF(J$2="Y",IF(MaGic_AVM_Land!J28=0,"",MaGic_AVM_Land!J28),"")</f>
        <v/>
      </c>
      <c r="K28" s="70" t="str">
        <f>IF(K$2="Y",IF(MaGic_AVM_Land!K28=0,"",MaGic_AVM_Land!K28),"")</f>
        <v/>
      </c>
      <c r="L28" s="70" t="str">
        <f>IF(L$2="Y",IF(MaGic_AVM_Land!L28=0,"",MaGic_AVM_Land!L28),"")</f>
        <v/>
      </c>
      <c r="M28" s="70" t="str">
        <f>IF(M$2="Y",IF(MaGic_AVM_Land!M28=0,"",MaGic_AVM_Land!M28),"")</f>
        <v/>
      </c>
      <c r="N28" s="70" t="str">
        <f>IF(N$2="Y",IF(MaGic_AVM_Land!N28=0,"",MaGic_AVM_Land!N28),"")</f>
        <v/>
      </c>
      <c r="O28" s="70" t="str">
        <f>IF(O$2="Y",IF(MaGic_AVM_Land!O28=0,"",MaGic_AVM_Land!O28),"")</f>
        <v/>
      </c>
      <c r="P28" s="70" t="str">
        <f>IF(P$2="Y",IF(MaGic_AVM_Land!P28=0,"",MaGic_AVM_Land!P28),"")</f>
        <v/>
      </c>
      <c r="Q28" s="70" t="str">
        <f>IF(Q$2="Y",IF(MaGic_AVM_Land!Q28=0,"",MaGic_AVM_Land!Q28),"")</f>
        <v/>
      </c>
      <c r="R28" s="70" t="str">
        <f>IF(R$2="Y",IF(MaGic_AVM_Land!R28=0,"",MaGic_AVM_Land!R28),"")</f>
        <v/>
      </c>
      <c r="S28" s="70" t="str">
        <f>IF(S$2="Y",IF(MaGic_AVM_Land!S28=0,"",MaGic_AVM_Land!S28),"")</f>
        <v/>
      </c>
      <c r="T28" s="70" t="str">
        <f>IF(T$2="Y",IF(MaGic_AVM_Land!T28=0,"",MaGic_AVM_Land!T28),"")</f>
        <v/>
      </c>
      <c r="U28" s="70" t="str">
        <f>IF(U$2="Y",IF(MaGic_AVM_Land!U28=0,"",MaGic_AVM_Land!U28),"")</f>
        <v/>
      </c>
      <c r="V28" s="70" t="str">
        <f>IF(V$2="Y",IF(MaGic_AVM_Land!V28=0,"",MaGic_AVM_Land!V28),"")</f>
        <v/>
      </c>
      <c r="W28" s="70" t="str">
        <f>IF(W$2="Y",IF(MaGic_AVM_Land!W28=0,"",MaGic_AVM_Land!W28),"")</f>
        <v/>
      </c>
      <c r="X28" s="70" t="str">
        <f>IF(X$2="Y",IF(MaGic_AVM_Land!X28=0,"",MaGic_AVM_Land!X28),"")</f>
        <v/>
      </c>
      <c r="Y28" s="70" t="str">
        <f>IF(Y$2="Y",IF(MaGic_AVM_Land!Y28=0,"",MaGic_AVM_Land!Y28),"")</f>
        <v/>
      </c>
      <c r="Z28" s="70" t="str">
        <f>IF(Z$2="Y",IF(MaGic_AVM_Land!Z28=0,"",MaGic_AVM_Land!Z28),"")</f>
        <v/>
      </c>
      <c r="AA28" s="68" t="str">
        <f t="shared" si="3"/>
        <v/>
      </c>
      <c r="AB28" s="68" t="str" cm="1">
        <f t="array" ref="AB28">_xlfn.UNIQUE(C28:Z28,TRUE,FALSE)</f>
        <v/>
      </c>
      <c r="AC28" s="68"/>
      <c r="AD28" s="68"/>
      <c r="AE28" s="68"/>
      <c r="AF28" s="68"/>
      <c r="AG28" s="68"/>
      <c r="AH28" s="68"/>
      <c r="AI28" s="68"/>
      <c r="AJ28" s="68"/>
      <c r="AK28" s="68"/>
      <c r="AL28" s="68"/>
      <c r="AM28" s="68"/>
      <c r="AN28" s="68"/>
      <c r="AO28" s="68"/>
      <c r="AP28" s="68"/>
      <c r="AQ28" s="68"/>
      <c r="AR28" s="68"/>
      <c r="AS28" s="68"/>
      <c r="AT28" s="68"/>
      <c r="AU28" s="68"/>
      <c r="AV28" s="68"/>
      <c r="AW28" s="68"/>
      <c r="AX28" s="68"/>
      <c r="AY28" s="68"/>
      <c r="AZ28" s="68"/>
    </row>
    <row r="29" spans="1:52">
      <c r="A29" s="69">
        <v>27</v>
      </c>
      <c r="B29" s="69" t="s">
        <v>100</v>
      </c>
      <c r="C29" s="70" t="str">
        <f>IF(C$2="Y",IF(MaGic_AVM_Land!C29=0,"",MaGic_AVM_Land!C29),"")</f>
        <v/>
      </c>
      <c r="D29" s="70" t="str">
        <f>IF(D$2="Y",IF(MaGic_AVM_Land!D29=0,"",MaGic_AVM_Land!D29),"")</f>
        <v/>
      </c>
      <c r="E29" s="70" t="str">
        <f>IF(E$2="Y",IF(MaGic_AVM_Land!E29=0,"",MaGic_AVM_Land!E29),"")</f>
        <v/>
      </c>
      <c r="F29" s="70" t="str">
        <f>IF(F$2="Y",IF(MaGic_AVM_Land!F29=0,"",MaGic_AVM_Land!F29),"")</f>
        <v/>
      </c>
      <c r="G29" s="70" t="str">
        <f>IF(G$2="Y",IF(MaGic_AVM_Land!G29=0,"",MaGic_AVM_Land!G29),"")</f>
        <v/>
      </c>
      <c r="H29" s="70" t="str">
        <f>IF(H$2="Y",IF(MaGic_AVM_Land!H29=0,"",MaGic_AVM_Land!H29),"")</f>
        <v/>
      </c>
      <c r="I29" s="70" t="str">
        <f>IF(I$2="Y",IF(MaGic_AVM_Land!I29=0,"",MaGic_AVM_Land!I29),"")</f>
        <v/>
      </c>
      <c r="J29" s="70" t="str">
        <f>IF(J$2="Y",IF(MaGic_AVM_Land!J29=0,"",MaGic_AVM_Land!J29),"")</f>
        <v/>
      </c>
      <c r="K29" s="70" t="str">
        <f>IF(K$2="Y",IF(MaGic_AVM_Land!K29=0,"",MaGic_AVM_Land!K29),"")</f>
        <v/>
      </c>
      <c r="L29" s="70" t="str">
        <f>IF(L$2="Y",IF(MaGic_AVM_Land!L29=0,"",MaGic_AVM_Land!L29),"")</f>
        <v/>
      </c>
      <c r="M29" s="70" t="str">
        <f>IF(M$2="Y",IF(MaGic_AVM_Land!M29=0,"",MaGic_AVM_Land!M29),"")</f>
        <v/>
      </c>
      <c r="N29" s="70" t="str">
        <f>IF(N$2="Y",IF(MaGic_AVM_Land!N29=0,"",MaGic_AVM_Land!N29),"")</f>
        <v/>
      </c>
      <c r="O29" s="70" t="str">
        <f>IF(O$2="Y",IF(MaGic_AVM_Land!O29=0,"",MaGic_AVM_Land!O29),"")</f>
        <v/>
      </c>
      <c r="P29" s="70" t="str">
        <f>IF(P$2="Y",IF(MaGic_AVM_Land!P29=0,"",MaGic_AVM_Land!P29),"")</f>
        <v/>
      </c>
      <c r="Q29" s="70" t="str">
        <f>IF(Q$2="Y",IF(MaGic_AVM_Land!Q29=0,"",MaGic_AVM_Land!Q29),"")</f>
        <v/>
      </c>
      <c r="R29" s="70" t="str">
        <f>IF(R$2="Y",IF(MaGic_AVM_Land!R29=0,"",MaGic_AVM_Land!R29),"")</f>
        <v/>
      </c>
      <c r="S29" s="70" t="str">
        <f>IF(S$2="Y",IF(MaGic_AVM_Land!S29=0,"",MaGic_AVM_Land!S29),"")</f>
        <v/>
      </c>
      <c r="T29" s="70" t="str">
        <f>IF(T$2="Y",IF(MaGic_AVM_Land!T29=0,"",MaGic_AVM_Land!T29),"")</f>
        <v/>
      </c>
      <c r="U29" s="70" t="str">
        <f>IF(U$2="Y",IF(MaGic_AVM_Land!U29=0,"",MaGic_AVM_Land!U29),"")</f>
        <v/>
      </c>
      <c r="V29" s="70" t="str">
        <f>IF(V$2="Y",IF(MaGic_AVM_Land!V29=0,"",MaGic_AVM_Land!V29),"")</f>
        <v/>
      </c>
      <c r="W29" s="70" t="str">
        <f>IF(W$2="Y",IF(MaGic_AVM_Land!W29=0,"",MaGic_AVM_Land!W29),"")</f>
        <v/>
      </c>
      <c r="X29" s="70" t="str">
        <f>IF(X$2="Y",IF(MaGic_AVM_Land!X29=0,"",MaGic_AVM_Land!X29),"")</f>
        <v/>
      </c>
      <c r="Y29" s="70" t="str">
        <f>IF(Y$2="Y",IF(MaGic_AVM_Land!Y29=0,"",MaGic_AVM_Land!Y29),"")</f>
        <v/>
      </c>
      <c r="Z29" s="70" t="str">
        <f>IF(Z$2="Y",IF(MaGic_AVM_Land!Z29=0,"",MaGic_AVM_Land!Z29),"")</f>
        <v/>
      </c>
      <c r="AA29" s="68" t="str">
        <f t="shared" si="3"/>
        <v/>
      </c>
      <c r="AB29" s="68" t="str" cm="1">
        <f t="array" ref="AB29">_xlfn.UNIQUE(C29:Z29,TRUE,FALSE)</f>
        <v/>
      </c>
      <c r="AC29" s="68"/>
      <c r="AD29" s="68"/>
      <c r="AE29" s="68"/>
      <c r="AF29" s="68"/>
      <c r="AG29" s="68"/>
      <c r="AH29" s="68"/>
      <c r="AI29" s="68"/>
      <c r="AJ29" s="68"/>
      <c r="AK29" s="68"/>
      <c r="AL29" s="68"/>
      <c r="AM29" s="68"/>
      <c r="AN29" s="68"/>
      <c r="AO29" s="68"/>
      <c r="AP29" s="68"/>
      <c r="AQ29" s="68"/>
      <c r="AR29" s="68"/>
      <c r="AS29" s="68"/>
      <c r="AT29" s="68"/>
      <c r="AU29" s="68"/>
      <c r="AV29" s="68"/>
      <c r="AW29" s="68"/>
      <c r="AX29" s="68"/>
      <c r="AY29" s="68"/>
      <c r="AZ29" s="68"/>
    </row>
    <row r="30" spans="1:52">
      <c r="A30" s="69">
        <v>28</v>
      </c>
      <c r="B30" s="69" t="s">
        <v>175</v>
      </c>
      <c r="C30" s="70" t="str">
        <f>IF(C$2="Y",IF(MaGic_AVM_Land!C30=0,"",MaGic_AVM_Land!C30),"")</f>
        <v/>
      </c>
      <c r="D30" s="70" t="str">
        <f>IF(D$2="Y",IF(MaGic_AVM_Land!D30=0,"",MaGic_AVM_Land!D30),"")</f>
        <v/>
      </c>
      <c r="E30" s="70" t="str">
        <f>IF(E$2="Y",IF(MaGic_AVM_Land!E30=0,"",MaGic_AVM_Land!E30),"")</f>
        <v/>
      </c>
      <c r="F30" s="70" t="str">
        <f>IF(F$2="Y",IF(MaGic_AVM_Land!F30=0,"",MaGic_AVM_Land!F30),"")</f>
        <v/>
      </c>
      <c r="G30" s="70" t="str">
        <f>IF(G$2="Y",IF(MaGic_AVM_Land!G30=0,"",MaGic_AVM_Land!G30),"")</f>
        <v/>
      </c>
      <c r="H30" s="70" t="str">
        <f>IF(H$2="Y",IF(MaGic_AVM_Land!H30=0,"",MaGic_AVM_Land!H30),"")</f>
        <v/>
      </c>
      <c r="I30" s="70" t="str">
        <f>IF(I$2="Y",IF(MaGic_AVM_Land!I30=0,"",MaGic_AVM_Land!I30),"")</f>
        <v/>
      </c>
      <c r="J30" s="70" t="str">
        <f>IF(J$2="Y",IF(MaGic_AVM_Land!J30=0,"",MaGic_AVM_Land!J30),"")</f>
        <v/>
      </c>
      <c r="K30" s="70" t="str">
        <f>IF(K$2="Y",IF(MaGic_AVM_Land!K30=0,"",MaGic_AVM_Land!K30),"")</f>
        <v/>
      </c>
      <c r="L30" s="70" t="str">
        <f>IF(L$2="Y",IF(MaGic_AVM_Land!L30=0,"",MaGic_AVM_Land!L30),"")</f>
        <v/>
      </c>
      <c r="M30" s="70" t="str">
        <f>IF(M$2="Y",IF(MaGic_AVM_Land!M30=0,"",MaGic_AVM_Land!M30),"")</f>
        <v/>
      </c>
      <c r="N30" s="70" t="str">
        <f>IF(N$2="Y",IF(MaGic_AVM_Land!N30=0,"",MaGic_AVM_Land!N30),"")</f>
        <v/>
      </c>
      <c r="O30" s="70" t="str">
        <f>IF(O$2="Y",IF(MaGic_AVM_Land!O30=0,"",MaGic_AVM_Land!O30),"")</f>
        <v/>
      </c>
      <c r="P30" s="70" t="str">
        <f>IF(P$2="Y",IF(MaGic_AVM_Land!P30=0,"",MaGic_AVM_Land!P30),"")</f>
        <v/>
      </c>
      <c r="Q30" s="70" t="str">
        <f>IF(Q$2="Y",IF(MaGic_AVM_Land!Q30=0,"",MaGic_AVM_Land!Q30),"")</f>
        <v/>
      </c>
      <c r="R30" s="70" t="str">
        <f>IF(R$2="Y",IF(MaGic_AVM_Land!R30=0,"",MaGic_AVM_Land!R30),"")</f>
        <v/>
      </c>
      <c r="S30" s="70" t="str">
        <f>IF(S$2="Y",IF(MaGic_AVM_Land!S30=0,"",MaGic_AVM_Land!S30),"")</f>
        <v/>
      </c>
      <c r="T30" s="70" t="str">
        <f>IF(T$2="Y",IF(MaGic_AVM_Land!T30=0,"",MaGic_AVM_Land!T30),"")</f>
        <v/>
      </c>
      <c r="U30" s="70" t="str">
        <f>IF(U$2="Y",IF(MaGic_AVM_Land!U30=0,"",MaGic_AVM_Land!U30),"")</f>
        <v/>
      </c>
      <c r="V30" s="70" t="str">
        <f>IF(V$2="Y",IF(MaGic_AVM_Land!V30=0,"",MaGic_AVM_Land!V30),"")</f>
        <v/>
      </c>
      <c r="W30" s="70" t="str">
        <f>IF(W$2="Y",IF(MaGic_AVM_Land!W30=0,"",MaGic_AVM_Land!W30),"")</f>
        <v/>
      </c>
      <c r="X30" s="70" t="str">
        <f>IF(X$2="Y",IF(MaGic_AVM_Land!X30=0,"",MaGic_AVM_Land!X30),"")</f>
        <v/>
      </c>
      <c r="Y30" s="70" t="str">
        <f>IF(Y$2="Y",IF(MaGic_AVM_Land!Y30=0,"",MaGic_AVM_Land!Y30),"")</f>
        <v/>
      </c>
      <c r="Z30" s="70" t="str">
        <f>IF(Z$2="Y",IF(MaGic_AVM_Land!Z30=0,"",MaGic_AVM_Land!Z30),"")</f>
        <v/>
      </c>
      <c r="AB30" s="69" t="str" cm="1">
        <f t="array" ref="AB30">_xlfn.UNIQUE(C30:Z30,TRUE,FALSE)</f>
        <v/>
      </c>
    </row>
    <row r="31" spans="1:52">
      <c r="A31" s="69">
        <v>29</v>
      </c>
      <c r="B31" s="69" t="s">
        <v>1103</v>
      </c>
      <c r="C31" s="70" t="str">
        <f>IF(C$2="Y",IF(MaGic_AVM_Land!C31=0,"",MaGic_AVM_Land!C31),"")</f>
        <v/>
      </c>
      <c r="D31" s="70" t="str">
        <f>IF(D$2="Y",IF(MaGic_AVM_Land!D31=0,"",MaGic_AVM_Land!D31),"")</f>
        <v/>
      </c>
      <c r="E31" s="70" t="str">
        <f>IF(E$2="Y",IF(MaGic_AVM_Land!E31=0,"",MaGic_AVM_Land!E31),"")</f>
        <v/>
      </c>
      <c r="F31" s="70" t="str">
        <f>IF(F$2="Y",IF(MaGic_AVM_Land!F31=0,"",MaGic_AVM_Land!F31),"")</f>
        <v/>
      </c>
      <c r="G31" s="70" t="str">
        <f>IF(G$2="Y",IF(MaGic_AVM_Land!G31=0,"",MaGic_AVM_Land!G31),"")</f>
        <v/>
      </c>
      <c r="H31" s="70" t="str">
        <f>IF(H$2="Y",IF(MaGic_AVM_Land!H31=0,"",MaGic_AVM_Land!H31),"")</f>
        <v/>
      </c>
      <c r="I31" s="70" t="str">
        <f>IF(I$2="Y",IF(MaGic_AVM_Land!I31=0,"",MaGic_AVM_Land!I31),"")</f>
        <v/>
      </c>
      <c r="J31" s="70" t="str">
        <f>IF(J$2="Y",IF(MaGic_AVM_Land!J31=0,"",MaGic_AVM_Land!J31),"")</f>
        <v/>
      </c>
      <c r="K31" s="70" t="str">
        <f>IF(K$2="Y",IF(MaGic_AVM_Land!K31=0,"",MaGic_AVM_Land!K31),"")</f>
        <v/>
      </c>
      <c r="L31" s="70" t="str">
        <f>IF(L$2="Y",IF(MaGic_AVM_Land!L31=0,"",MaGic_AVM_Land!L31),"")</f>
        <v/>
      </c>
      <c r="M31" s="70" t="str">
        <f>IF(M$2="Y",IF(MaGic_AVM_Land!M31=0,"",MaGic_AVM_Land!M31),"")</f>
        <v/>
      </c>
      <c r="N31" s="70" t="str">
        <f>IF(N$2="Y",IF(MaGic_AVM_Land!N31=0,"",MaGic_AVM_Land!N31),"")</f>
        <v/>
      </c>
      <c r="O31" s="70" t="str">
        <f>IF(O$2="Y",IF(MaGic_AVM_Land!O31=0,"",MaGic_AVM_Land!O31),"")</f>
        <v/>
      </c>
      <c r="P31" s="70" t="str">
        <f>IF(P$2="Y",IF(MaGic_AVM_Land!P31=0,"",MaGic_AVM_Land!P31),"")</f>
        <v/>
      </c>
      <c r="Q31" s="70" t="str">
        <f>IF(Q$2="Y",IF(MaGic_AVM_Land!Q31=0,"",MaGic_AVM_Land!Q31),"")</f>
        <v/>
      </c>
      <c r="R31" s="70" t="str">
        <f>IF(R$2="Y",IF(MaGic_AVM_Land!R31=0,"",MaGic_AVM_Land!R31),"")</f>
        <v/>
      </c>
      <c r="S31" s="70" t="str">
        <f>IF(S$2="Y",IF(MaGic_AVM_Land!S31=0,"",MaGic_AVM_Land!S31),"")</f>
        <v/>
      </c>
      <c r="T31" s="70" t="str">
        <f>IF(T$2="Y",IF(MaGic_AVM_Land!T31=0,"",MaGic_AVM_Land!T31),"")</f>
        <v/>
      </c>
      <c r="U31" s="70" t="str">
        <f>IF(U$2="Y",IF(MaGic_AVM_Land!U31=0,"",MaGic_AVM_Land!U31),"")</f>
        <v/>
      </c>
      <c r="V31" s="70" t="str">
        <f>IF(V$2="Y",IF(MaGic_AVM_Land!V31=0,"",MaGic_AVM_Land!V31),"")</f>
        <v/>
      </c>
      <c r="W31" s="70" t="str">
        <f>IF(W$2="Y",IF(MaGic_AVM_Land!W31=0,"",MaGic_AVM_Land!W31),"")</f>
        <v/>
      </c>
      <c r="X31" s="70" t="str">
        <f>IF(X$2="Y",IF(MaGic_AVM_Land!X31=0,"",MaGic_AVM_Land!X31),"")</f>
        <v/>
      </c>
      <c r="Y31" s="70" t="str">
        <f>IF(Y$2="Y",IF(MaGic_AVM_Land!Y31=0,"",MaGic_AVM_Land!Y31),"")</f>
        <v/>
      </c>
      <c r="Z31" s="70" t="str">
        <f>IF(Z$2="Y",IF(MaGic_AVM_Land!Z31=0,"",MaGic_AVM_Land!Z31),"")</f>
        <v/>
      </c>
      <c r="AB31" s="69" t="str" cm="1">
        <f t="array" ref="AB31">_xlfn.UNIQUE(C31:Z31,TRUE,FALSE)</f>
        <v/>
      </c>
    </row>
    <row r="32" spans="1:52">
      <c r="A32" s="69">
        <v>30</v>
      </c>
      <c r="B32" s="69" t="s">
        <v>1104</v>
      </c>
      <c r="C32" s="70" t="str">
        <f>IF(C$2="Y",IF(MaGic_AVM_Land!C32=0,"",MaGic_AVM_Land!C32),"")</f>
        <v/>
      </c>
      <c r="D32" s="70" t="str">
        <f>IF(D$2="Y",IF(MaGic_AVM_Land!D32=0,"",MaGic_AVM_Land!D32),"")</f>
        <v/>
      </c>
      <c r="E32" s="70" t="str">
        <f>IF(E$2="Y",IF(MaGic_AVM_Land!E32=0,"",MaGic_AVM_Land!E32),"")</f>
        <v/>
      </c>
      <c r="F32" s="70" t="str">
        <f>IF(F$2="Y",IF(MaGic_AVM_Land!F32=0,"",MaGic_AVM_Land!F32),"")</f>
        <v/>
      </c>
      <c r="G32" s="70" t="str">
        <f>IF(G$2="Y",IF(MaGic_AVM_Land!G32=0,"",MaGic_AVM_Land!G32),"")</f>
        <v/>
      </c>
      <c r="H32" s="70" t="str">
        <f>IF(H$2="Y",IF(MaGic_AVM_Land!H32=0,"",MaGic_AVM_Land!H32),"")</f>
        <v/>
      </c>
      <c r="I32" s="70" t="str">
        <f>IF(I$2="Y",IF(MaGic_AVM_Land!I32=0,"",MaGic_AVM_Land!I32),"")</f>
        <v/>
      </c>
      <c r="J32" s="70" t="str">
        <f>IF(J$2="Y",IF(MaGic_AVM_Land!J32=0,"",MaGic_AVM_Land!J32),"")</f>
        <v/>
      </c>
      <c r="K32" s="70" t="str">
        <f>IF(K$2="Y",IF(MaGic_AVM_Land!K32=0,"",MaGic_AVM_Land!K32),"")</f>
        <v/>
      </c>
      <c r="L32" s="70" t="str">
        <f>IF(L$2="Y",IF(MaGic_AVM_Land!L32=0,"",MaGic_AVM_Land!L32),"")</f>
        <v/>
      </c>
      <c r="M32" s="70" t="str">
        <f>IF(M$2="Y",IF(MaGic_AVM_Land!M32=0,"",MaGic_AVM_Land!M32),"")</f>
        <v/>
      </c>
      <c r="N32" s="70" t="str">
        <f>IF(N$2="Y",IF(MaGic_AVM_Land!N32=0,"",MaGic_AVM_Land!N32),"")</f>
        <v/>
      </c>
      <c r="O32" s="70" t="str">
        <f>IF(O$2="Y",IF(MaGic_AVM_Land!O32=0,"",MaGic_AVM_Land!O32),"")</f>
        <v/>
      </c>
      <c r="P32" s="70" t="str">
        <f>IF(P$2="Y",IF(MaGic_AVM_Land!P32=0,"",MaGic_AVM_Land!P32),"")</f>
        <v/>
      </c>
      <c r="Q32" s="70" t="str">
        <f>IF(Q$2="Y",IF(MaGic_AVM_Land!Q32=0,"",MaGic_AVM_Land!Q32),"")</f>
        <v/>
      </c>
      <c r="R32" s="70" t="str">
        <f>IF(R$2="Y",IF(MaGic_AVM_Land!R32=0,"",MaGic_AVM_Land!R32),"")</f>
        <v/>
      </c>
      <c r="S32" s="70" t="str">
        <f>IF(S$2="Y",IF(MaGic_AVM_Land!S32=0,"",MaGic_AVM_Land!S32),"")</f>
        <v/>
      </c>
      <c r="T32" s="70" t="str">
        <f>IF(T$2="Y",IF(MaGic_AVM_Land!T32=0,"",MaGic_AVM_Land!T32),"")</f>
        <v/>
      </c>
      <c r="U32" s="70" t="str">
        <f>IF(U$2="Y",IF(MaGic_AVM_Land!U32=0,"",MaGic_AVM_Land!U32),"")</f>
        <v/>
      </c>
      <c r="V32" s="70" t="str">
        <f>IF(V$2="Y",IF(MaGic_AVM_Land!V32=0,"",MaGic_AVM_Land!V32),"")</f>
        <v/>
      </c>
      <c r="W32" s="70" t="str">
        <f>IF(W$2="Y",IF(MaGic_AVM_Land!W32=0,"",MaGic_AVM_Land!W32),"")</f>
        <v/>
      </c>
      <c r="X32" s="70" t="str">
        <f>IF(X$2="Y",IF(MaGic_AVM_Land!X32=0,"",MaGic_AVM_Land!X32),"")</f>
        <v/>
      </c>
      <c r="Y32" s="70" t="str">
        <f>IF(Y$2="Y",IF(MaGic_AVM_Land!Y32=0,"",MaGic_AVM_Land!Y32),"")</f>
        <v/>
      </c>
      <c r="Z32" s="70" t="str">
        <f>IF(Z$2="Y",IF(MaGic_AVM_Land!Z32=0,"",MaGic_AVM_Land!Z32),"")</f>
        <v/>
      </c>
      <c r="AB32" s="69" t="str" cm="1">
        <f t="array" ref="AB32">_xlfn.UNIQUE(C32:Z32,TRUE,FALSE)</f>
        <v/>
      </c>
    </row>
    <row r="33" spans="1:28">
      <c r="A33" s="69">
        <v>31</v>
      </c>
      <c r="B33" s="69" t="s">
        <v>1105</v>
      </c>
      <c r="C33" s="70" t="str">
        <f>IF(C$2="Y",IF(MaGic_AVM_Land!C33=0,"",MaGic_AVM_Land!C33),"")</f>
        <v/>
      </c>
      <c r="D33" s="70" t="str">
        <f>IF(D$2="Y",IF(MaGic_AVM_Land!D33=0,"",MaGic_AVM_Land!D33),"")</f>
        <v/>
      </c>
      <c r="E33" s="70" t="str">
        <f>IF(E$2="Y",IF(MaGic_AVM_Land!E33=0,"",MaGic_AVM_Land!E33),"")</f>
        <v/>
      </c>
      <c r="F33" s="70" t="str">
        <f>IF(F$2="Y",IF(MaGic_AVM_Land!F33=0,"",MaGic_AVM_Land!F33),"")</f>
        <v/>
      </c>
      <c r="G33" s="70" t="str">
        <f>IF(G$2="Y",IF(MaGic_AVM_Land!G33=0,"",MaGic_AVM_Land!G33),"")</f>
        <v/>
      </c>
      <c r="H33" s="70" t="str">
        <f>IF(H$2="Y",IF(MaGic_AVM_Land!H33=0,"",MaGic_AVM_Land!H33),"")</f>
        <v/>
      </c>
      <c r="I33" s="70" t="str">
        <f>IF(I$2="Y",IF(MaGic_AVM_Land!I33=0,"",MaGic_AVM_Land!I33),"")</f>
        <v/>
      </c>
      <c r="J33" s="70" t="str">
        <f>IF(J$2="Y",IF(MaGic_AVM_Land!J33=0,"",MaGic_AVM_Land!J33),"")</f>
        <v/>
      </c>
      <c r="K33" s="70" t="str">
        <f>IF(K$2="Y",IF(MaGic_AVM_Land!K33=0,"",MaGic_AVM_Land!K33),"")</f>
        <v/>
      </c>
      <c r="L33" s="70" t="str">
        <f>IF(L$2="Y",IF(MaGic_AVM_Land!L33=0,"",MaGic_AVM_Land!L33),"")</f>
        <v/>
      </c>
      <c r="M33" s="70" t="str">
        <f>IF(M$2="Y",IF(MaGic_AVM_Land!M33=0,"",MaGic_AVM_Land!M33),"")</f>
        <v/>
      </c>
      <c r="N33" s="70" t="str">
        <f>IF(N$2="Y",IF(MaGic_AVM_Land!N33=0,"",MaGic_AVM_Land!N33),"")</f>
        <v/>
      </c>
      <c r="O33" s="70" t="str">
        <f>IF(O$2="Y",IF(MaGic_AVM_Land!O33=0,"",MaGic_AVM_Land!O33),"")</f>
        <v/>
      </c>
      <c r="P33" s="70" t="str">
        <f>IF(P$2="Y",IF(MaGic_AVM_Land!P33=0,"",MaGic_AVM_Land!P33),"")</f>
        <v/>
      </c>
      <c r="Q33" s="70" t="str">
        <f>IF(Q$2="Y",IF(MaGic_AVM_Land!Q33=0,"",MaGic_AVM_Land!Q33),"")</f>
        <v/>
      </c>
      <c r="R33" s="70" t="str">
        <f>IF(R$2="Y",IF(MaGic_AVM_Land!R33=0,"",MaGic_AVM_Land!R33),"")</f>
        <v/>
      </c>
      <c r="S33" s="70" t="str">
        <f>IF(S$2="Y",IF(MaGic_AVM_Land!S33=0,"",MaGic_AVM_Land!S33),"")</f>
        <v/>
      </c>
      <c r="T33" s="70" t="str">
        <f>IF(T$2="Y",IF(MaGic_AVM_Land!T33=0,"",MaGic_AVM_Land!T33),"")</f>
        <v/>
      </c>
      <c r="U33" s="70" t="str">
        <f>IF(U$2="Y",IF(MaGic_AVM_Land!U33=0,"",MaGic_AVM_Land!U33),"")</f>
        <v/>
      </c>
      <c r="V33" s="70" t="str">
        <f>IF(V$2="Y",IF(MaGic_AVM_Land!V33=0,"",MaGic_AVM_Land!V33),"")</f>
        <v/>
      </c>
      <c r="W33" s="70" t="str">
        <f>IF(W$2="Y",IF(MaGic_AVM_Land!W33=0,"",MaGic_AVM_Land!W33),"")</f>
        <v/>
      </c>
      <c r="X33" s="70" t="str">
        <f>IF(X$2="Y",IF(MaGic_AVM_Land!X33=0,"",MaGic_AVM_Land!X33),"")</f>
        <v/>
      </c>
      <c r="Y33" s="70" t="str">
        <f>IF(Y$2="Y",IF(MaGic_AVM_Land!Y33=0,"",MaGic_AVM_Land!Y33),"")</f>
        <v/>
      </c>
      <c r="Z33" s="70" t="str">
        <f>IF(Z$2="Y",IF(MaGic_AVM_Land!Z33=0,"",MaGic_AVM_Land!Z33),"")</f>
        <v/>
      </c>
      <c r="AB33" s="69" t="str" cm="1">
        <f t="array" ref="AB33">_xlfn.UNIQUE(C33:Z33,TRUE,FALSE)</f>
        <v/>
      </c>
    </row>
    <row r="34" spans="1:28">
      <c r="B34" s="69" t="s">
        <v>110</v>
      </c>
      <c r="C34" s="70" t="str">
        <f>IF(C$2="Y",IF(MaGic_AVM_Land!C34=0,"",MaGic_AVM_Land!C34),"")</f>
        <v/>
      </c>
      <c r="D34" s="70" t="str">
        <f>IF(D$2="Y",IF(MaGic_AVM_Land!D34=0,"",MaGic_AVM_Land!D34),"")</f>
        <v/>
      </c>
      <c r="E34" s="70" t="str">
        <f>IF(E$2="Y",IF(MaGic_AVM_Land!E34=0,"",MaGic_AVM_Land!E34),"")</f>
        <v/>
      </c>
      <c r="F34" s="70" t="str">
        <f>IF(F$2="Y",IF(MaGic_AVM_Land!F34=0,"",MaGic_AVM_Land!F34),"")</f>
        <v/>
      </c>
      <c r="G34" s="70" t="str">
        <f>IF(G$2="Y",IF(MaGic_AVM_Land!G34=0,"",MaGic_AVM_Land!G34),"")</f>
        <v/>
      </c>
      <c r="H34" s="70" t="str">
        <f>IF(H$2="Y",IF(MaGic_AVM_Land!H34=0,"",MaGic_AVM_Land!H34),"")</f>
        <v/>
      </c>
      <c r="I34" s="70" t="str">
        <f>IF(I$2="Y",IF(MaGic_AVM_Land!I34=0,"",MaGic_AVM_Land!I34),"")</f>
        <v/>
      </c>
      <c r="J34" s="70" t="str">
        <f>IF(J$2="Y",IF(MaGic_AVM_Land!J34=0,"",MaGic_AVM_Land!J34),"")</f>
        <v/>
      </c>
      <c r="K34" s="70" t="str">
        <f>IF(K$2="Y",IF(MaGic_AVM_Land!K34=0,"",MaGic_AVM_Land!K34),"")</f>
        <v/>
      </c>
      <c r="L34" s="70" t="str">
        <f>IF(L$2="Y",IF(MaGic_AVM_Land!L34=0,"",MaGic_AVM_Land!L34),"")</f>
        <v/>
      </c>
      <c r="M34" s="70" t="str">
        <f>IF(M$2="Y",IF(MaGic_AVM_Land!M34=0,"",MaGic_AVM_Land!M34),"")</f>
        <v/>
      </c>
      <c r="N34" s="70" t="str">
        <f>IF(N$2="Y",IF(MaGic_AVM_Land!N34=0,"",MaGic_AVM_Land!N34),"")</f>
        <v/>
      </c>
      <c r="O34" s="70" t="str">
        <f>IF(O$2="Y",IF(MaGic_AVM_Land!O34=0,"",MaGic_AVM_Land!O34),"")</f>
        <v/>
      </c>
      <c r="P34" s="70" t="str">
        <f>IF(P$2="Y",IF(MaGic_AVM_Land!P34=0,"",MaGic_AVM_Land!P34),"")</f>
        <v/>
      </c>
      <c r="Q34" s="70" t="str">
        <f>IF(Q$2="Y",IF(MaGic_AVM_Land!Q34=0,"",MaGic_AVM_Land!Q34),"")</f>
        <v/>
      </c>
      <c r="R34" s="70" t="str">
        <f>IF(R$2="Y",IF(MaGic_AVM_Land!R34=0,"",MaGic_AVM_Land!R34),"")</f>
        <v/>
      </c>
      <c r="S34" s="70" t="str">
        <f>IF(S$2="Y",IF(MaGic_AVM_Land!S34=0,"",MaGic_AVM_Land!S34),"")</f>
        <v/>
      </c>
      <c r="T34" s="70" t="str">
        <f>IF(T$2="Y",IF(MaGic_AVM_Land!T34=0,"",MaGic_AVM_Land!T34),"")</f>
        <v/>
      </c>
      <c r="U34" s="70" t="str">
        <f>IF(U$2="Y",IF(MaGic_AVM_Land!U34=0,"",MaGic_AVM_Land!U34),"")</f>
        <v/>
      </c>
      <c r="V34" s="70" t="str">
        <f>IF(V$2="Y",IF(MaGic_AVM_Land!V34=0,"",MaGic_AVM_Land!V34),"")</f>
        <v/>
      </c>
      <c r="W34" s="70" t="str">
        <f>IF(W$2="Y",IF(MaGic_AVM_Land!W34=0,"",MaGic_AVM_Land!W34),"")</f>
        <v/>
      </c>
      <c r="X34" s="70" t="str">
        <f>IF(X$2="Y",IF(MaGic_AVM_Land!X34=0,"",MaGic_AVM_Land!X34),"")</f>
        <v/>
      </c>
      <c r="Y34" s="70" t="str">
        <f>IF(Y$2="Y",IF(MaGic_AVM_Land!Y34=0,"",MaGic_AVM_Land!Y34),"")</f>
        <v/>
      </c>
      <c r="Z34" s="70" t="str">
        <f>IF(Z$2="Y",IF(MaGic_AVM_Land!Z34=0,"",MaGic_AVM_Land!Z34),"")</f>
        <v/>
      </c>
      <c r="AB34" s="69" t="str" cm="1">
        <f t="array" ref="AB34">_xlfn.UNIQUE(C34:Z34,TRUE,FALSE)</f>
        <v/>
      </c>
    </row>
    <row r="35" spans="1:28">
      <c r="A35" s="69">
        <v>1</v>
      </c>
      <c r="B35" s="69" t="s">
        <v>1106</v>
      </c>
      <c r="C35" s="70" t="str">
        <f>IF(C$2="Y",IF(MaGic_AVM_Land!C35=0,"",MaGic_AVM_Land!C35),"")</f>
        <v/>
      </c>
      <c r="D35" s="70" t="str">
        <f>IF(D$2="Y",IF(MaGic_AVM_Land!D35=0,"",MaGic_AVM_Land!D35),"")</f>
        <v/>
      </c>
      <c r="E35" s="70" t="str">
        <f>IF(E$2="Y",IF(MaGic_AVM_Land!E35=0,"",MaGic_AVM_Land!E35),"")</f>
        <v/>
      </c>
      <c r="F35" s="70" t="str">
        <f>IF(F$2="Y",IF(MaGic_AVM_Land!F35=0,"",MaGic_AVM_Land!F35),"")</f>
        <v/>
      </c>
      <c r="G35" s="70" t="str">
        <f>IF(G$2="Y",IF(MaGic_AVM_Land!G35=0,"",MaGic_AVM_Land!G35),"")</f>
        <v/>
      </c>
      <c r="H35" s="70" t="str">
        <f>IF(H$2="Y",IF(MaGic_AVM_Land!H35=0,"",MaGic_AVM_Land!H35),"")</f>
        <v/>
      </c>
      <c r="I35" s="70" t="str">
        <f>IF(I$2="Y",IF(MaGic_AVM_Land!I35=0,"",MaGic_AVM_Land!I35),"")</f>
        <v/>
      </c>
      <c r="J35" s="70" t="str">
        <f>IF(J$2="Y",IF(MaGic_AVM_Land!J35=0,"",MaGic_AVM_Land!J35),"")</f>
        <v/>
      </c>
      <c r="K35" s="70" t="str">
        <f>IF(K$2="Y",IF(MaGic_AVM_Land!K35=0,"",MaGic_AVM_Land!K35),"")</f>
        <v/>
      </c>
      <c r="L35" s="70" t="str">
        <f>IF(L$2="Y",IF(MaGic_AVM_Land!L35=0,"",MaGic_AVM_Land!L35),"")</f>
        <v/>
      </c>
      <c r="M35" s="70" t="str">
        <f>IF(M$2="Y",IF(MaGic_AVM_Land!M35=0,"",MaGic_AVM_Land!M35),"")</f>
        <v/>
      </c>
      <c r="N35" s="70" t="str">
        <f>IF(N$2="Y",IF(MaGic_AVM_Land!N35=0,"",MaGic_AVM_Land!N35),"")</f>
        <v/>
      </c>
      <c r="O35" s="70" t="str">
        <f>IF(O$2="Y",IF(MaGic_AVM_Land!O35=0,"",MaGic_AVM_Land!O35),"")</f>
        <v/>
      </c>
      <c r="P35" s="70" t="str">
        <f>IF(P$2="Y",IF(MaGic_AVM_Land!P35=0,"",MaGic_AVM_Land!P35),"")</f>
        <v/>
      </c>
      <c r="Q35" s="70" t="str">
        <f>IF(Q$2="Y",IF(MaGic_AVM_Land!Q35=0,"",MaGic_AVM_Land!Q35),"")</f>
        <v/>
      </c>
      <c r="R35" s="70" t="str">
        <f>IF(R$2="Y",IF(MaGic_AVM_Land!R35=0,"",MaGic_AVM_Land!R35),"")</f>
        <v/>
      </c>
      <c r="S35" s="70" t="str">
        <f>IF(S$2="Y",IF(MaGic_AVM_Land!S35=0,"",MaGic_AVM_Land!S35),"")</f>
        <v/>
      </c>
      <c r="T35" s="70" t="str">
        <f>IF(T$2="Y",IF(MaGic_AVM_Land!T35=0,"",MaGic_AVM_Land!T35),"")</f>
        <v/>
      </c>
      <c r="U35" s="70" t="str">
        <f>IF(U$2="Y",IF(MaGic_AVM_Land!U35=0,"",MaGic_AVM_Land!U35),"")</f>
        <v/>
      </c>
      <c r="V35" s="70" t="str">
        <f>IF(V$2="Y",IF(MaGic_AVM_Land!V35=0,"",MaGic_AVM_Land!V35),"")</f>
        <v/>
      </c>
      <c r="W35" s="70" t="str">
        <f>IF(W$2="Y",IF(MaGic_AVM_Land!W35=0,"",MaGic_AVM_Land!W35),"")</f>
        <v/>
      </c>
      <c r="X35" s="70" t="str">
        <f>IF(X$2="Y",IF(MaGic_AVM_Land!X35=0,"",MaGic_AVM_Land!X35),"")</f>
        <v/>
      </c>
      <c r="Y35" s="70" t="str">
        <f>IF(Y$2="Y",IF(MaGic_AVM_Land!Y35=0,"",MaGic_AVM_Land!Y35),"")</f>
        <v/>
      </c>
      <c r="Z35" s="70" t="str">
        <f>IF(Z$2="Y",IF(MaGic_AVM_Land!Z35=0,"",MaGic_AVM_Land!Z35),"")</f>
        <v/>
      </c>
      <c r="AB35" s="69" t="str" cm="1">
        <f t="array" ref="AB35">_xlfn.UNIQUE(C35:Z35,TRUE,FALSE)</f>
        <v/>
      </c>
    </row>
    <row r="36" spans="1:28">
      <c r="A36" s="69">
        <v>2</v>
      </c>
      <c r="B36" s="69" t="s">
        <v>112</v>
      </c>
      <c r="C36" s="70" t="str">
        <f>IF(C$2="Y",IF(MaGic_AVM_Land!C36=0,"",MaGic_AVM_Land!C36),"")</f>
        <v/>
      </c>
      <c r="D36" s="70" t="str">
        <f>IF(D$2="Y",IF(MaGic_AVM_Land!D36=0,"",MaGic_AVM_Land!D36),"")</f>
        <v/>
      </c>
      <c r="E36" s="70" t="str">
        <f>IF(E$2="Y",IF(MaGic_AVM_Land!E36=0,"",MaGic_AVM_Land!E36),"")</f>
        <v/>
      </c>
      <c r="F36" s="70" t="str">
        <f>IF(F$2="Y",IF(MaGic_AVM_Land!F36=0,"",MaGic_AVM_Land!F36),"")</f>
        <v/>
      </c>
      <c r="G36" s="70" t="str">
        <f>IF(G$2="Y",IF(MaGic_AVM_Land!G36=0,"",MaGic_AVM_Land!G36),"")</f>
        <v/>
      </c>
      <c r="H36" s="70" t="str">
        <f>IF(H$2="Y",IF(MaGic_AVM_Land!H36=0,"",MaGic_AVM_Land!H36),"")</f>
        <v/>
      </c>
      <c r="I36" s="70" t="str">
        <f>IF(I$2="Y",IF(MaGic_AVM_Land!I36=0,"",MaGic_AVM_Land!I36),"")</f>
        <v/>
      </c>
      <c r="J36" s="70" t="str">
        <f>IF(J$2="Y",IF(MaGic_AVM_Land!J36=0,"",MaGic_AVM_Land!J36),"")</f>
        <v/>
      </c>
      <c r="K36" s="70" t="str">
        <f>IF(K$2="Y",IF(MaGic_AVM_Land!K36=0,"",MaGic_AVM_Land!K36),"")</f>
        <v/>
      </c>
      <c r="L36" s="70" t="str">
        <f>IF(L$2="Y",IF(MaGic_AVM_Land!L36=0,"",MaGic_AVM_Land!L36),"")</f>
        <v/>
      </c>
      <c r="M36" s="70" t="str">
        <f>IF(M$2="Y",IF(MaGic_AVM_Land!M36=0,"",MaGic_AVM_Land!M36),"")</f>
        <v/>
      </c>
      <c r="N36" s="70" t="str">
        <f>IF(N$2="Y",IF(MaGic_AVM_Land!N36=0,"",MaGic_AVM_Land!N36),"")</f>
        <v/>
      </c>
      <c r="O36" s="70" t="str">
        <f>IF(O$2="Y",IF(MaGic_AVM_Land!O36=0,"",MaGic_AVM_Land!O36),"")</f>
        <v/>
      </c>
      <c r="P36" s="70" t="str">
        <f>IF(P$2="Y",IF(MaGic_AVM_Land!P36=0,"",MaGic_AVM_Land!P36),"")</f>
        <v/>
      </c>
      <c r="Q36" s="70" t="str">
        <f>IF(Q$2="Y",IF(MaGic_AVM_Land!Q36=0,"",MaGic_AVM_Land!Q36),"")</f>
        <v/>
      </c>
      <c r="R36" s="70" t="str">
        <f>IF(R$2="Y",IF(MaGic_AVM_Land!R36=0,"",MaGic_AVM_Land!R36),"")</f>
        <v/>
      </c>
      <c r="S36" s="70" t="str">
        <f>IF(S$2="Y",IF(MaGic_AVM_Land!S36=0,"",MaGic_AVM_Land!S36),"")</f>
        <v/>
      </c>
      <c r="T36" s="70" t="str">
        <f>IF(T$2="Y",IF(MaGic_AVM_Land!T36=0,"",MaGic_AVM_Land!T36),"")</f>
        <v/>
      </c>
      <c r="U36" s="70" t="str">
        <f>IF(U$2="Y",IF(MaGic_AVM_Land!U36=0,"",MaGic_AVM_Land!U36),"")</f>
        <v/>
      </c>
      <c r="V36" s="70" t="str">
        <f>IF(V$2="Y",IF(MaGic_AVM_Land!V36=0,"",MaGic_AVM_Land!V36),"")</f>
        <v/>
      </c>
      <c r="W36" s="70" t="str">
        <f>IF(W$2="Y",IF(MaGic_AVM_Land!W36=0,"",MaGic_AVM_Land!W36),"")</f>
        <v/>
      </c>
      <c r="X36" s="70" t="str">
        <f>IF(X$2="Y",IF(MaGic_AVM_Land!X36=0,"",MaGic_AVM_Land!X36),"")</f>
        <v/>
      </c>
      <c r="Y36" s="70" t="str">
        <f>IF(Y$2="Y",IF(MaGic_AVM_Land!Y36=0,"",MaGic_AVM_Land!Y36),"")</f>
        <v/>
      </c>
      <c r="Z36" s="70" t="str">
        <f>IF(Z$2="Y",IF(MaGic_AVM_Land!Z36=0,"",MaGic_AVM_Land!Z36),"")</f>
        <v/>
      </c>
      <c r="AB36" s="69" t="str" cm="1">
        <f t="array" ref="AB36">_xlfn.UNIQUE(C36:Z36,TRUE,FALSE)</f>
        <v/>
      </c>
    </row>
    <row r="37" spans="1:28">
      <c r="A37" s="69">
        <v>3</v>
      </c>
      <c r="B37" s="69" t="s">
        <v>113</v>
      </c>
      <c r="C37" s="70" t="str">
        <f>IF(C$2="Y",IF(MaGic_AVM_Land!C37=0,"",MaGic_AVM_Land!C37),"")</f>
        <v/>
      </c>
      <c r="D37" s="70" t="str">
        <f>IF(D$2="Y",IF(MaGic_AVM_Land!D37=0,"",MaGic_AVM_Land!D37),"")</f>
        <v/>
      </c>
      <c r="E37" s="70" t="str">
        <f>IF(E$2="Y",IF(MaGic_AVM_Land!E37=0,"",MaGic_AVM_Land!E37),"")</f>
        <v/>
      </c>
      <c r="F37" s="70" t="str">
        <f>IF(F$2="Y",IF(MaGic_AVM_Land!F37=0,"",MaGic_AVM_Land!F37),"")</f>
        <v/>
      </c>
      <c r="G37" s="70" t="str">
        <f>IF(G$2="Y",IF(MaGic_AVM_Land!G37=0,"",MaGic_AVM_Land!G37),"")</f>
        <v/>
      </c>
      <c r="H37" s="70" t="str">
        <f>IF(H$2="Y",IF(MaGic_AVM_Land!H37=0,"",MaGic_AVM_Land!H37),"")</f>
        <v/>
      </c>
      <c r="I37" s="70" t="str">
        <f>IF(I$2="Y",IF(MaGic_AVM_Land!I37=0,"",MaGic_AVM_Land!I37),"")</f>
        <v/>
      </c>
      <c r="J37" s="70" t="str">
        <f>IF(J$2="Y",IF(MaGic_AVM_Land!J37=0,"",MaGic_AVM_Land!J37),"")</f>
        <v/>
      </c>
      <c r="K37" s="70" t="str">
        <f>IF(K$2="Y",IF(MaGic_AVM_Land!K37=0,"",MaGic_AVM_Land!K37),"")</f>
        <v/>
      </c>
      <c r="L37" s="70" t="str">
        <f>IF(L$2="Y",IF(MaGic_AVM_Land!L37=0,"",MaGic_AVM_Land!L37),"")</f>
        <v/>
      </c>
      <c r="M37" s="70" t="str">
        <f>IF(M$2="Y",IF(MaGic_AVM_Land!M37=0,"",MaGic_AVM_Land!M37),"")</f>
        <v/>
      </c>
      <c r="N37" s="70" t="str">
        <f>IF(N$2="Y",IF(MaGic_AVM_Land!N37=0,"",MaGic_AVM_Land!N37),"")</f>
        <v/>
      </c>
      <c r="O37" s="70" t="str">
        <f>IF(O$2="Y",IF(MaGic_AVM_Land!O37=0,"",MaGic_AVM_Land!O37),"")</f>
        <v/>
      </c>
      <c r="P37" s="70" t="str">
        <f>IF(P$2="Y",IF(MaGic_AVM_Land!P37=0,"",MaGic_AVM_Land!P37),"")</f>
        <v/>
      </c>
      <c r="Q37" s="70" t="str">
        <f>IF(Q$2="Y",IF(MaGic_AVM_Land!Q37=0,"",MaGic_AVM_Land!Q37),"")</f>
        <v/>
      </c>
      <c r="R37" s="70" t="str">
        <f>IF(R$2="Y",IF(MaGic_AVM_Land!R37=0,"",MaGic_AVM_Land!R37),"")</f>
        <v/>
      </c>
      <c r="S37" s="70" t="str">
        <f>IF(S$2="Y",IF(MaGic_AVM_Land!S37=0,"",MaGic_AVM_Land!S37),"")</f>
        <v/>
      </c>
      <c r="T37" s="70" t="str">
        <f>IF(T$2="Y",IF(MaGic_AVM_Land!T37=0,"",MaGic_AVM_Land!T37),"")</f>
        <v/>
      </c>
      <c r="U37" s="70" t="str">
        <f>IF(U$2="Y",IF(MaGic_AVM_Land!U37=0,"",MaGic_AVM_Land!U37),"")</f>
        <v/>
      </c>
      <c r="V37" s="70" t="str">
        <f>IF(V$2="Y",IF(MaGic_AVM_Land!V37=0,"",MaGic_AVM_Land!V37),"")</f>
        <v/>
      </c>
      <c r="W37" s="70" t="str">
        <f>IF(W$2="Y",IF(MaGic_AVM_Land!W37=0,"",MaGic_AVM_Land!W37),"")</f>
        <v/>
      </c>
      <c r="X37" s="70" t="str">
        <f>IF(X$2="Y",IF(MaGic_AVM_Land!X37=0,"",MaGic_AVM_Land!X37),"")</f>
        <v/>
      </c>
      <c r="Y37" s="70" t="str">
        <f>IF(Y$2="Y",IF(MaGic_AVM_Land!Y37=0,"",MaGic_AVM_Land!Y37),"")</f>
        <v/>
      </c>
      <c r="Z37" s="70" t="str">
        <f>IF(Z$2="Y",IF(MaGic_AVM_Land!Z37=0,"",MaGic_AVM_Land!Z37),"")</f>
        <v/>
      </c>
      <c r="AB37" s="69" t="str" cm="1">
        <f t="array" ref="AB37">_xlfn.UNIQUE(C37:Z37,TRUE,FALSE)</f>
        <v/>
      </c>
    </row>
    <row r="38" spans="1:28">
      <c r="A38" s="69">
        <v>4</v>
      </c>
      <c r="B38" s="69" t="s">
        <v>114</v>
      </c>
      <c r="C38" s="70" t="str">
        <f>IF(C$2="Y",IF(MaGic_AVM_Land!C38=0,"",MaGic_AVM_Land!C38),"")</f>
        <v/>
      </c>
      <c r="D38" s="70" t="str">
        <f>IF(D$2="Y",IF(MaGic_AVM_Land!D38=0,"",MaGic_AVM_Land!D38),"")</f>
        <v/>
      </c>
      <c r="E38" s="70" t="str">
        <f>IF(E$2="Y",IF(MaGic_AVM_Land!E38=0,"",MaGic_AVM_Land!E38),"")</f>
        <v/>
      </c>
      <c r="F38" s="70" t="str">
        <f>IF(F$2="Y",IF(MaGic_AVM_Land!F38=0,"",MaGic_AVM_Land!F38),"")</f>
        <v/>
      </c>
      <c r="G38" s="70" t="str">
        <f>IF(G$2="Y",IF(MaGic_AVM_Land!G38=0,"",MaGic_AVM_Land!G38),"")</f>
        <v/>
      </c>
      <c r="H38" s="70" t="str">
        <f>IF(H$2="Y",IF(MaGic_AVM_Land!H38=0,"",MaGic_AVM_Land!H38),"")</f>
        <v/>
      </c>
      <c r="I38" s="70" t="str">
        <f>IF(I$2="Y",IF(MaGic_AVM_Land!I38=0,"",MaGic_AVM_Land!I38),"")</f>
        <v/>
      </c>
      <c r="J38" s="70" t="str">
        <f>IF(J$2="Y",IF(MaGic_AVM_Land!J38=0,"",MaGic_AVM_Land!J38),"")</f>
        <v/>
      </c>
      <c r="K38" s="70" t="str">
        <f>IF(K$2="Y",IF(MaGic_AVM_Land!K38=0,"",MaGic_AVM_Land!K38),"")</f>
        <v/>
      </c>
      <c r="L38" s="70" t="str">
        <f>IF(L$2="Y",IF(MaGic_AVM_Land!L38=0,"",MaGic_AVM_Land!L38),"")</f>
        <v/>
      </c>
      <c r="M38" s="70" t="str">
        <f>IF(M$2="Y",IF(MaGic_AVM_Land!M38=0,"",MaGic_AVM_Land!M38),"")</f>
        <v/>
      </c>
      <c r="N38" s="70" t="str">
        <f>IF(N$2="Y",IF(MaGic_AVM_Land!N38=0,"",MaGic_AVM_Land!N38),"")</f>
        <v/>
      </c>
      <c r="O38" s="70" t="str">
        <f>IF(O$2="Y",IF(MaGic_AVM_Land!O38=0,"",MaGic_AVM_Land!O38),"")</f>
        <v/>
      </c>
      <c r="P38" s="70" t="str">
        <f>IF(P$2="Y",IF(MaGic_AVM_Land!P38=0,"",MaGic_AVM_Land!P38),"")</f>
        <v/>
      </c>
      <c r="Q38" s="70" t="str">
        <f>IF(Q$2="Y",IF(MaGic_AVM_Land!Q38=0,"",MaGic_AVM_Land!Q38),"")</f>
        <v/>
      </c>
      <c r="R38" s="70" t="str">
        <f>IF(R$2="Y",IF(MaGic_AVM_Land!R38=0,"",MaGic_AVM_Land!R38),"")</f>
        <v/>
      </c>
      <c r="S38" s="70" t="str">
        <f>IF(S$2="Y",IF(MaGic_AVM_Land!S38=0,"",MaGic_AVM_Land!S38),"")</f>
        <v/>
      </c>
      <c r="T38" s="70" t="str">
        <f>IF(T$2="Y",IF(MaGic_AVM_Land!T38=0,"",MaGic_AVM_Land!T38),"")</f>
        <v/>
      </c>
      <c r="U38" s="70" t="str">
        <f>IF(U$2="Y",IF(MaGic_AVM_Land!U38=0,"",MaGic_AVM_Land!U38),"")</f>
        <v/>
      </c>
      <c r="V38" s="70" t="str">
        <f>IF(V$2="Y",IF(MaGic_AVM_Land!V38=0,"",MaGic_AVM_Land!V38),"")</f>
        <v/>
      </c>
      <c r="W38" s="70" t="str">
        <f>IF(W$2="Y",IF(MaGic_AVM_Land!W38=0,"",MaGic_AVM_Land!W38),"")</f>
        <v/>
      </c>
      <c r="X38" s="70" t="str">
        <f>IF(X$2="Y",IF(MaGic_AVM_Land!X38=0,"",MaGic_AVM_Land!X38),"")</f>
        <v/>
      </c>
      <c r="Y38" s="70" t="str">
        <f>IF(Y$2="Y",IF(MaGic_AVM_Land!Y38=0,"",MaGic_AVM_Land!Y38),"")</f>
        <v/>
      </c>
      <c r="Z38" s="70" t="str">
        <f>IF(Z$2="Y",IF(MaGic_AVM_Land!Z38=0,"",MaGic_AVM_Land!Z38),"")</f>
        <v/>
      </c>
      <c r="AB38" s="69" t="str" cm="1">
        <f t="array" ref="AB38">_xlfn.UNIQUE(C38:Z38,TRUE,FALSE)</f>
        <v/>
      </c>
    </row>
    <row r="39" spans="1:28">
      <c r="A39" s="69">
        <v>5</v>
      </c>
      <c r="B39" s="69" t="s">
        <v>115</v>
      </c>
      <c r="C39" s="70" t="str">
        <f>IF(C$2="Y",IF(MaGic_AVM_Land!C39=0,"",MaGic_AVM_Land!C39),"")</f>
        <v/>
      </c>
      <c r="D39" s="70" t="str">
        <f>IF(D$2="Y",IF(MaGic_AVM_Land!D39=0,"",MaGic_AVM_Land!D39),"")</f>
        <v/>
      </c>
      <c r="E39" s="70" t="str">
        <f>IF(E$2="Y",IF(MaGic_AVM_Land!E39=0,"",MaGic_AVM_Land!E39),"")</f>
        <v/>
      </c>
      <c r="F39" s="70" t="str">
        <f>IF(F$2="Y",IF(MaGic_AVM_Land!F39=0,"",MaGic_AVM_Land!F39),"")</f>
        <v/>
      </c>
      <c r="G39" s="70" t="str">
        <f>IF(G$2="Y",IF(MaGic_AVM_Land!G39=0,"",MaGic_AVM_Land!G39),"")</f>
        <v/>
      </c>
      <c r="H39" s="70" t="str">
        <f>IF(H$2="Y",IF(MaGic_AVM_Land!H39=0,"",MaGic_AVM_Land!H39),"")</f>
        <v/>
      </c>
      <c r="I39" s="70" t="str">
        <f>IF(I$2="Y",IF(MaGic_AVM_Land!I39=0,"",MaGic_AVM_Land!I39),"")</f>
        <v/>
      </c>
      <c r="J39" s="70" t="str">
        <f>IF(J$2="Y",IF(MaGic_AVM_Land!J39=0,"",MaGic_AVM_Land!J39),"")</f>
        <v/>
      </c>
      <c r="K39" s="70" t="str">
        <f>IF(K$2="Y",IF(MaGic_AVM_Land!K39=0,"",MaGic_AVM_Land!K39),"")</f>
        <v/>
      </c>
      <c r="L39" s="70" t="str">
        <f>IF(L$2="Y",IF(MaGic_AVM_Land!L39=0,"",MaGic_AVM_Land!L39),"")</f>
        <v/>
      </c>
      <c r="M39" s="70" t="str">
        <f>IF(M$2="Y",IF(MaGic_AVM_Land!M39=0,"",MaGic_AVM_Land!M39),"")</f>
        <v/>
      </c>
      <c r="N39" s="70" t="str">
        <f>IF(N$2="Y",IF(MaGic_AVM_Land!N39=0,"",MaGic_AVM_Land!N39),"")</f>
        <v/>
      </c>
      <c r="O39" s="70" t="str">
        <f>IF(O$2="Y",IF(MaGic_AVM_Land!O39=0,"",MaGic_AVM_Land!O39),"")</f>
        <v/>
      </c>
      <c r="P39" s="70" t="str">
        <f>IF(P$2="Y",IF(MaGic_AVM_Land!P39=0,"",MaGic_AVM_Land!P39),"")</f>
        <v/>
      </c>
      <c r="Q39" s="70" t="str">
        <f>IF(Q$2="Y",IF(MaGic_AVM_Land!Q39=0,"",MaGic_AVM_Land!Q39),"")</f>
        <v/>
      </c>
      <c r="R39" s="70" t="str">
        <f>IF(R$2="Y",IF(MaGic_AVM_Land!R39=0,"",MaGic_AVM_Land!R39),"")</f>
        <v/>
      </c>
      <c r="S39" s="70" t="str">
        <f>IF(S$2="Y",IF(MaGic_AVM_Land!S39=0,"",MaGic_AVM_Land!S39),"")</f>
        <v/>
      </c>
      <c r="T39" s="70" t="str">
        <f>IF(T$2="Y",IF(MaGic_AVM_Land!T39=0,"",MaGic_AVM_Land!T39),"")</f>
        <v/>
      </c>
      <c r="U39" s="70" t="str">
        <f>IF(U$2="Y",IF(MaGic_AVM_Land!U39=0,"",MaGic_AVM_Land!U39),"")</f>
        <v/>
      </c>
      <c r="V39" s="70" t="str">
        <f>IF(V$2="Y",IF(MaGic_AVM_Land!V39=0,"",MaGic_AVM_Land!V39),"")</f>
        <v/>
      </c>
      <c r="W39" s="70" t="str">
        <f>IF(W$2="Y",IF(MaGic_AVM_Land!W39=0,"",MaGic_AVM_Land!W39),"")</f>
        <v/>
      </c>
      <c r="X39" s="70" t="str">
        <f>IF(X$2="Y",IF(MaGic_AVM_Land!X39=0,"",MaGic_AVM_Land!X39),"")</f>
        <v/>
      </c>
      <c r="Y39" s="70" t="str">
        <f>IF(Y$2="Y",IF(MaGic_AVM_Land!Y39=0,"",MaGic_AVM_Land!Y39),"")</f>
        <v/>
      </c>
      <c r="Z39" s="70" t="str">
        <f>IF(Z$2="Y",IF(MaGic_AVM_Land!Z39=0,"",MaGic_AVM_Land!Z39),"")</f>
        <v/>
      </c>
      <c r="AB39" s="69" t="str" cm="1">
        <f t="array" ref="AB39">_xlfn.UNIQUE(C39:Z39,TRUE,FALSE)</f>
        <v/>
      </c>
    </row>
    <row r="40" spans="1:28">
      <c r="A40" s="69">
        <v>6</v>
      </c>
      <c r="B40" s="69" t="s">
        <v>116</v>
      </c>
      <c r="C40" s="70" t="str">
        <f>IF(C$2="Y",IF(MaGic_AVM_Land!C40=0,"",MaGic_AVM_Land!C40),"")</f>
        <v/>
      </c>
      <c r="D40" s="70" t="str">
        <f>IF(D$2="Y",IF(MaGic_AVM_Land!D40=0,"",MaGic_AVM_Land!D40),"")</f>
        <v/>
      </c>
      <c r="E40" s="70" t="str">
        <f>IF(E$2="Y",IF(MaGic_AVM_Land!E40=0,"",MaGic_AVM_Land!E40),"")</f>
        <v/>
      </c>
      <c r="F40" s="70" t="str">
        <f>IF(F$2="Y",IF(MaGic_AVM_Land!F40=0,"",MaGic_AVM_Land!F40),"")</f>
        <v/>
      </c>
      <c r="G40" s="70" t="str">
        <f>IF(G$2="Y",IF(MaGic_AVM_Land!G40=0,"",MaGic_AVM_Land!G40),"")</f>
        <v/>
      </c>
      <c r="H40" s="70" t="str">
        <f>IF(H$2="Y",IF(MaGic_AVM_Land!H40=0,"",MaGic_AVM_Land!H40),"")</f>
        <v/>
      </c>
      <c r="I40" s="70" t="str">
        <f>IF(I$2="Y",IF(MaGic_AVM_Land!I40=0,"",MaGic_AVM_Land!I40),"")</f>
        <v/>
      </c>
      <c r="J40" s="70" t="str">
        <f>IF(J$2="Y",IF(MaGic_AVM_Land!J40=0,"",MaGic_AVM_Land!J40),"")</f>
        <v/>
      </c>
      <c r="K40" s="70" t="str">
        <f>IF(K$2="Y",IF(MaGic_AVM_Land!K40=0,"",MaGic_AVM_Land!K40),"")</f>
        <v/>
      </c>
      <c r="L40" s="70" t="str">
        <f>IF(L$2="Y",IF(MaGic_AVM_Land!L40=0,"",MaGic_AVM_Land!L40),"")</f>
        <v/>
      </c>
      <c r="M40" s="70" t="str">
        <f>IF(M$2="Y",IF(MaGic_AVM_Land!M40=0,"",MaGic_AVM_Land!M40),"")</f>
        <v/>
      </c>
      <c r="N40" s="70" t="str">
        <f>IF(N$2="Y",IF(MaGic_AVM_Land!N40=0,"",MaGic_AVM_Land!N40),"")</f>
        <v/>
      </c>
      <c r="O40" s="70" t="str">
        <f>IF(O$2="Y",IF(MaGic_AVM_Land!O40=0,"",MaGic_AVM_Land!O40),"")</f>
        <v/>
      </c>
      <c r="P40" s="70" t="str">
        <f>IF(P$2="Y",IF(MaGic_AVM_Land!P40=0,"",MaGic_AVM_Land!P40),"")</f>
        <v/>
      </c>
      <c r="Q40" s="70" t="str">
        <f>IF(Q$2="Y",IF(MaGic_AVM_Land!Q40=0,"",MaGic_AVM_Land!Q40),"")</f>
        <v/>
      </c>
      <c r="R40" s="70" t="str">
        <f>IF(R$2="Y",IF(MaGic_AVM_Land!R40=0,"",MaGic_AVM_Land!R40),"")</f>
        <v/>
      </c>
      <c r="S40" s="70" t="str">
        <f>IF(S$2="Y",IF(MaGic_AVM_Land!S40=0,"",MaGic_AVM_Land!S40),"")</f>
        <v/>
      </c>
      <c r="T40" s="70" t="str">
        <f>IF(T$2="Y",IF(MaGic_AVM_Land!T40=0,"",MaGic_AVM_Land!T40),"")</f>
        <v/>
      </c>
      <c r="U40" s="70" t="str">
        <f>IF(U$2="Y",IF(MaGic_AVM_Land!U40=0,"",MaGic_AVM_Land!U40),"")</f>
        <v/>
      </c>
      <c r="V40" s="70" t="str">
        <f>IF(V$2="Y",IF(MaGic_AVM_Land!V40=0,"",MaGic_AVM_Land!V40),"")</f>
        <v/>
      </c>
      <c r="W40" s="70" t="str">
        <f>IF(W$2="Y",IF(MaGic_AVM_Land!W40=0,"",MaGic_AVM_Land!W40),"")</f>
        <v/>
      </c>
      <c r="X40" s="70" t="str">
        <f>IF(X$2="Y",IF(MaGic_AVM_Land!X40=0,"",MaGic_AVM_Land!X40),"")</f>
        <v/>
      </c>
      <c r="Y40" s="70" t="str">
        <f>IF(Y$2="Y",IF(MaGic_AVM_Land!Y40=0,"",MaGic_AVM_Land!Y40),"")</f>
        <v/>
      </c>
      <c r="Z40" s="70" t="str">
        <f>IF(Z$2="Y",IF(MaGic_AVM_Land!Z40=0,"",MaGic_AVM_Land!Z40),"")</f>
        <v/>
      </c>
      <c r="AB40" s="69" t="str" cm="1">
        <f t="array" ref="AB40">_xlfn.UNIQUE(C40:Z40,TRUE,FALSE)</f>
        <v/>
      </c>
    </row>
    <row r="41" spans="1:28">
      <c r="B41" s="69" t="s">
        <v>117</v>
      </c>
      <c r="C41" s="70" t="str">
        <f>IF(C$2="Y",IF(MaGic_AVM_Land!C41=0,"",MaGic_AVM_Land!C41),"")</f>
        <v/>
      </c>
      <c r="D41" s="70" t="str">
        <f>IF(D$2="Y",IF(MaGic_AVM_Land!D41=0,"",MaGic_AVM_Land!D41),"")</f>
        <v/>
      </c>
      <c r="E41" s="70" t="str">
        <f>IF(E$2="Y",IF(MaGic_AVM_Land!E41=0,"",MaGic_AVM_Land!E41),"")</f>
        <v/>
      </c>
      <c r="F41" s="70" t="str">
        <f>IF(F$2="Y",IF(MaGic_AVM_Land!F41=0,"",MaGic_AVM_Land!F41),"")</f>
        <v/>
      </c>
      <c r="G41" s="70" t="str">
        <f>IF(G$2="Y",IF(MaGic_AVM_Land!G41=0,"",MaGic_AVM_Land!G41),"")</f>
        <v/>
      </c>
      <c r="H41" s="70" t="str">
        <f>IF(H$2="Y",IF(MaGic_AVM_Land!H41=0,"",MaGic_AVM_Land!H41),"")</f>
        <v/>
      </c>
      <c r="I41" s="70" t="str">
        <f>IF(I$2="Y",IF(MaGic_AVM_Land!I41=0,"",MaGic_AVM_Land!I41),"")</f>
        <v/>
      </c>
      <c r="J41" s="70" t="str">
        <f>IF(J$2="Y",IF(MaGic_AVM_Land!J41=0,"",MaGic_AVM_Land!J41),"")</f>
        <v/>
      </c>
      <c r="K41" s="70" t="str">
        <f>IF(K$2="Y",IF(MaGic_AVM_Land!K41=0,"",MaGic_AVM_Land!K41),"")</f>
        <v/>
      </c>
      <c r="L41" s="70" t="str">
        <f>IF(L$2="Y",IF(MaGic_AVM_Land!L41=0,"",MaGic_AVM_Land!L41),"")</f>
        <v/>
      </c>
      <c r="M41" s="70" t="str">
        <f>IF(M$2="Y",IF(MaGic_AVM_Land!M41=0,"",MaGic_AVM_Land!M41),"")</f>
        <v/>
      </c>
      <c r="N41" s="70" t="str">
        <f>IF(N$2="Y",IF(MaGic_AVM_Land!N41=0,"",MaGic_AVM_Land!N41),"")</f>
        <v/>
      </c>
      <c r="O41" s="70" t="str">
        <f>IF(O$2="Y",IF(MaGic_AVM_Land!O41=0,"",MaGic_AVM_Land!O41),"")</f>
        <v/>
      </c>
      <c r="P41" s="70" t="str">
        <f>IF(P$2="Y",IF(MaGic_AVM_Land!P41=0,"",MaGic_AVM_Land!P41),"")</f>
        <v/>
      </c>
      <c r="Q41" s="70" t="str">
        <f>IF(Q$2="Y",IF(MaGic_AVM_Land!Q41=0,"",MaGic_AVM_Land!Q41),"")</f>
        <v/>
      </c>
      <c r="R41" s="70" t="str">
        <f>IF(R$2="Y",IF(MaGic_AVM_Land!R41=0,"",MaGic_AVM_Land!R41),"")</f>
        <v/>
      </c>
      <c r="S41" s="70" t="str">
        <f>IF(S$2="Y",IF(MaGic_AVM_Land!S41=0,"",MaGic_AVM_Land!S41),"")</f>
        <v/>
      </c>
      <c r="T41" s="70" t="str">
        <f>IF(T$2="Y",IF(MaGic_AVM_Land!T41=0,"",MaGic_AVM_Land!T41),"")</f>
        <v/>
      </c>
      <c r="U41" s="70" t="str">
        <f>IF(U$2="Y",IF(MaGic_AVM_Land!U41=0,"",MaGic_AVM_Land!U41),"")</f>
        <v/>
      </c>
      <c r="V41" s="70" t="str">
        <f>IF(V$2="Y",IF(MaGic_AVM_Land!V41=0,"",MaGic_AVM_Land!V41),"")</f>
        <v/>
      </c>
      <c r="W41" s="70" t="str">
        <f>IF(W$2="Y",IF(MaGic_AVM_Land!W41=0,"",MaGic_AVM_Land!W41),"")</f>
        <v/>
      </c>
      <c r="X41" s="70" t="str">
        <f>IF(X$2="Y",IF(MaGic_AVM_Land!X41=0,"",MaGic_AVM_Land!X41),"")</f>
        <v/>
      </c>
      <c r="Y41" s="70" t="str">
        <f>IF(Y$2="Y",IF(MaGic_AVM_Land!Y41=0,"",MaGic_AVM_Land!Y41),"")</f>
        <v/>
      </c>
      <c r="Z41" s="70" t="str">
        <f>IF(Z$2="Y",IF(MaGic_AVM_Land!Z41=0,"",MaGic_AVM_Land!Z41),"")</f>
        <v/>
      </c>
      <c r="AB41" s="69" t="str" cm="1">
        <f t="array" ref="AB41">_xlfn.UNIQUE(C41:Z41,TRUE,FALSE)</f>
        <v/>
      </c>
    </row>
    <row r="42" spans="1:28">
      <c r="A42" s="69">
        <v>1</v>
      </c>
      <c r="B42" s="69" t="s">
        <v>118</v>
      </c>
      <c r="C42" s="70" t="str">
        <f>IF(C$2="Y",IF(MaGic_AVM_Land!C42=0,"",MaGic_AVM_Land!C42),"")</f>
        <v/>
      </c>
      <c r="D42" s="70" t="str">
        <f>IF(D$2="Y",IF(MaGic_AVM_Land!D42=0,"",MaGic_AVM_Land!D42),"")</f>
        <v/>
      </c>
      <c r="E42" s="70" t="str">
        <f>IF(E$2="Y",IF(MaGic_AVM_Land!E42=0,"",MaGic_AVM_Land!E42),"")</f>
        <v/>
      </c>
      <c r="F42" s="70" t="str">
        <f>IF(F$2="Y",IF(MaGic_AVM_Land!F42=0,"",MaGic_AVM_Land!F42),"")</f>
        <v/>
      </c>
      <c r="G42" s="70" t="str">
        <f>IF(G$2="Y",IF(MaGic_AVM_Land!G42=0,"",MaGic_AVM_Land!G42),"")</f>
        <v/>
      </c>
      <c r="H42" s="70" t="str">
        <f>IF(H$2="Y",IF(MaGic_AVM_Land!H42=0,"",MaGic_AVM_Land!H42),"")</f>
        <v/>
      </c>
      <c r="I42" s="70" t="str">
        <f>IF(I$2="Y",IF(MaGic_AVM_Land!I42=0,"",MaGic_AVM_Land!I42),"")</f>
        <v/>
      </c>
      <c r="J42" s="70" t="str">
        <f>IF(J$2="Y",IF(MaGic_AVM_Land!J42=0,"",MaGic_AVM_Land!J42),"")</f>
        <v/>
      </c>
      <c r="K42" s="70" t="str">
        <f>IF(K$2="Y",IF(MaGic_AVM_Land!K42=0,"",MaGic_AVM_Land!K42),"")</f>
        <v/>
      </c>
      <c r="L42" s="70" t="str">
        <f>IF(L$2="Y",IF(MaGic_AVM_Land!L42=0,"",MaGic_AVM_Land!L42),"")</f>
        <v/>
      </c>
      <c r="M42" s="70" t="str">
        <f>IF(M$2="Y",IF(MaGic_AVM_Land!M42=0,"",MaGic_AVM_Land!M42),"")</f>
        <v/>
      </c>
      <c r="N42" s="70" t="str">
        <f>IF(N$2="Y",IF(MaGic_AVM_Land!N42=0,"",MaGic_AVM_Land!N42),"")</f>
        <v/>
      </c>
      <c r="O42" s="70" t="str">
        <f>IF(O$2="Y",IF(MaGic_AVM_Land!O42=0,"",MaGic_AVM_Land!O42),"")</f>
        <v/>
      </c>
      <c r="P42" s="70" t="str">
        <f>IF(P$2="Y",IF(MaGic_AVM_Land!P42=0,"",MaGic_AVM_Land!P42),"")</f>
        <v/>
      </c>
      <c r="Q42" s="70" t="str">
        <f>IF(Q$2="Y",IF(MaGic_AVM_Land!Q42=0,"",MaGic_AVM_Land!Q42),"")</f>
        <v/>
      </c>
      <c r="R42" s="70" t="str">
        <f>IF(R$2="Y",IF(MaGic_AVM_Land!R42=0,"",MaGic_AVM_Land!R42),"")</f>
        <v/>
      </c>
      <c r="S42" s="70" t="str">
        <f>IF(S$2="Y",IF(MaGic_AVM_Land!S42=0,"",MaGic_AVM_Land!S42),"")</f>
        <v/>
      </c>
      <c r="T42" s="70" t="str">
        <f>IF(T$2="Y",IF(MaGic_AVM_Land!T42=0,"",MaGic_AVM_Land!T42),"")</f>
        <v/>
      </c>
      <c r="U42" s="70" t="str">
        <f>IF(U$2="Y",IF(MaGic_AVM_Land!U42=0,"",MaGic_AVM_Land!U42),"")</f>
        <v/>
      </c>
      <c r="V42" s="70" t="str">
        <f>IF(V$2="Y",IF(MaGic_AVM_Land!V42=0,"",MaGic_AVM_Land!V42),"")</f>
        <v/>
      </c>
      <c r="W42" s="70" t="str">
        <f>IF(W$2="Y",IF(MaGic_AVM_Land!W42=0,"",MaGic_AVM_Land!W42),"")</f>
        <v/>
      </c>
      <c r="X42" s="70" t="str">
        <f>IF(X$2="Y",IF(MaGic_AVM_Land!X42=0,"",MaGic_AVM_Land!X42),"")</f>
        <v/>
      </c>
      <c r="Y42" s="70" t="str">
        <f>IF(Y$2="Y",IF(MaGic_AVM_Land!Y42=0,"",MaGic_AVM_Land!Y42),"")</f>
        <v/>
      </c>
      <c r="Z42" s="70" t="str">
        <f>IF(Z$2="Y",IF(MaGic_AVM_Land!Z42=0,"",MaGic_AVM_Land!Z42),"")</f>
        <v/>
      </c>
      <c r="AB42" s="69" t="str" cm="1">
        <f t="array" ref="AB42">_xlfn.UNIQUE(C42:Z42,TRUE,FALSE)</f>
        <v/>
      </c>
    </row>
    <row r="43" spans="1:28">
      <c r="A43" s="69">
        <v>2</v>
      </c>
      <c r="B43" s="69" t="s">
        <v>119</v>
      </c>
      <c r="C43" s="70" t="str">
        <f>IF(C$2="Y",IF(MaGic_AVM_Land!C43=0,"",MaGic_AVM_Land!C43),"")</f>
        <v/>
      </c>
      <c r="D43" s="70" t="str">
        <f>IF(D$2="Y",IF(MaGic_AVM_Land!D43=0,"",MaGic_AVM_Land!D43),"")</f>
        <v/>
      </c>
      <c r="E43" s="70" t="str">
        <f>IF(E$2="Y",IF(MaGic_AVM_Land!E43=0,"",MaGic_AVM_Land!E43),"")</f>
        <v/>
      </c>
      <c r="F43" s="70" t="str">
        <f>IF(F$2="Y",IF(MaGic_AVM_Land!F43=0,"",MaGic_AVM_Land!F43),"")</f>
        <v/>
      </c>
      <c r="G43" s="70" t="str">
        <f>IF(G$2="Y",IF(MaGic_AVM_Land!G43=0,"",MaGic_AVM_Land!G43),"")</f>
        <v/>
      </c>
      <c r="H43" s="70" t="str">
        <f>IF(H$2="Y",IF(MaGic_AVM_Land!H43=0,"",MaGic_AVM_Land!H43),"")</f>
        <v/>
      </c>
      <c r="I43" s="70" t="str">
        <f>IF(I$2="Y",IF(MaGic_AVM_Land!I43=0,"",MaGic_AVM_Land!I43),"")</f>
        <v/>
      </c>
      <c r="J43" s="70" t="str">
        <f>IF(J$2="Y",IF(MaGic_AVM_Land!J43=0,"",MaGic_AVM_Land!J43),"")</f>
        <v/>
      </c>
      <c r="K43" s="70" t="str">
        <f>IF(K$2="Y",IF(MaGic_AVM_Land!K43=0,"",MaGic_AVM_Land!K43),"")</f>
        <v/>
      </c>
      <c r="L43" s="70" t="str">
        <f>IF(L$2="Y",IF(MaGic_AVM_Land!L43=0,"",MaGic_AVM_Land!L43),"")</f>
        <v/>
      </c>
      <c r="M43" s="70" t="str">
        <f>IF(M$2="Y",IF(MaGic_AVM_Land!M43=0,"",MaGic_AVM_Land!M43),"")</f>
        <v/>
      </c>
      <c r="N43" s="70" t="str">
        <f>IF(N$2="Y",IF(MaGic_AVM_Land!N43=0,"",MaGic_AVM_Land!N43),"")</f>
        <v/>
      </c>
      <c r="O43" s="70" t="str">
        <f>IF(O$2="Y",IF(MaGic_AVM_Land!O43=0,"",MaGic_AVM_Land!O43),"")</f>
        <v/>
      </c>
      <c r="P43" s="70" t="str">
        <f>IF(P$2="Y",IF(MaGic_AVM_Land!P43=0,"",MaGic_AVM_Land!P43),"")</f>
        <v/>
      </c>
      <c r="Q43" s="70" t="str">
        <f>IF(Q$2="Y",IF(MaGic_AVM_Land!Q43=0,"",MaGic_AVM_Land!Q43),"")</f>
        <v/>
      </c>
      <c r="R43" s="70" t="str">
        <f>IF(R$2="Y",IF(MaGic_AVM_Land!R43=0,"",MaGic_AVM_Land!R43),"")</f>
        <v/>
      </c>
      <c r="S43" s="70" t="str">
        <f>IF(S$2="Y",IF(MaGic_AVM_Land!S43=0,"",MaGic_AVM_Land!S43),"")</f>
        <v/>
      </c>
      <c r="T43" s="70" t="str">
        <f>IF(T$2="Y",IF(MaGic_AVM_Land!T43=0,"",MaGic_AVM_Land!T43),"")</f>
        <v/>
      </c>
      <c r="U43" s="70" t="str">
        <f>IF(U$2="Y",IF(MaGic_AVM_Land!U43=0,"",MaGic_AVM_Land!U43),"")</f>
        <v/>
      </c>
      <c r="V43" s="70" t="str">
        <f>IF(V$2="Y",IF(MaGic_AVM_Land!V43=0,"",MaGic_AVM_Land!V43),"")</f>
        <v/>
      </c>
      <c r="W43" s="70" t="str">
        <f>IF(W$2="Y",IF(MaGic_AVM_Land!W43=0,"",MaGic_AVM_Land!W43),"")</f>
        <v/>
      </c>
      <c r="X43" s="70" t="str">
        <f>IF(X$2="Y",IF(MaGic_AVM_Land!X43=0,"",MaGic_AVM_Land!X43),"")</f>
        <v/>
      </c>
      <c r="Y43" s="70" t="str">
        <f>IF(Y$2="Y",IF(MaGic_AVM_Land!Y43=0,"",MaGic_AVM_Land!Y43),"")</f>
        <v/>
      </c>
      <c r="Z43" s="70" t="str">
        <f>IF(Z$2="Y",IF(MaGic_AVM_Land!Z43=0,"",MaGic_AVM_Land!Z43),"")</f>
        <v/>
      </c>
      <c r="AB43" s="69" t="str" cm="1">
        <f t="array" ref="AB43">_xlfn.UNIQUE(C43:Z43,TRUE,FALSE)</f>
        <v/>
      </c>
    </row>
    <row r="44" spans="1:28">
      <c r="A44" s="69">
        <v>3</v>
      </c>
      <c r="B44" s="69" t="s">
        <v>120</v>
      </c>
      <c r="C44" s="70" t="str">
        <f>IF(C$2="Y",IF(MaGic_AVM_Land!C44=0,"",MaGic_AVM_Land!C44),"")</f>
        <v/>
      </c>
      <c r="D44" s="70" t="str">
        <f>IF(D$2="Y",IF(MaGic_AVM_Land!D44=0,"",MaGic_AVM_Land!D44),"")</f>
        <v/>
      </c>
      <c r="E44" s="70" t="str">
        <f>IF(E$2="Y",IF(MaGic_AVM_Land!E44=0,"",MaGic_AVM_Land!E44),"")</f>
        <v/>
      </c>
      <c r="F44" s="70" t="str">
        <f>IF(F$2="Y",IF(MaGic_AVM_Land!F44=0,"",MaGic_AVM_Land!F44),"")</f>
        <v/>
      </c>
      <c r="G44" s="70" t="str">
        <f>IF(G$2="Y",IF(MaGic_AVM_Land!G44=0,"",MaGic_AVM_Land!G44),"")</f>
        <v/>
      </c>
      <c r="H44" s="70" t="str">
        <f>IF(H$2="Y",IF(MaGic_AVM_Land!H44=0,"",MaGic_AVM_Land!H44),"")</f>
        <v/>
      </c>
      <c r="I44" s="70" t="str">
        <f>IF(I$2="Y",IF(MaGic_AVM_Land!I44=0,"",MaGic_AVM_Land!I44),"")</f>
        <v/>
      </c>
      <c r="J44" s="70" t="str">
        <f>IF(J$2="Y",IF(MaGic_AVM_Land!J44=0,"",MaGic_AVM_Land!J44),"")</f>
        <v/>
      </c>
      <c r="K44" s="70" t="str">
        <f>IF(K$2="Y",IF(MaGic_AVM_Land!K44=0,"",MaGic_AVM_Land!K44),"")</f>
        <v/>
      </c>
      <c r="L44" s="70" t="str">
        <f>IF(L$2="Y",IF(MaGic_AVM_Land!L44=0,"",MaGic_AVM_Land!L44),"")</f>
        <v/>
      </c>
      <c r="M44" s="70" t="str">
        <f>IF(M$2="Y",IF(MaGic_AVM_Land!M44=0,"",MaGic_AVM_Land!M44),"")</f>
        <v/>
      </c>
      <c r="N44" s="70" t="str">
        <f>IF(N$2="Y",IF(MaGic_AVM_Land!N44=0,"",MaGic_AVM_Land!N44),"")</f>
        <v/>
      </c>
      <c r="O44" s="70" t="str">
        <f>IF(O$2="Y",IF(MaGic_AVM_Land!O44=0,"",MaGic_AVM_Land!O44),"")</f>
        <v/>
      </c>
      <c r="P44" s="70" t="str">
        <f>IF(P$2="Y",IF(MaGic_AVM_Land!P44=0,"",MaGic_AVM_Land!P44),"")</f>
        <v/>
      </c>
      <c r="Q44" s="70" t="str">
        <f>IF(Q$2="Y",IF(MaGic_AVM_Land!Q44=0,"",MaGic_AVM_Land!Q44),"")</f>
        <v/>
      </c>
      <c r="R44" s="70" t="str">
        <f>IF(R$2="Y",IF(MaGic_AVM_Land!R44=0,"",MaGic_AVM_Land!R44),"")</f>
        <v/>
      </c>
      <c r="S44" s="70" t="str">
        <f>IF(S$2="Y",IF(MaGic_AVM_Land!S44=0,"",MaGic_AVM_Land!S44),"")</f>
        <v/>
      </c>
      <c r="T44" s="70" t="str">
        <f>IF(T$2="Y",IF(MaGic_AVM_Land!T44=0,"",MaGic_AVM_Land!T44),"")</f>
        <v/>
      </c>
      <c r="U44" s="70" t="str">
        <f>IF(U$2="Y",IF(MaGic_AVM_Land!U44=0,"",MaGic_AVM_Land!U44),"")</f>
        <v/>
      </c>
      <c r="V44" s="70" t="str">
        <f>IF(V$2="Y",IF(MaGic_AVM_Land!V44=0,"",MaGic_AVM_Land!V44),"")</f>
        <v/>
      </c>
      <c r="W44" s="70" t="str">
        <f>IF(W$2="Y",IF(MaGic_AVM_Land!W44=0,"",MaGic_AVM_Land!W44),"")</f>
        <v/>
      </c>
      <c r="X44" s="70" t="str">
        <f>IF(X$2="Y",IF(MaGic_AVM_Land!X44=0,"",MaGic_AVM_Land!X44),"")</f>
        <v/>
      </c>
      <c r="Y44" s="70" t="str">
        <f>IF(Y$2="Y",IF(MaGic_AVM_Land!Y44=0,"",MaGic_AVM_Land!Y44),"")</f>
        <v/>
      </c>
      <c r="Z44" s="70" t="str">
        <f>IF(Z$2="Y",IF(MaGic_AVM_Land!Z44=0,"",MaGic_AVM_Land!Z44),"")</f>
        <v/>
      </c>
      <c r="AB44" s="69" t="str" cm="1">
        <f t="array" ref="AB44">_xlfn.UNIQUE(C44:Z44,TRUE,FALSE)</f>
        <v/>
      </c>
    </row>
    <row r="45" spans="1:28">
      <c r="A45" s="69">
        <v>4</v>
      </c>
      <c r="B45" s="69" t="s">
        <v>121</v>
      </c>
      <c r="C45" s="70" t="str">
        <f>IF(C$2="Y",IF(MaGic_AVM_Land!C45=0,"",MaGic_AVM_Land!C45),"")</f>
        <v/>
      </c>
      <c r="D45" s="70" t="str">
        <f>IF(D$2="Y",IF(MaGic_AVM_Land!D45=0,"",MaGic_AVM_Land!D45),"")</f>
        <v/>
      </c>
      <c r="E45" s="70" t="str">
        <f>IF(E$2="Y",IF(MaGic_AVM_Land!E45=0,"",MaGic_AVM_Land!E45),"")</f>
        <v/>
      </c>
      <c r="F45" s="70" t="str">
        <f>IF(F$2="Y",IF(MaGic_AVM_Land!F45=0,"",MaGic_AVM_Land!F45),"")</f>
        <v/>
      </c>
      <c r="G45" s="70" t="str">
        <f>IF(G$2="Y",IF(MaGic_AVM_Land!G45=0,"",MaGic_AVM_Land!G45),"")</f>
        <v/>
      </c>
      <c r="H45" s="70" t="str">
        <f>IF(H$2="Y",IF(MaGic_AVM_Land!H45=0,"",MaGic_AVM_Land!H45),"")</f>
        <v/>
      </c>
      <c r="I45" s="70" t="str">
        <f>IF(I$2="Y",IF(MaGic_AVM_Land!I45=0,"",MaGic_AVM_Land!I45),"")</f>
        <v/>
      </c>
      <c r="J45" s="70" t="str">
        <f>IF(J$2="Y",IF(MaGic_AVM_Land!J45=0,"",MaGic_AVM_Land!J45),"")</f>
        <v/>
      </c>
      <c r="K45" s="70" t="str">
        <f>IF(K$2="Y",IF(MaGic_AVM_Land!K45=0,"",MaGic_AVM_Land!K45),"")</f>
        <v/>
      </c>
      <c r="L45" s="70" t="str">
        <f>IF(L$2="Y",IF(MaGic_AVM_Land!L45=0,"",MaGic_AVM_Land!L45),"")</f>
        <v/>
      </c>
      <c r="M45" s="70" t="str">
        <f>IF(M$2="Y",IF(MaGic_AVM_Land!M45=0,"",MaGic_AVM_Land!M45),"")</f>
        <v/>
      </c>
      <c r="N45" s="70" t="str">
        <f>IF(N$2="Y",IF(MaGic_AVM_Land!N45=0,"",MaGic_AVM_Land!N45),"")</f>
        <v/>
      </c>
      <c r="O45" s="70" t="str">
        <f>IF(O$2="Y",IF(MaGic_AVM_Land!O45=0,"",MaGic_AVM_Land!O45),"")</f>
        <v/>
      </c>
      <c r="P45" s="70" t="str">
        <f>IF(P$2="Y",IF(MaGic_AVM_Land!P45=0,"",MaGic_AVM_Land!P45),"")</f>
        <v/>
      </c>
      <c r="Q45" s="70" t="str">
        <f>IF(Q$2="Y",IF(MaGic_AVM_Land!Q45=0,"",MaGic_AVM_Land!Q45),"")</f>
        <v/>
      </c>
      <c r="R45" s="70" t="str">
        <f>IF(R$2="Y",IF(MaGic_AVM_Land!R45=0,"",MaGic_AVM_Land!R45),"")</f>
        <v/>
      </c>
      <c r="S45" s="70" t="str">
        <f>IF(S$2="Y",IF(MaGic_AVM_Land!S45=0,"",MaGic_AVM_Land!S45),"")</f>
        <v/>
      </c>
      <c r="T45" s="70" t="str">
        <f>IF(T$2="Y",IF(MaGic_AVM_Land!T45=0,"",MaGic_AVM_Land!T45),"")</f>
        <v/>
      </c>
      <c r="U45" s="70" t="str">
        <f>IF(U$2="Y",IF(MaGic_AVM_Land!U45=0,"",MaGic_AVM_Land!U45),"")</f>
        <v/>
      </c>
      <c r="V45" s="70" t="str">
        <f>IF(V$2="Y",IF(MaGic_AVM_Land!V45=0,"",MaGic_AVM_Land!V45),"")</f>
        <v/>
      </c>
      <c r="W45" s="70" t="str">
        <f>IF(W$2="Y",IF(MaGic_AVM_Land!W45=0,"",MaGic_AVM_Land!W45),"")</f>
        <v/>
      </c>
      <c r="X45" s="70" t="str">
        <f>IF(X$2="Y",IF(MaGic_AVM_Land!X45=0,"",MaGic_AVM_Land!X45),"")</f>
        <v/>
      </c>
      <c r="Y45" s="70" t="str">
        <f>IF(Y$2="Y",IF(MaGic_AVM_Land!Y45=0,"",MaGic_AVM_Land!Y45),"")</f>
        <v/>
      </c>
      <c r="Z45" s="70" t="str">
        <f>IF(Z$2="Y",IF(MaGic_AVM_Land!Z45=0,"",MaGic_AVM_Land!Z45),"")</f>
        <v/>
      </c>
      <c r="AB45" s="69" t="str" cm="1">
        <f t="array" ref="AB45">_xlfn.UNIQUE(C45:Z45,TRUE,FALSE)</f>
        <v/>
      </c>
    </row>
    <row r="46" spans="1:28">
      <c r="C46" s="70" t="str">
        <f>IF(C$2="Y",IF(MaGic_AVM_Land!C46=0,"",MaGic_AVM_Land!C46),"")</f>
        <v/>
      </c>
      <c r="D46" s="70" t="str">
        <f>IF(D$2="Y",IF(MaGic_AVM_Land!D46=0,"",MaGic_AVM_Land!D46),"")</f>
        <v/>
      </c>
      <c r="E46" s="70" t="str">
        <f>IF(E$2="Y",IF(MaGic_AVM_Land!E46=0,"",MaGic_AVM_Land!E46),"")</f>
        <v/>
      </c>
      <c r="F46" s="70" t="str">
        <f>IF(F$2="Y",IF(MaGic_AVM_Land!F46=0,"",MaGic_AVM_Land!F46),"")</f>
        <v/>
      </c>
      <c r="G46" s="70" t="str">
        <f>IF(G$2="Y",IF(MaGic_AVM_Land!G46=0,"",MaGic_AVM_Land!G46),"")</f>
        <v/>
      </c>
      <c r="H46" s="70" t="str">
        <f>IF(H$2="Y",IF(MaGic_AVM_Land!H46=0,"",MaGic_AVM_Land!H46),"")</f>
        <v/>
      </c>
      <c r="I46" s="70" t="str">
        <f>IF(I$2="Y",IF(MaGic_AVM_Land!I46=0,"",MaGic_AVM_Land!I46),"")</f>
        <v/>
      </c>
      <c r="J46" s="70" t="str">
        <f>IF(J$2="Y",IF(MaGic_AVM_Land!J46=0,"",MaGic_AVM_Land!J46),"")</f>
        <v/>
      </c>
      <c r="K46" s="70" t="str">
        <f>IF(K$2="Y",IF(MaGic_AVM_Land!K46=0,"",MaGic_AVM_Land!K46),"")</f>
        <v/>
      </c>
      <c r="L46" s="70" t="str">
        <f>IF(L$2="Y",IF(MaGic_AVM_Land!L46=0,"",MaGic_AVM_Land!L46),"")</f>
        <v/>
      </c>
      <c r="M46" s="70" t="str">
        <f>IF(M$2="Y",IF(MaGic_AVM_Land!M46=0,"",MaGic_AVM_Land!M46),"")</f>
        <v/>
      </c>
      <c r="N46" s="70" t="str">
        <f>IF(N$2="Y",IF(MaGic_AVM_Land!N46=0,"",MaGic_AVM_Land!N46),"")</f>
        <v/>
      </c>
      <c r="O46" s="70" t="str">
        <f>IF(O$2="Y",IF(MaGic_AVM_Land!O46=0,"",MaGic_AVM_Land!O46),"")</f>
        <v/>
      </c>
      <c r="P46" s="70" t="str">
        <f>IF(P$2="Y",IF(MaGic_AVM_Land!P46=0,"",MaGic_AVM_Land!P46),"")</f>
        <v/>
      </c>
      <c r="Q46" s="70" t="str">
        <f>IF(Q$2="Y",IF(MaGic_AVM_Land!Q46=0,"",MaGic_AVM_Land!Q46),"")</f>
        <v/>
      </c>
      <c r="R46" s="70" t="str">
        <f>IF(R$2="Y",IF(MaGic_AVM_Land!R46=0,"",MaGic_AVM_Land!R46),"")</f>
        <v/>
      </c>
      <c r="S46" s="70" t="str">
        <f>IF(S$2="Y",IF(MaGic_AVM_Land!S46=0,"",MaGic_AVM_Land!S46),"")</f>
        <v/>
      </c>
      <c r="T46" s="70" t="str">
        <f>IF(T$2="Y",IF(MaGic_AVM_Land!T46=0,"",MaGic_AVM_Land!T46),"")</f>
        <v/>
      </c>
      <c r="U46" s="70" t="str">
        <f>IF(U$2="Y",IF(MaGic_AVM_Land!U46=0,"",MaGic_AVM_Land!U46),"")</f>
        <v/>
      </c>
      <c r="V46" s="70" t="str">
        <f>IF(V$2="Y",IF(MaGic_AVM_Land!V46=0,"",MaGic_AVM_Land!V46),"")</f>
        <v/>
      </c>
      <c r="W46" s="70" t="str">
        <f>IF(W$2="Y",IF(MaGic_AVM_Land!W46=0,"",MaGic_AVM_Land!W46),"")</f>
        <v/>
      </c>
      <c r="X46" s="70" t="str">
        <f>IF(X$2="Y",IF(MaGic_AVM_Land!X46=0,"",MaGic_AVM_Land!X46),"")</f>
        <v/>
      </c>
      <c r="Y46" s="70" t="str">
        <f>IF(Y$2="Y",IF(MaGic_AVM_Land!Y46=0,"",MaGic_AVM_Land!Y46),"")</f>
        <v/>
      </c>
      <c r="Z46" s="70" t="str">
        <f>IF(Z$2="Y",IF(MaGic_AVM_Land!Z46=0,"",MaGic_AVM_Land!Z46),"")</f>
        <v/>
      </c>
    </row>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row r="57" ht="15" hidden="1" customHeight="1"/>
    <row r="58" ht="15" hidden="1" customHeight="1"/>
    <row r="59" ht="15" hidden="1" customHeight="1"/>
    <row r="60" ht="15" hidden="1" customHeight="1"/>
    <row r="61" ht="15" hidden="1" customHeight="1"/>
    <row r="62" ht="15" hidden="1" customHeight="1"/>
    <row r="63" ht="15" hidden="1" customHeight="1"/>
    <row r="64" ht="15" hidden="1" customHeight="1"/>
    <row r="65" ht="15" hidden="1" customHeight="1"/>
    <row r="66" ht="15" hidden="1" customHeight="1"/>
    <row r="67" ht="15" hidden="1" customHeight="1"/>
    <row r="68" ht="15" hidden="1" customHeight="1"/>
    <row r="69" ht="15" hidden="1" customHeight="1"/>
    <row r="70" ht="15" hidden="1" customHeight="1"/>
    <row r="71" ht="15" hidden="1" customHeight="1"/>
    <row r="72" ht="15" hidden="1" customHeight="1"/>
    <row r="73" ht="15" hidden="1" customHeight="1"/>
    <row r="74" ht="15" hidden="1" customHeight="1"/>
    <row r="75" ht="15" hidden="1" customHeight="1"/>
    <row r="76" ht="15" hidden="1" customHeight="1"/>
    <row r="77" ht="15" hidden="1" customHeight="1"/>
    <row r="78" ht="15" hidden="1" customHeight="1"/>
    <row r="79" ht="15" hidden="1" customHeight="1"/>
    <row r="80"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spans="3:30" ht="15" hidden="1" customHeight="1"/>
    <row r="98" spans="3:30" ht="15" hidden="1" customHeight="1"/>
    <row r="99" spans="3:30" ht="15" hidden="1" customHeight="1"/>
    <row r="100" spans="3:30" ht="15" hidden="1" customHeight="1"/>
    <row r="101" spans="3:30" ht="170.25" customHeight="1">
      <c r="C101" s="19" t="str">
        <f>IF(C23="","",CONCATENATE(C23," Ares of land from ",IF(C20="","",CONCATENATE($B$20,C20,", ")),IF(C21="","",CONCATENATE($B$21,C21,", ")),IF(C22="","",CONCATENATE($B$22,C22,", ")),IF(C17="","",CONCATENATE($B$17,C17,", ")),IF(C18="","",CONCATENATE($B$18,C18,", ")),IF(C19="","",CONCATENATE($B$19,C19,", ")),IF(C14="","",CONCATENATE($B$14,C14,", ")),IF(C15="","",CONCATENATE($B$15,C15,", ")),IF(C16="","",CONCATENATE($B$16,C16))))</f>
        <v>2.07 Ares of land from Re-Sy No.254, Re-Sy Sub-Div No.21-2</v>
      </c>
      <c r="D101" s="19" t="str">
        <f>IF(D23="","",CONCATENATE(D23," Ares of land from ",IF(D20="","",CONCATENATE($B$20,D20,", ")),IF(D21="","",CONCATENATE($B$21,D21,", ")),IF(D22="","",CONCATENATE($B$22,D22,", ")),IF(D17="","",CONCATENATE($B$17,D17,", ")),IF(D18="","",CONCATENATE($B$18,D18,", ")),IF(D19="","",CONCATENATE($B$19,D19,", ")),IF(D14="","",CONCATENATE($B$14,D14,", ")),IF(D15="","",CONCATENATE($B$15,D15,", ")),IF(D16="","",CONCATENATE($B$16,D16))))</f>
        <v/>
      </c>
      <c r="E101" s="19" t="str">
        <f t="shared" ref="E101:Z101" si="4">IF(E23="","",CONCATENATE(E23," Ares of land from ",IF(E20="","",CONCATENATE($B$20,E20,", ")),IF(E21="","",CONCATENATE($B$21,E21,", ")),IF(E22="","",CONCATENATE($B$22,E22,", ")),IF(E17="","",CONCATENATE($B$17,E17,", ")),IF(E18="","",CONCATENATE($B$18,E18,", ")),IF(E19="","",CONCATENATE($B$19,E19,", ")),IF(E14="","",CONCATENATE($B$14,E14,", ")),IF(E15="","",CONCATENATE($B$15,E15,", ")),IF(E16="","",CONCATENATE($B$16,E16))))</f>
        <v/>
      </c>
      <c r="F101" s="19" t="str">
        <f t="shared" si="4"/>
        <v/>
      </c>
      <c r="G101" s="19" t="str">
        <f t="shared" si="4"/>
        <v/>
      </c>
      <c r="H101" s="19" t="str">
        <f t="shared" si="4"/>
        <v/>
      </c>
      <c r="I101" s="19" t="str">
        <f t="shared" si="4"/>
        <v/>
      </c>
      <c r="J101" s="19" t="str">
        <f t="shared" si="4"/>
        <v/>
      </c>
      <c r="K101" s="19" t="str">
        <f t="shared" si="4"/>
        <v/>
      </c>
      <c r="L101" s="19" t="str">
        <f t="shared" si="4"/>
        <v/>
      </c>
      <c r="M101" s="19" t="str">
        <f t="shared" si="4"/>
        <v/>
      </c>
      <c r="N101" s="19" t="str">
        <f t="shared" si="4"/>
        <v/>
      </c>
      <c r="O101" s="19" t="str">
        <f t="shared" si="4"/>
        <v/>
      </c>
      <c r="P101" s="19" t="str">
        <f t="shared" si="4"/>
        <v/>
      </c>
      <c r="Q101" s="19" t="str">
        <f t="shared" si="4"/>
        <v/>
      </c>
      <c r="R101" s="19" t="str">
        <f t="shared" si="4"/>
        <v/>
      </c>
      <c r="S101" s="19" t="str">
        <f t="shared" si="4"/>
        <v/>
      </c>
      <c r="T101" s="19" t="str">
        <f t="shared" si="4"/>
        <v/>
      </c>
      <c r="U101" s="19" t="str">
        <f t="shared" si="4"/>
        <v/>
      </c>
      <c r="V101" s="19" t="str">
        <f t="shared" si="4"/>
        <v/>
      </c>
      <c r="W101" s="19" t="str">
        <f t="shared" si="4"/>
        <v/>
      </c>
      <c r="X101" s="19" t="str">
        <f t="shared" si="4"/>
        <v/>
      </c>
      <c r="Y101" s="19" t="str">
        <f t="shared" si="4"/>
        <v/>
      </c>
      <c r="Z101" s="19" t="str">
        <f t="shared" si="4"/>
        <v/>
      </c>
      <c r="AA101" s="19" t="str">
        <f>_xlfn.TEXTJOIN(" and ",TRUE,C101:Z101)</f>
        <v>2.07 Ares of land from Re-Sy No.254, Re-Sy Sub-Div No.21-2</v>
      </c>
    </row>
    <row r="102" spans="3:30">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v>0</v>
      </c>
      <c r="AA102" s="19" t="s">
        <v>212</v>
      </c>
    </row>
    <row r="103" spans="3:30" ht="105" customHeight="1">
      <c r="Z103" s="19">
        <v>1</v>
      </c>
      <c r="AA103" s="19" t="str">
        <f>CONCATENATE(AA101," located in ",AA11,", ",AA10,", ",AA8,". ")</f>
        <v>2.07 Ares of land from Re-Sy No.254, Re-Sy Sub-Div No.21-2 located in Veilyoor Village, Thiruvanthupuram Taluk, Thiruvanthapuram District.</v>
      </c>
    </row>
    <row r="104" spans="3:30" ht="146.25" customHeight="1">
      <c r="Z104" s="69">
        <v>2</v>
      </c>
      <c r="AA104" s="19" t="str">
        <f>CONCATENATE("A total of ",AA23," ares of land, comprising ",AA101," located in ",AA11,", ",AA10,", ",AA8,". ")</f>
        <v>A total of 2.07 ares of land, comprising 2.07 Ares of land from Re-Sy No.254, Re-Sy Sub-Div No.21-2 located in Veilyoor Village, Thiruvanthupuram Taluk, Thiruvanthapuram District.</v>
      </c>
    </row>
    <row r="105" spans="3:30" ht="84.65" customHeight="1">
      <c r="Y105" s="477" t="s">
        <v>1107</v>
      </c>
      <c r="Z105" s="477"/>
      <c r="AA105" s="467" t="str">
        <f>IF(AA2&gt;2,AA104,VLOOKUP(AA2,Z102:AA104,2,FALSE))</f>
        <v>2.07 Ares of land from Re-Sy No.254, Re-Sy Sub-Div No.21-2 located in Veilyoor Village, Thiruvanthupuram Taluk, Thiruvanthapuram District.</v>
      </c>
      <c r="AD105" s="19" t="s">
        <v>1108</v>
      </c>
    </row>
    <row r="106" spans="3:30">
      <c r="Y106" s="477"/>
      <c r="Z106" s="477"/>
      <c r="AA106" s="467"/>
    </row>
    <row r="107" spans="3:30" ht="15" customHeight="1">
      <c r="Y107" s="477" t="s">
        <v>1109</v>
      </c>
      <c r="Z107" s="477"/>
      <c r="AA107" s="467" t="s">
        <v>1110</v>
      </c>
    </row>
    <row r="108" spans="3:30">
      <c r="D108" s="69">
        <v>0</v>
      </c>
      <c r="Y108" s="477"/>
      <c r="Z108" s="477"/>
      <c r="AA108" s="467"/>
    </row>
    <row r="109" spans="3:30">
      <c r="Y109" s="477"/>
      <c r="Z109" s="477"/>
      <c r="AA109" s="467"/>
    </row>
    <row r="110" spans="3:30">
      <c r="Y110" s="477"/>
      <c r="Z110" s="477"/>
      <c r="AA110" s="467"/>
    </row>
    <row r="111" spans="3:30">
      <c r="Y111" s="477"/>
      <c r="Z111" s="477"/>
      <c r="AA111" s="467"/>
    </row>
    <row r="112" spans="3:30">
      <c r="Y112" s="477"/>
      <c r="Z112" s="477"/>
      <c r="AA112" s="467"/>
    </row>
    <row r="113" spans="25:27">
      <c r="Y113" s="477"/>
      <c r="Z113" s="477"/>
      <c r="AA113" s="467"/>
    </row>
  </sheetData>
  <mergeCells count="4">
    <mergeCell ref="AA105:AA106"/>
    <mergeCell ref="AA107:AA113"/>
    <mergeCell ref="Y105:Z106"/>
    <mergeCell ref="Y107:Z113"/>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A2:AZ113"/>
  <sheetViews>
    <sheetView topLeftCell="S1" workbookViewId="0">
      <selection activeCell="I20" sqref="I20"/>
    </sheetView>
  </sheetViews>
  <sheetFormatPr defaultColWidth="9.26953125" defaultRowHeight="14.5"/>
  <cols>
    <col min="1" max="1" width="3" style="69" customWidth="1"/>
    <col min="2" max="2" width="23.26953125" style="69" customWidth="1"/>
    <col min="3" max="3" width="11.54296875" style="69" customWidth="1"/>
    <col min="4" max="26" width="9.26953125" style="69"/>
    <col min="27" max="27" width="52.7265625" style="69" customWidth="1"/>
    <col min="28" max="28" width="15.54296875" style="69" customWidth="1"/>
    <col min="29" max="29" width="25.26953125" style="69" customWidth="1"/>
    <col min="30" max="31" width="29.26953125" style="69" customWidth="1"/>
    <col min="32" max="16384" width="9.26953125" style="69"/>
  </cols>
  <sheetData>
    <row r="2" spans="1:28">
      <c r="C2" s="70" t="str">
        <f>IF(MaGic_AVM_Land!C2="Sale Declaration","Y","N")</f>
        <v>N</v>
      </c>
      <c r="D2" s="70" t="str">
        <f>IF(MaGic_AVM_Land!D2="Sale Declaration","Y","N")</f>
        <v>N</v>
      </c>
      <c r="E2" s="70" t="str">
        <f>IF(MaGic_AVM_Land!E2="Sale Declaration","Y","N")</f>
        <v>N</v>
      </c>
      <c r="F2" s="70" t="str">
        <f>IF(MaGic_AVM_Land!F2="Sale Declaration","Y","N")</f>
        <v>N</v>
      </c>
      <c r="G2" s="70" t="str">
        <f>IF(MaGic_AVM_Land!G2="Sale Declaration","Y","N")</f>
        <v>N</v>
      </c>
      <c r="H2" s="70" t="str">
        <f>IF(MaGic_AVM_Land!H2="Sale Declaration","Y","N")</f>
        <v>N</v>
      </c>
      <c r="I2" s="70" t="str">
        <f>IF(MaGic_AVM_Land!I2="Sale Declaration","Y","N")</f>
        <v>N</v>
      </c>
      <c r="J2" s="70" t="str">
        <f>IF(MaGic_AVM_Land!J2="Sale Declaration","Y","N")</f>
        <v>N</v>
      </c>
      <c r="K2" s="70" t="str">
        <f>IF(MaGic_AVM_Land!K2="Sale Declaration","Y","N")</f>
        <v>N</v>
      </c>
      <c r="L2" s="70" t="str">
        <f>IF(MaGic_AVM_Land!L2="Sale Declaration","Y","N")</f>
        <v>N</v>
      </c>
      <c r="M2" s="70" t="str">
        <f>IF(MaGic_AVM_Land!M2="Sale Declaration","Y","N")</f>
        <v>N</v>
      </c>
      <c r="N2" s="70" t="str">
        <f>IF(MaGic_AVM_Land!N2="Sale Declaration","Y","N")</f>
        <v>N</v>
      </c>
      <c r="O2" s="70" t="str">
        <f>IF(MaGic_AVM_Land!O2="Sale Declaration","Y","N")</f>
        <v>N</v>
      </c>
      <c r="P2" s="70" t="str">
        <f>IF(MaGic_AVM_Land!P2="Sale Declaration","Y","N")</f>
        <v>N</v>
      </c>
      <c r="Q2" s="70" t="str">
        <f>IF(MaGic_AVM_Land!Q2="Sale Declaration","Y","N")</f>
        <v>N</v>
      </c>
      <c r="R2" s="70" t="str">
        <f>IF(MaGic_AVM_Land!R2="Sale Declaration","Y","N")</f>
        <v>N</v>
      </c>
      <c r="S2" s="70" t="str">
        <f>IF(MaGic_AVM_Land!S2="Sale Declaration","Y","N")</f>
        <v>N</v>
      </c>
      <c r="T2" s="70" t="str">
        <f>IF(MaGic_AVM_Land!T2="Sale Declaration","Y","N")</f>
        <v>N</v>
      </c>
      <c r="U2" s="70" t="str">
        <f>IF(MaGic_AVM_Land!U2="Sale Declaration","Y","N")</f>
        <v>N</v>
      </c>
      <c r="V2" s="70" t="str">
        <f>IF(MaGic_AVM_Land!V2="Sale Declaration","Y","N")</f>
        <v>N</v>
      </c>
      <c r="W2" s="70" t="str">
        <f>IF(MaGic_AVM_Land!W2="Sale Declaration","Y","N")</f>
        <v>N</v>
      </c>
      <c r="X2" s="70" t="str">
        <f>IF(MaGic_AVM_Land!X2="Sale Declaration","Y","N")</f>
        <v>N</v>
      </c>
      <c r="Y2" s="70" t="str">
        <f>IF(MaGic_AVM_Land!Y2="Sale Declaration","Y","N")</f>
        <v>N</v>
      </c>
      <c r="Z2" s="70" t="str">
        <f>IF(MaGic_AVM_Land!Z2="Sale Declaration","Y","N")</f>
        <v>N</v>
      </c>
      <c r="AA2" s="69">
        <f>COUNTIF(C2:Z2,"Y")</f>
        <v>0</v>
      </c>
      <c r="AB2" s="69" t="str" cm="1">
        <f t="array" ref="AB2">_xlfn.UNIQUE(C2:Z2,TRUE,FALSE)</f>
        <v>N</v>
      </c>
    </row>
    <row r="3" spans="1:28">
      <c r="A3" s="69">
        <v>1</v>
      </c>
      <c r="B3" s="69" t="s">
        <v>48</v>
      </c>
      <c r="C3" s="70" t="str">
        <f>IF(C$2="Y",IF(MaGic_AVM_Land!C3=0,"",MaGic_AVM_Land!C3),"")</f>
        <v/>
      </c>
      <c r="D3" s="70" t="str">
        <f>IF(D$2="Y",IF(MaGic_AVM_Land!D3=0,"",MaGic_AVM_Land!D3),"")</f>
        <v/>
      </c>
      <c r="E3" s="70" t="str">
        <f>IF(E$2="Y",IF(MaGic_AVM_Land!E3=0,"",MaGic_AVM_Land!E3),"")</f>
        <v/>
      </c>
      <c r="F3" s="70" t="str">
        <f>IF(F$2="Y",IF(MaGic_AVM_Land!F3=0,"",MaGic_AVM_Land!F3),"")</f>
        <v/>
      </c>
      <c r="G3" s="70" t="str">
        <f>IF(G$2="Y",IF(MaGic_AVM_Land!G3=0,"",MaGic_AVM_Land!G3),"")</f>
        <v/>
      </c>
      <c r="H3" s="70" t="str">
        <f>IF(H$2="Y",IF(MaGic_AVM_Land!H3=0,"",MaGic_AVM_Land!H3),"")</f>
        <v/>
      </c>
      <c r="I3" s="70" t="str">
        <f>IF(I$2="Y",IF(MaGic_AVM_Land!I3=0,"",MaGic_AVM_Land!I3),"")</f>
        <v/>
      </c>
      <c r="J3" s="70" t="str">
        <f>IF(J$2="Y",IF(MaGic_AVM_Land!J3=0,"",MaGic_AVM_Land!J3),"")</f>
        <v/>
      </c>
      <c r="K3" s="70" t="str">
        <f>IF(K$2="Y",IF(MaGic_AVM_Land!K3=0,"",MaGic_AVM_Land!K3),"")</f>
        <v/>
      </c>
      <c r="L3" s="70" t="str">
        <f>IF(L$2="Y",IF(MaGic_AVM_Land!L3=0,"",MaGic_AVM_Land!L3),"")</f>
        <v/>
      </c>
      <c r="M3" s="70" t="str">
        <f>IF(M$2="Y",IF(MaGic_AVM_Land!M3=0,"",MaGic_AVM_Land!M3),"")</f>
        <v/>
      </c>
      <c r="N3" s="70" t="str">
        <f>IF(N$2="Y",IF(MaGic_AVM_Land!N3=0,"",MaGic_AVM_Land!N3),"")</f>
        <v/>
      </c>
      <c r="O3" s="70" t="str">
        <f>IF(O$2="Y",IF(MaGic_AVM_Land!O3=0,"",MaGic_AVM_Land!O3),"")</f>
        <v/>
      </c>
      <c r="P3" s="70" t="str">
        <f>IF(P$2="Y",IF(MaGic_AVM_Land!P3=0,"",MaGic_AVM_Land!P3),"")</f>
        <v/>
      </c>
      <c r="Q3" s="70" t="str">
        <f>IF(Q$2="Y",IF(MaGic_AVM_Land!Q3=0,"",MaGic_AVM_Land!Q3),"")</f>
        <v/>
      </c>
      <c r="R3" s="70" t="str">
        <f>IF(R$2="Y",IF(MaGic_AVM_Land!R3=0,"",MaGic_AVM_Land!R3),"")</f>
        <v/>
      </c>
      <c r="S3" s="70" t="str">
        <f>IF(S$2="Y",IF(MaGic_AVM_Land!S3=0,"",MaGic_AVM_Land!S3),"")</f>
        <v/>
      </c>
      <c r="T3" s="70" t="str">
        <f>IF(T$2="Y",IF(MaGic_AVM_Land!T3=0,"",MaGic_AVM_Land!T3),"")</f>
        <v/>
      </c>
      <c r="U3" s="70" t="str">
        <f>IF(U$2="Y",IF(MaGic_AVM_Land!U3=0,"",MaGic_AVM_Land!U3),"")</f>
        <v/>
      </c>
      <c r="V3" s="70" t="str">
        <f>IF(V$2="Y",IF(MaGic_AVM_Land!V3=0,"",MaGic_AVM_Land!V3),"")</f>
        <v/>
      </c>
      <c r="W3" s="70" t="str">
        <f>IF(W$2="Y",IF(MaGic_AVM_Land!W3=0,"",MaGic_AVM_Land!W3),"")</f>
        <v/>
      </c>
      <c r="X3" s="70" t="str">
        <f>IF(X$2="Y",IF(MaGic_AVM_Land!X3=0,"",MaGic_AVM_Land!X3),"")</f>
        <v/>
      </c>
      <c r="Y3" s="70" t="str">
        <f>IF(Y$2="Y",IF(MaGic_AVM_Land!Y3=0,"",MaGic_AVM_Land!Y3),"")</f>
        <v/>
      </c>
      <c r="Z3" s="70" t="str">
        <f>IF(Z$2="Y",IF(MaGic_AVM_Land!Z3=0,"",MaGic_AVM_Land!Z3),"")</f>
        <v/>
      </c>
      <c r="AA3" s="69" t="str">
        <f t="shared" ref="AA3:AA7" si="0">_xlfn.TEXTJOIN(", ",TRUE,AB3:AZ3)</f>
        <v/>
      </c>
      <c r="AB3" s="69" t="str" cm="1">
        <f t="array" ref="AB3">_xlfn.UNIQUE(C3:Z3,TRUE,FALSE)</f>
        <v/>
      </c>
    </row>
    <row r="4" spans="1:28">
      <c r="A4" s="69">
        <v>2</v>
      </c>
      <c r="B4" s="69" t="s">
        <v>51</v>
      </c>
      <c r="C4" s="70" t="str">
        <f>IF(C$2="Y",IF(MaGic_AVM_Land!C4=0,"",MaGic_AVM_Land!C4),"")</f>
        <v/>
      </c>
      <c r="D4" s="70" t="str">
        <f>IF(D$2="Y",IF(MaGic_AVM_Land!D4=0,"",MaGic_AVM_Land!D4),"")</f>
        <v/>
      </c>
      <c r="E4" s="70" t="str">
        <f>IF(E$2="Y",IF(MaGic_AVM_Land!E4=0,"",MaGic_AVM_Land!E4),"")</f>
        <v/>
      </c>
      <c r="F4" s="70" t="str">
        <f>IF(F$2="Y",IF(MaGic_AVM_Land!F4=0,"",MaGic_AVM_Land!F4),"")</f>
        <v/>
      </c>
      <c r="G4" s="70" t="str">
        <f>IF(G$2="Y",IF(MaGic_AVM_Land!G4=0,"",MaGic_AVM_Land!G4),"")</f>
        <v/>
      </c>
      <c r="H4" s="70" t="str">
        <f>IF(H$2="Y",IF(MaGic_AVM_Land!H4=0,"",MaGic_AVM_Land!H4),"")</f>
        <v/>
      </c>
      <c r="I4" s="70" t="str">
        <f>IF(I$2="Y",IF(MaGic_AVM_Land!I4=0,"",MaGic_AVM_Land!I4),"")</f>
        <v/>
      </c>
      <c r="J4" s="70" t="str">
        <f>IF(J$2="Y",IF(MaGic_AVM_Land!J4=0,"",MaGic_AVM_Land!J4),"")</f>
        <v/>
      </c>
      <c r="K4" s="70" t="str">
        <f>IF(K$2="Y",IF(MaGic_AVM_Land!K4=0,"",MaGic_AVM_Land!K4),"")</f>
        <v/>
      </c>
      <c r="L4" s="70" t="str">
        <f>IF(L$2="Y",IF(MaGic_AVM_Land!L4=0,"",MaGic_AVM_Land!L4),"")</f>
        <v/>
      </c>
      <c r="M4" s="70" t="str">
        <f>IF(M$2="Y",IF(MaGic_AVM_Land!M4=0,"",MaGic_AVM_Land!M4),"")</f>
        <v/>
      </c>
      <c r="N4" s="70" t="str">
        <f>IF(N$2="Y",IF(MaGic_AVM_Land!N4=0,"",MaGic_AVM_Land!N4),"")</f>
        <v/>
      </c>
      <c r="O4" s="70" t="str">
        <f>IF(O$2="Y",IF(MaGic_AVM_Land!O4=0,"",MaGic_AVM_Land!O4),"")</f>
        <v/>
      </c>
      <c r="P4" s="70" t="str">
        <f>IF(P$2="Y",IF(MaGic_AVM_Land!P4=0,"",MaGic_AVM_Land!P4),"")</f>
        <v/>
      </c>
      <c r="Q4" s="70" t="str">
        <f>IF(Q$2="Y",IF(MaGic_AVM_Land!Q4=0,"",MaGic_AVM_Land!Q4),"")</f>
        <v/>
      </c>
      <c r="R4" s="70" t="str">
        <f>IF(R$2="Y",IF(MaGic_AVM_Land!R4=0,"",MaGic_AVM_Land!R4),"")</f>
        <v/>
      </c>
      <c r="S4" s="70" t="str">
        <f>IF(S$2="Y",IF(MaGic_AVM_Land!S4=0,"",MaGic_AVM_Land!S4),"")</f>
        <v/>
      </c>
      <c r="T4" s="70" t="str">
        <f>IF(T$2="Y",IF(MaGic_AVM_Land!T4=0,"",MaGic_AVM_Land!T4),"")</f>
        <v/>
      </c>
      <c r="U4" s="70" t="str">
        <f>IF(U$2="Y",IF(MaGic_AVM_Land!U4=0,"",MaGic_AVM_Land!U4),"")</f>
        <v/>
      </c>
      <c r="V4" s="70" t="str">
        <f>IF(V$2="Y",IF(MaGic_AVM_Land!V4=0,"",MaGic_AVM_Land!V4),"")</f>
        <v/>
      </c>
      <c r="W4" s="70" t="str">
        <f>IF(W$2="Y",IF(MaGic_AVM_Land!W4=0,"",MaGic_AVM_Land!W4),"")</f>
        <v/>
      </c>
      <c r="X4" s="70" t="str">
        <f>IF(X$2="Y",IF(MaGic_AVM_Land!X4=0,"",MaGic_AVM_Land!X4),"")</f>
        <v/>
      </c>
      <c r="Y4" s="70" t="str">
        <f>IF(Y$2="Y",IF(MaGic_AVM_Land!Y4=0,"",MaGic_AVM_Land!Y4),"")</f>
        <v/>
      </c>
      <c r="Z4" s="70" t="str">
        <f>IF(Z$2="Y",IF(MaGic_AVM_Land!Z4=0,"",MaGic_AVM_Land!Z4),"")</f>
        <v/>
      </c>
      <c r="AA4" s="69" t="str">
        <f t="shared" si="0"/>
        <v/>
      </c>
      <c r="AB4" s="69" t="str" cm="1">
        <f t="array" ref="AB4">_xlfn.UNIQUE(C4:Z4,TRUE,FALSE)</f>
        <v/>
      </c>
    </row>
    <row r="5" spans="1:28">
      <c r="A5" s="69">
        <v>3</v>
      </c>
      <c r="B5" s="69" t="s">
        <v>52</v>
      </c>
      <c r="C5" s="70" t="str">
        <f>IF(C$2="Y",IF(MaGic_AVM_Land!C5=0,"",MaGic_AVM_Land!C5),"")</f>
        <v/>
      </c>
      <c r="D5" s="70" t="str">
        <f>IF(D$2="Y",IF(MaGic_AVM_Land!D5=0,"",MaGic_AVM_Land!D5),"")</f>
        <v/>
      </c>
      <c r="E5" s="70" t="str">
        <f>IF(E$2="Y",IF(MaGic_AVM_Land!E5=0,"",MaGic_AVM_Land!E5),"")</f>
        <v/>
      </c>
      <c r="F5" s="70" t="str">
        <f>IF(F$2="Y",IF(MaGic_AVM_Land!F5=0,"",MaGic_AVM_Land!F5),"")</f>
        <v/>
      </c>
      <c r="G5" s="70" t="str">
        <f>IF(G$2="Y",IF(MaGic_AVM_Land!G5=0,"",MaGic_AVM_Land!G5),"")</f>
        <v/>
      </c>
      <c r="H5" s="70" t="str">
        <f>IF(H$2="Y",IF(MaGic_AVM_Land!H5=0,"",MaGic_AVM_Land!H5),"")</f>
        <v/>
      </c>
      <c r="I5" s="70" t="str">
        <f>IF(I$2="Y",IF(MaGic_AVM_Land!I5=0,"",MaGic_AVM_Land!I5),"")</f>
        <v/>
      </c>
      <c r="J5" s="70" t="str">
        <f>IF(J$2="Y",IF(MaGic_AVM_Land!J5=0,"",MaGic_AVM_Land!J5),"")</f>
        <v/>
      </c>
      <c r="K5" s="70" t="str">
        <f>IF(K$2="Y",IF(MaGic_AVM_Land!K5=0,"",MaGic_AVM_Land!K5),"")</f>
        <v/>
      </c>
      <c r="L5" s="70" t="str">
        <f>IF(L$2="Y",IF(MaGic_AVM_Land!L5=0,"",MaGic_AVM_Land!L5),"")</f>
        <v/>
      </c>
      <c r="M5" s="70" t="str">
        <f>IF(M$2="Y",IF(MaGic_AVM_Land!M5=0,"",MaGic_AVM_Land!M5),"")</f>
        <v/>
      </c>
      <c r="N5" s="70" t="str">
        <f>IF(N$2="Y",IF(MaGic_AVM_Land!N5=0,"",MaGic_AVM_Land!N5),"")</f>
        <v/>
      </c>
      <c r="O5" s="70" t="str">
        <f>IF(O$2="Y",IF(MaGic_AVM_Land!O5=0,"",MaGic_AVM_Land!O5),"")</f>
        <v/>
      </c>
      <c r="P5" s="70" t="str">
        <f>IF(P$2="Y",IF(MaGic_AVM_Land!P5=0,"",MaGic_AVM_Land!P5),"")</f>
        <v/>
      </c>
      <c r="Q5" s="70" t="str">
        <f>IF(Q$2="Y",IF(MaGic_AVM_Land!Q5=0,"",MaGic_AVM_Land!Q5),"")</f>
        <v/>
      </c>
      <c r="R5" s="70" t="str">
        <f>IF(R$2="Y",IF(MaGic_AVM_Land!R5=0,"",MaGic_AVM_Land!R5),"")</f>
        <v/>
      </c>
      <c r="S5" s="70" t="str">
        <f>IF(S$2="Y",IF(MaGic_AVM_Land!S5=0,"",MaGic_AVM_Land!S5),"")</f>
        <v/>
      </c>
      <c r="T5" s="70" t="str">
        <f>IF(T$2="Y",IF(MaGic_AVM_Land!T5=0,"",MaGic_AVM_Land!T5),"")</f>
        <v/>
      </c>
      <c r="U5" s="70" t="str">
        <f>IF(U$2="Y",IF(MaGic_AVM_Land!U5=0,"",MaGic_AVM_Land!U5),"")</f>
        <v/>
      </c>
      <c r="V5" s="70" t="str">
        <f>IF(V$2="Y",IF(MaGic_AVM_Land!V5=0,"",MaGic_AVM_Land!V5),"")</f>
        <v/>
      </c>
      <c r="W5" s="70" t="str">
        <f>IF(W$2="Y",IF(MaGic_AVM_Land!W5=0,"",MaGic_AVM_Land!W5),"")</f>
        <v/>
      </c>
      <c r="X5" s="70" t="str">
        <f>IF(X$2="Y",IF(MaGic_AVM_Land!X5=0,"",MaGic_AVM_Land!X5),"")</f>
        <v/>
      </c>
      <c r="Y5" s="70" t="str">
        <f>IF(Y$2="Y",IF(MaGic_AVM_Land!Y5=0,"",MaGic_AVM_Land!Y5),"")</f>
        <v/>
      </c>
      <c r="Z5" s="70" t="str">
        <f>IF(Z$2="Y",IF(MaGic_AVM_Land!Z5=0,"",MaGic_AVM_Land!Z5),"")</f>
        <v/>
      </c>
      <c r="AA5" s="69" t="str">
        <f t="shared" si="0"/>
        <v/>
      </c>
      <c r="AB5" s="69" t="str" cm="1">
        <f t="array" ref="AB5">_xlfn.UNIQUE(C5:Z5,TRUE,FALSE)</f>
        <v/>
      </c>
    </row>
    <row r="6" spans="1:28">
      <c r="A6" s="69">
        <v>4</v>
      </c>
      <c r="B6" s="69" t="s">
        <v>1101</v>
      </c>
      <c r="C6" s="70" t="str">
        <f>IF(C$2="Y",IF(MaGic_AVM_Land!C6=0,"",MaGic_AVM_Land!C6),"")</f>
        <v/>
      </c>
      <c r="D6" s="70" t="str">
        <f>IF(D$2="Y",IF(MaGic_AVM_Land!D6=0,"",MaGic_AVM_Land!D6),"")</f>
        <v/>
      </c>
      <c r="E6" s="70" t="str">
        <f>IF(E$2="Y",IF(MaGic_AVM_Land!E6=0,"",MaGic_AVM_Land!E6),"")</f>
        <v/>
      </c>
      <c r="F6" s="70" t="str">
        <f>IF(F$2="Y",IF(MaGic_AVM_Land!F6=0,"",MaGic_AVM_Land!F6),"")</f>
        <v/>
      </c>
      <c r="G6" s="70" t="str">
        <f>IF(G$2="Y",IF(MaGic_AVM_Land!G6=0,"",MaGic_AVM_Land!G6),"")</f>
        <v/>
      </c>
      <c r="H6" s="70" t="str">
        <f>IF(H$2="Y",IF(MaGic_AVM_Land!H6=0,"",MaGic_AVM_Land!H6),"")</f>
        <v/>
      </c>
      <c r="I6" s="70" t="str">
        <f>IF(I$2="Y",IF(MaGic_AVM_Land!I6=0,"",MaGic_AVM_Land!I6),"")</f>
        <v/>
      </c>
      <c r="J6" s="70" t="str">
        <f>IF(J$2="Y",IF(MaGic_AVM_Land!J6=0,"",MaGic_AVM_Land!J6),"")</f>
        <v/>
      </c>
      <c r="K6" s="70" t="str">
        <f>IF(K$2="Y",IF(MaGic_AVM_Land!K6=0,"",MaGic_AVM_Land!K6),"")</f>
        <v/>
      </c>
      <c r="L6" s="70" t="str">
        <f>IF(L$2="Y",IF(MaGic_AVM_Land!L6=0,"",MaGic_AVM_Land!L6),"")</f>
        <v/>
      </c>
      <c r="M6" s="70" t="str">
        <f>IF(M$2="Y",IF(MaGic_AVM_Land!M6=0,"",MaGic_AVM_Land!M6),"")</f>
        <v/>
      </c>
      <c r="N6" s="70" t="str">
        <f>IF(N$2="Y",IF(MaGic_AVM_Land!N6=0,"",MaGic_AVM_Land!N6),"")</f>
        <v/>
      </c>
      <c r="O6" s="70" t="str">
        <f>IF(O$2="Y",IF(MaGic_AVM_Land!O6=0,"",MaGic_AVM_Land!O6),"")</f>
        <v/>
      </c>
      <c r="P6" s="70" t="str">
        <f>IF(P$2="Y",IF(MaGic_AVM_Land!P6=0,"",MaGic_AVM_Land!P6),"")</f>
        <v/>
      </c>
      <c r="Q6" s="70" t="str">
        <f>IF(Q$2="Y",IF(MaGic_AVM_Land!Q6=0,"",MaGic_AVM_Land!Q6),"")</f>
        <v/>
      </c>
      <c r="R6" s="70" t="str">
        <f>IF(R$2="Y",IF(MaGic_AVM_Land!R6=0,"",MaGic_AVM_Land!R6),"")</f>
        <v/>
      </c>
      <c r="S6" s="70" t="str">
        <f>IF(S$2="Y",IF(MaGic_AVM_Land!S6=0,"",MaGic_AVM_Land!S6),"")</f>
        <v/>
      </c>
      <c r="T6" s="70" t="str">
        <f>IF(T$2="Y",IF(MaGic_AVM_Land!T6=0,"",MaGic_AVM_Land!T6),"")</f>
        <v/>
      </c>
      <c r="U6" s="70" t="str">
        <f>IF(U$2="Y",IF(MaGic_AVM_Land!U6=0,"",MaGic_AVM_Land!U6),"")</f>
        <v/>
      </c>
      <c r="V6" s="70" t="str">
        <f>IF(V$2="Y",IF(MaGic_AVM_Land!V6=0,"",MaGic_AVM_Land!V6),"")</f>
        <v/>
      </c>
      <c r="W6" s="70" t="str">
        <f>IF(W$2="Y",IF(MaGic_AVM_Land!W6=0,"",MaGic_AVM_Land!W6),"")</f>
        <v/>
      </c>
      <c r="X6" s="70" t="str">
        <f>IF(X$2="Y",IF(MaGic_AVM_Land!X6=0,"",MaGic_AVM_Land!X6),"")</f>
        <v/>
      </c>
      <c r="Y6" s="70" t="str">
        <f>IF(Y$2="Y",IF(MaGic_AVM_Land!Y6=0,"",MaGic_AVM_Land!Y6),"")</f>
        <v/>
      </c>
      <c r="Z6" s="70" t="str">
        <f>IF(Z$2="Y",IF(MaGic_AVM_Land!Z6=0,"",MaGic_AVM_Land!Z6),"")</f>
        <v/>
      </c>
      <c r="AA6" s="69" t="str">
        <f t="shared" si="0"/>
        <v/>
      </c>
      <c r="AB6" s="69" t="str" cm="1">
        <f t="array" ref="AB6">_xlfn.UNIQUE(C6:Z6,TRUE,FALSE)</f>
        <v/>
      </c>
    </row>
    <row r="7" spans="1:28">
      <c r="A7" s="69">
        <v>5</v>
      </c>
      <c r="B7" s="69" t="s">
        <v>1102</v>
      </c>
      <c r="C7" s="70" t="str">
        <f>IF(C$2="Y",IF(MaGic_AVM_Land!C7=0,"",MaGic_AVM_Land!C7),"")</f>
        <v/>
      </c>
      <c r="D7" s="70" t="str">
        <f>IF(D$2="Y",IF(MaGic_AVM_Land!D7=0,"",MaGic_AVM_Land!D7),"")</f>
        <v/>
      </c>
      <c r="E7" s="70" t="str">
        <f>IF(E$2="Y",IF(MaGic_AVM_Land!E7=0,"",MaGic_AVM_Land!E7),"")</f>
        <v/>
      </c>
      <c r="F7" s="70" t="str">
        <f>IF(F$2="Y",IF(MaGic_AVM_Land!F7=0,"",MaGic_AVM_Land!F7),"")</f>
        <v/>
      </c>
      <c r="G7" s="70" t="str">
        <f>IF(G$2="Y",IF(MaGic_AVM_Land!G7=0,"",MaGic_AVM_Land!G7),"")</f>
        <v/>
      </c>
      <c r="H7" s="70" t="str">
        <f>IF(H$2="Y",IF(MaGic_AVM_Land!H7=0,"",MaGic_AVM_Land!H7),"")</f>
        <v/>
      </c>
      <c r="I7" s="70" t="str">
        <f>IF(I$2="Y",IF(MaGic_AVM_Land!I7=0,"",MaGic_AVM_Land!I7),"")</f>
        <v/>
      </c>
      <c r="J7" s="70" t="str">
        <f>IF(J$2="Y",IF(MaGic_AVM_Land!J7=0,"",MaGic_AVM_Land!J7),"")</f>
        <v/>
      </c>
      <c r="K7" s="70" t="str">
        <f>IF(K$2="Y",IF(MaGic_AVM_Land!K7=0,"",MaGic_AVM_Land!K7),"")</f>
        <v/>
      </c>
      <c r="L7" s="70" t="str">
        <f>IF(L$2="Y",IF(MaGic_AVM_Land!L7=0,"",MaGic_AVM_Land!L7),"")</f>
        <v/>
      </c>
      <c r="M7" s="70" t="str">
        <f>IF(M$2="Y",IF(MaGic_AVM_Land!M7=0,"",MaGic_AVM_Land!M7),"")</f>
        <v/>
      </c>
      <c r="N7" s="70" t="str">
        <f>IF(N$2="Y",IF(MaGic_AVM_Land!N7=0,"",MaGic_AVM_Land!N7),"")</f>
        <v/>
      </c>
      <c r="O7" s="70" t="str">
        <f>IF(O$2="Y",IF(MaGic_AVM_Land!O7=0,"",MaGic_AVM_Land!O7),"")</f>
        <v/>
      </c>
      <c r="P7" s="70" t="str">
        <f>IF(P$2="Y",IF(MaGic_AVM_Land!P7=0,"",MaGic_AVM_Land!P7),"")</f>
        <v/>
      </c>
      <c r="Q7" s="70" t="str">
        <f>IF(Q$2="Y",IF(MaGic_AVM_Land!Q7=0,"",MaGic_AVM_Land!Q7),"")</f>
        <v/>
      </c>
      <c r="R7" s="70" t="str">
        <f>IF(R$2="Y",IF(MaGic_AVM_Land!R7=0,"",MaGic_AVM_Land!R7),"")</f>
        <v/>
      </c>
      <c r="S7" s="70" t="str">
        <f>IF(S$2="Y",IF(MaGic_AVM_Land!S7=0,"",MaGic_AVM_Land!S7),"")</f>
        <v/>
      </c>
      <c r="T7" s="70" t="str">
        <f>IF(T$2="Y",IF(MaGic_AVM_Land!T7=0,"",MaGic_AVM_Land!T7),"")</f>
        <v/>
      </c>
      <c r="U7" s="70" t="str">
        <f>IF(U$2="Y",IF(MaGic_AVM_Land!U7=0,"",MaGic_AVM_Land!U7),"")</f>
        <v/>
      </c>
      <c r="V7" s="70" t="str">
        <f>IF(V$2="Y",IF(MaGic_AVM_Land!V7=0,"",MaGic_AVM_Land!V7),"")</f>
        <v/>
      </c>
      <c r="W7" s="70" t="str">
        <f>IF(W$2="Y",IF(MaGic_AVM_Land!W7=0,"",MaGic_AVM_Land!W7),"")</f>
        <v/>
      </c>
      <c r="X7" s="70" t="str">
        <f>IF(X$2="Y",IF(MaGic_AVM_Land!X7=0,"",MaGic_AVM_Land!X7),"")</f>
        <v/>
      </c>
      <c r="Y7" s="70" t="str">
        <f>IF(Y$2="Y",IF(MaGic_AVM_Land!Y7=0,"",MaGic_AVM_Land!Y7),"")</f>
        <v/>
      </c>
      <c r="Z7" s="70" t="str">
        <f>IF(Z$2="Y",IF(MaGic_AVM_Land!Z7=0,"",MaGic_AVM_Land!Z7),"")</f>
        <v/>
      </c>
      <c r="AA7" s="69" t="str">
        <f t="shared" si="0"/>
        <v/>
      </c>
      <c r="AB7" s="69" t="str" cm="1">
        <f t="array" ref="AB7">_xlfn.UNIQUE(C7:Z7,TRUE,FALSE)</f>
        <v/>
      </c>
    </row>
    <row r="8" spans="1:28">
      <c r="A8" s="69">
        <v>6</v>
      </c>
      <c r="B8" s="69" t="s">
        <v>31</v>
      </c>
      <c r="C8" s="70" t="str">
        <f>IF(C$2="Y",IF(MaGic_AVM_Land!C8=0,"",MaGic_AVM_Land!C8),"")</f>
        <v/>
      </c>
      <c r="D8" s="70" t="str">
        <f>IF(D$2="Y",IF(MaGic_AVM_Land!D8=0,"",MaGic_AVM_Land!D8),"")</f>
        <v/>
      </c>
      <c r="E8" s="70" t="str">
        <f>IF(E$2="Y",IF(MaGic_AVM_Land!E8=0,"",MaGic_AVM_Land!E8),"")</f>
        <v/>
      </c>
      <c r="F8" s="70" t="str">
        <f>IF(F$2="Y",IF(MaGic_AVM_Land!F8=0,"",MaGic_AVM_Land!F8),"")</f>
        <v/>
      </c>
      <c r="G8" s="70" t="str">
        <f>IF(G$2="Y",IF(MaGic_AVM_Land!G8=0,"",MaGic_AVM_Land!G8),"")</f>
        <v/>
      </c>
      <c r="H8" s="70" t="str">
        <f>IF(H$2="Y",IF(MaGic_AVM_Land!H8=0,"",MaGic_AVM_Land!H8),"")</f>
        <v/>
      </c>
      <c r="I8" s="70" t="str">
        <f>IF(I$2="Y",IF(MaGic_AVM_Land!I8=0,"",MaGic_AVM_Land!I8),"")</f>
        <v/>
      </c>
      <c r="J8" s="70" t="str">
        <f>IF(J$2="Y",IF(MaGic_AVM_Land!J8=0,"",MaGic_AVM_Land!J8),"")</f>
        <v/>
      </c>
      <c r="K8" s="70" t="str">
        <f>IF(K$2="Y",IF(MaGic_AVM_Land!K8=0,"",MaGic_AVM_Land!K8),"")</f>
        <v/>
      </c>
      <c r="L8" s="70" t="str">
        <f>IF(L$2="Y",IF(MaGic_AVM_Land!L8=0,"",MaGic_AVM_Land!L8),"")</f>
        <v/>
      </c>
      <c r="M8" s="70" t="str">
        <f>IF(M$2="Y",IF(MaGic_AVM_Land!M8=0,"",MaGic_AVM_Land!M8),"")</f>
        <v/>
      </c>
      <c r="N8" s="70" t="str">
        <f>IF(N$2="Y",IF(MaGic_AVM_Land!N8=0,"",MaGic_AVM_Land!N8),"")</f>
        <v/>
      </c>
      <c r="O8" s="70" t="str">
        <f>IF(O$2="Y",IF(MaGic_AVM_Land!O8=0,"",MaGic_AVM_Land!O8),"")</f>
        <v/>
      </c>
      <c r="P8" s="70" t="str">
        <f>IF(P$2="Y",IF(MaGic_AVM_Land!P8=0,"",MaGic_AVM_Land!P8),"")</f>
        <v/>
      </c>
      <c r="Q8" s="70" t="str">
        <f>IF(Q$2="Y",IF(MaGic_AVM_Land!Q8=0,"",MaGic_AVM_Land!Q8),"")</f>
        <v/>
      </c>
      <c r="R8" s="70" t="str">
        <f>IF(R$2="Y",IF(MaGic_AVM_Land!R8=0,"",MaGic_AVM_Land!R8),"")</f>
        <v/>
      </c>
      <c r="S8" s="70" t="str">
        <f>IF(S$2="Y",IF(MaGic_AVM_Land!S8=0,"",MaGic_AVM_Land!S8),"")</f>
        <v/>
      </c>
      <c r="T8" s="70" t="str">
        <f>IF(T$2="Y",IF(MaGic_AVM_Land!T8=0,"",MaGic_AVM_Land!T8),"")</f>
        <v/>
      </c>
      <c r="U8" s="70" t="str">
        <f>IF(U$2="Y",IF(MaGic_AVM_Land!U8=0,"",MaGic_AVM_Land!U8),"")</f>
        <v/>
      </c>
      <c r="V8" s="70" t="str">
        <f>IF(V$2="Y",IF(MaGic_AVM_Land!V8=0,"",MaGic_AVM_Land!V8),"")</f>
        <v/>
      </c>
      <c r="W8" s="70" t="str">
        <f>IF(W$2="Y",IF(MaGic_AVM_Land!W8=0,"",MaGic_AVM_Land!W8),"")</f>
        <v/>
      </c>
      <c r="X8" s="70" t="str">
        <f>IF(X$2="Y",IF(MaGic_AVM_Land!X8=0,"",MaGic_AVM_Land!X8),"")</f>
        <v/>
      </c>
      <c r="Y8" s="70" t="str">
        <f>IF(Y$2="Y",IF(MaGic_AVM_Land!Y8=0,"",MaGic_AVM_Land!Y8),"")</f>
        <v/>
      </c>
      <c r="Z8" s="70" t="str">
        <f>IF(Z$2="Y",IF(MaGic_AVM_Land!Z8=0,"",MaGic_AVM_Land!Z8),"")</f>
        <v/>
      </c>
      <c r="AA8" s="69" t="str">
        <f>CONCATENATE(IF(AB8="",AC8,AB8)," District")</f>
        <v>District</v>
      </c>
      <c r="AB8" s="69" t="str" cm="1">
        <f t="array" ref="AB8">_xlfn.UNIQUE(C8:Z8,TRUE,FALSE)</f>
        <v/>
      </c>
    </row>
    <row r="9" spans="1:28">
      <c r="A9" s="69">
        <v>7</v>
      </c>
      <c r="B9" s="69" t="s">
        <v>59</v>
      </c>
      <c r="C9" s="70" t="str">
        <f>IF(C$2="Y",IF(MaGic_AVM_Land!C9=0,"",MaGic_AVM_Land!C9),"")</f>
        <v/>
      </c>
      <c r="D9" s="70" t="str">
        <f>IF(D$2="Y",IF(MaGic_AVM_Land!D9=0,"",MaGic_AVM_Land!D9),"")</f>
        <v/>
      </c>
      <c r="E9" s="70" t="str">
        <f>IF(E$2="Y",IF(MaGic_AVM_Land!E9=0,"",MaGic_AVM_Land!E9),"")</f>
        <v/>
      </c>
      <c r="F9" s="70" t="str">
        <f>IF(F$2="Y",IF(MaGic_AVM_Land!F9=0,"",MaGic_AVM_Land!F9),"")</f>
        <v/>
      </c>
      <c r="G9" s="70" t="str">
        <f>IF(G$2="Y",IF(MaGic_AVM_Land!G9=0,"",MaGic_AVM_Land!G9),"")</f>
        <v/>
      </c>
      <c r="H9" s="70" t="str">
        <f>IF(H$2="Y",IF(MaGic_AVM_Land!H9=0,"",MaGic_AVM_Land!H9),"")</f>
        <v/>
      </c>
      <c r="I9" s="70" t="str">
        <f>IF(I$2="Y",IF(MaGic_AVM_Land!I9=0,"",MaGic_AVM_Land!I9),"")</f>
        <v/>
      </c>
      <c r="J9" s="70" t="str">
        <f>IF(J$2="Y",IF(MaGic_AVM_Land!J9=0,"",MaGic_AVM_Land!J9),"")</f>
        <v/>
      </c>
      <c r="K9" s="70" t="str">
        <f>IF(K$2="Y",IF(MaGic_AVM_Land!K9=0,"",MaGic_AVM_Land!K9),"")</f>
        <v/>
      </c>
      <c r="L9" s="70" t="str">
        <f>IF(L$2="Y",IF(MaGic_AVM_Land!L9=0,"",MaGic_AVM_Land!L9),"")</f>
        <v/>
      </c>
      <c r="M9" s="70" t="str">
        <f>IF(M$2="Y",IF(MaGic_AVM_Land!M9=0,"",MaGic_AVM_Land!M9),"")</f>
        <v/>
      </c>
      <c r="N9" s="70" t="str">
        <f>IF(N$2="Y",IF(MaGic_AVM_Land!N9=0,"",MaGic_AVM_Land!N9),"")</f>
        <v/>
      </c>
      <c r="O9" s="70" t="str">
        <f>IF(O$2="Y",IF(MaGic_AVM_Land!O9=0,"",MaGic_AVM_Land!O9),"")</f>
        <v/>
      </c>
      <c r="P9" s="70" t="str">
        <f>IF(P$2="Y",IF(MaGic_AVM_Land!P9=0,"",MaGic_AVM_Land!P9),"")</f>
        <v/>
      </c>
      <c r="Q9" s="70" t="str">
        <f>IF(Q$2="Y",IF(MaGic_AVM_Land!Q9=0,"",MaGic_AVM_Land!Q9),"")</f>
        <v/>
      </c>
      <c r="R9" s="70" t="str">
        <f>IF(R$2="Y",IF(MaGic_AVM_Land!R9=0,"",MaGic_AVM_Land!R9),"")</f>
        <v/>
      </c>
      <c r="S9" s="70" t="str">
        <f>IF(S$2="Y",IF(MaGic_AVM_Land!S9=0,"",MaGic_AVM_Land!S9),"")</f>
        <v/>
      </c>
      <c r="T9" s="70" t="str">
        <f>IF(T$2="Y",IF(MaGic_AVM_Land!T9=0,"",MaGic_AVM_Land!T9),"")</f>
        <v/>
      </c>
      <c r="U9" s="70" t="str">
        <f>IF(U$2="Y",IF(MaGic_AVM_Land!U9=0,"",MaGic_AVM_Land!U9),"")</f>
        <v/>
      </c>
      <c r="V9" s="70" t="str">
        <f>IF(V$2="Y",IF(MaGic_AVM_Land!V9=0,"",MaGic_AVM_Land!V9),"")</f>
        <v/>
      </c>
      <c r="W9" s="70" t="str">
        <f>IF(W$2="Y",IF(MaGic_AVM_Land!W9=0,"",MaGic_AVM_Land!W9),"")</f>
        <v/>
      </c>
      <c r="X9" s="70" t="str">
        <f>IF(X$2="Y",IF(MaGic_AVM_Land!X9=0,"",MaGic_AVM_Land!X9),"")</f>
        <v/>
      </c>
      <c r="Y9" s="70" t="str">
        <f>IF(Y$2="Y",IF(MaGic_AVM_Land!Y9=0,"",MaGic_AVM_Land!Y9),"")</f>
        <v/>
      </c>
      <c r="Z9" s="70" t="str">
        <f>IF(Z$2="Y",IF(MaGic_AVM_Land!Z9=0,"",MaGic_AVM_Land!Z9),"")</f>
        <v/>
      </c>
      <c r="AA9" s="69" t="str">
        <f>CONCATENATE(IF(AB9="",AC9,AB9)," SRO")</f>
        <v>SRO</v>
      </c>
      <c r="AB9" s="69" t="str" cm="1">
        <f t="array" ref="AB9">_xlfn.UNIQUE(C9:Z9,TRUE,FALSE)</f>
        <v/>
      </c>
    </row>
    <row r="10" spans="1:28">
      <c r="A10" s="69">
        <v>8</v>
      </c>
      <c r="B10" s="69" t="s">
        <v>61</v>
      </c>
      <c r="C10" s="70" t="str">
        <f>IF(C$2="Y",IF(MaGic_AVM_Land!C10=0,"",MaGic_AVM_Land!C10),"")</f>
        <v/>
      </c>
      <c r="D10" s="70" t="str">
        <f>IF(D$2="Y",IF(MaGic_AVM_Land!D10=0,"",MaGic_AVM_Land!D10),"")</f>
        <v/>
      </c>
      <c r="E10" s="70" t="str">
        <f>IF(E$2="Y",IF(MaGic_AVM_Land!E10=0,"",MaGic_AVM_Land!E10),"")</f>
        <v/>
      </c>
      <c r="F10" s="70" t="str">
        <f>IF(F$2="Y",IF(MaGic_AVM_Land!F10=0,"",MaGic_AVM_Land!F10),"")</f>
        <v/>
      </c>
      <c r="G10" s="70" t="str">
        <f>IF(G$2="Y",IF(MaGic_AVM_Land!G10=0,"",MaGic_AVM_Land!G10),"")</f>
        <v/>
      </c>
      <c r="H10" s="70" t="str">
        <f>IF(H$2="Y",IF(MaGic_AVM_Land!H10=0,"",MaGic_AVM_Land!H10),"")</f>
        <v/>
      </c>
      <c r="I10" s="70" t="str">
        <f>IF(I$2="Y",IF(MaGic_AVM_Land!I10=0,"",MaGic_AVM_Land!I10),"")</f>
        <v/>
      </c>
      <c r="J10" s="70" t="str">
        <f>IF(J$2="Y",IF(MaGic_AVM_Land!J10=0,"",MaGic_AVM_Land!J10),"")</f>
        <v/>
      </c>
      <c r="K10" s="70" t="str">
        <f>IF(K$2="Y",IF(MaGic_AVM_Land!K10=0,"",MaGic_AVM_Land!K10),"")</f>
        <v/>
      </c>
      <c r="L10" s="70" t="str">
        <f>IF(L$2="Y",IF(MaGic_AVM_Land!L10=0,"",MaGic_AVM_Land!L10),"")</f>
        <v/>
      </c>
      <c r="M10" s="70" t="str">
        <f>IF(M$2="Y",IF(MaGic_AVM_Land!M10=0,"",MaGic_AVM_Land!M10),"")</f>
        <v/>
      </c>
      <c r="N10" s="70" t="str">
        <f>IF(N$2="Y",IF(MaGic_AVM_Land!N10=0,"",MaGic_AVM_Land!N10),"")</f>
        <v/>
      </c>
      <c r="O10" s="70" t="str">
        <f>IF(O$2="Y",IF(MaGic_AVM_Land!O10=0,"",MaGic_AVM_Land!O10),"")</f>
        <v/>
      </c>
      <c r="P10" s="70" t="str">
        <f>IF(P$2="Y",IF(MaGic_AVM_Land!P10=0,"",MaGic_AVM_Land!P10),"")</f>
        <v/>
      </c>
      <c r="Q10" s="70" t="str">
        <f>IF(Q$2="Y",IF(MaGic_AVM_Land!Q10=0,"",MaGic_AVM_Land!Q10),"")</f>
        <v/>
      </c>
      <c r="R10" s="70" t="str">
        <f>IF(R$2="Y",IF(MaGic_AVM_Land!R10=0,"",MaGic_AVM_Land!R10),"")</f>
        <v/>
      </c>
      <c r="S10" s="70" t="str">
        <f>IF(S$2="Y",IF(MaGic_AVM_Land!S10=0,"",MaGic_AVM_Land!S10),"")</f>
        <v/>
      </c>
      <c r="T10" s="70" t="str">
        <f>IF(T$2="Y",IF(MaGic_AVM_Land!T10=0,"",MaGic_AVM_Land!T10),"")</f>
        <v/>
      </c>
      <c r="U10" s="70" t="str">
        <f>IF(U$2="Y",IF(MaGic_AVM_Land!U10=0,"",MaGic_AVM_Land!U10),"")</f>
        <v/>
      </c>
      <c r="V10" s="70" t="str">
        <f>IF(V$2="Y",IF(MaGic_AVM_Land!V10=0,"",MaGic_AVM_Land!V10),"")</f>
        <v/>
      </c>
      <c r="W10" s="70" t="str">
        <f>IF(W$2="Y",IF(MaGic_AVM_Land!W10=0,"",MaGic_AVM_Land!W10),"")</f>
        <v/>
      </c>
      <c r="X10" s="70" t="str">
        <f>IF(X$2="Y",IF(MaGic_AVM_Land!X10=0,"",MaGic_AVM_Land!X10),"")</f>
        <v/>
      </c>
      <c r="Y10" s="70" t="str">
        <f>IF(Y$2="Y",IF(MaGic_AVM_Land!Y10=0,"",MaGic_AVM_Land!Y10),"")</f>
        <v/>
      </c>
      <c r="Z10" s="70" t="str">
        <f>IF(Z$2="Y",IF(MaGic_AVM_Land!Z10=0,"",MaGic_AVM_Land!Z10),"")</f>
        <v/>
      </c>
      <c r="AA10" s="69" t="str">
        <f>CONCATENATE(IF(AB10="",AC10,AB10)," Taluk")</f>
        <v>Taluk</v>
      </c>
      <c r="AB10" s="69" t="str" cm="1">
        <f t="array" ref="AB10">_xlfn.UNIQUE(C10:Z10,TRUE,FALSE)</f>
        <v/>
      </c>
    </row>
    <row r="11" spans="1:28">
      <c r="A11" s="69">
        <v>9</v>
      </c>
      <c r="B11" s="69" t="s">
        <v>63</v>
      </c>
      <c r="C11" s="70" t="str">
        <f>IF(C$2="Y",IF(MaGic_AVM_Land!C11=0,"",MaGic_AVM_Land!C11),"")</f>
        <v/>
      </c>
      <c r="D11" s="70" t="str">
        <f>IF(D$2="Y",IF(MaGic_AVM_Land!D11=0,"",MaGic_AVM_Land!D11),"")</f>
        <v/>
      </c>
      <c r="E11" s="70" t="str">
        <f>IF(E$2="Y",IF(MaGic_AVM_Land!E11=0,"",MaGic_AVM_Land!E11),"")</f>
        <v/>
      </c>
      <c r="F11" s="70" t="str">
        <f>IF(F$2="Y",IF(MaGic_AVM_Land!F11=0,"",MaGic_AVM_Land!F11),"")</f>
        <v/>
      </c>
      <c r="G11" s="70" t="str">
        <f>IF(G$2="Y",IF(MaGic_AVM_Land!G11=0,"",MaGic_AVM_Land!G11),"")</f>
        <v/>
      </c>
      <c r="H11" s="70" t="str">
        <f>IF(H$2="Y",IF(MaGic_AVM_Land!H11=0,"",MaGic_AVM_Land!H11),"")</f>
        <v/>
      </c>
      <c r="I11" s="70" t="str">
        <f>IF(I$2="Y",IF(MaGic_AVM_Land!I11=0,"",MaGic_AVM_Land!I11),"")</f>
        <v/>
      </c>
      <c r="J11" s="70" t="str">
        <f>IF(J$2="Y",IF(MaGic_AVM_Land!J11=0,"",MaGic_AVM_Land!J11),"")</f>
        <v/>
      </c>
      <c r="K11" s="70" t="str">
        <f>IF(K$2="Y",IF(MaGic_AVM_Land!K11=0,"",MaGic_AVM_Land!K11),"")</f>
        <v/>
      </c>
      <c r="L11" s="70" t="str">
        <f>IF(L$2="Y",IF(MaGic_AVM_Land!L11=0,"",MaGic_AVM_Land!L11),"")</f>
        <v/>
      </c>
      <c r="M11" s="70" t="str">
        <f>IF(M$2="Y",IF(MaGic_AVM_Land!M11=0,"",MaGic_AVM_Land!M11),"")</f>
        <v/>
      </c>
      <c r="N11" s="70" t="str">
        <f>IF(N$2="Y",IF(MaGic_AVM_Land!N11=0,"",MaGic_AVM_Land!N11),"")</f>
        <v/>
      </c>
      <c r="O11" s="70" t="str">
        <f>IF(O$2="Y",IF(MaGic_AVM_Land!O11=0,"",MaGic_AVM_Land!O11),"")</f>
        <v/>
      </c>
      <c r="P11" s="70" t="str">
        <f>IF(P$2="Y",IF(MaGic_AVM_Land!P11=0,"",MaGic_AVM_Land!P11),"")</f>
        <v/>
      </c>
      <c r="Q11" s="70" t="str">
        <f>IF(Q$2="Y",IF(MaGic_AVM_Land!Q11=0,"",MaGic_AVM_Land!Q11),"")</f>
        <v/>
      </c>
      <c r="R11" s="70" t="str">
        <f>IF(R$2="Y",IF(MaGic_AVM_Land!R11=0,"",MaGic_AVM_Land!R11),"")</f>
        <v/>
      </c>
      <c r="S11" s="70" t="str">
        <f>IF(S$2="Y",IF(MaGic_AVM_Land!S11=0,"",MaGic_AVM_Land!S11),"")</f>
        <v/>
      </c>
      <c r="T11" s="70" t="str">
        <f>IF(T$2="Y",IF(MaGic_AVM_Land!T11=0,"",MaGic_AVM_Land!T11),"")</f>
        <v/>
      </c>
      <c r="U11" s="70" t="str">
        <f>IF(U$2="Y",IF(MaGic_AVM_Land!U11=0,"",MaGic_AVM_Land!U11),"")</f>
        <v/>
      </c>
      <c r="V11" s="70" t="str">
        <f>IF(V$2="Y",IF(MaGic_AVM_Land!V11=0,"",MaGic_AVM_Land!V11),"")</f>
        <v/>
      </c>
      <c r="W11" s="70" t="str">
        <f>IF(W$2="Y",IF(MaGic_AVM_Land!W11=0,"",MaGic_AVM_Land!W11),"")</f>
        <v/>
      </c>
      <c r="X11" s="70" t="str">
        <f>IF(X$2="Y",IF(MaGic_AVM_Land!X11=0,"",MaGic_AVM_Land!X11),"")</f>
        <v/>
      </c>
      <c r="Y11" s="70" t="str">
        <f>IF(Y$2="Y",IF(MaGic_AVM_Land!Y11=0,"",MaGic_AVM_Land!Y11),"")</f>
        <v/>
      </c>
      <c r="Z11" s="70" t="str">
        <f>IF(Z$2="Y",IF(MaGic_AVM_Land!Z11=0,"",MaGic_AVM_Land!Z11),"")</f>
        <v/>
      </c>
      <c r="AA11" s="69" t="str">
        <f>CONCATENATE(IF(AB11="",AC11,AB11)," Village")</f>
        <v>Village</v>
      </c>
      <c r="AB11" s="69" t="str" cm="1">
        <f t="array" ref="AB11">_xlfn.UNIQUE(C11:Z11,TRUE,FALSE)</f>
        <v/>
      </c>
    </row>
    <row r="12" spans="1:28">
      <c r="A12" s="69">
        <v>10</v>
      </c>
      <c r="B12" s="69" t="s">
        <v>65</v>
      </c>
      <c r="C12" s="70" t="str">
        <f>IF(C$2="Y",IF(MaGic_AVM_Land!C12=0,"",MaGic_AVM_Land!C12),"")</f>
        <v/>
      </c>
      <c r="D12" s="70" t="str">
        <f>IF(D$2="Y",IF(MaGic_AVM_Land!D12=0,"",MaGic_AVM_Land!D12),"")</f>
        <v/>
      </c>
      <c r="E12" s="70" t="str">
        <f>IF(E$2="Y",IF(MaGic_AVM_Land!E12=0,"",MaGic_AVM_Land!E12),"")</f>
        <v/>
      </c>
      <c r="F12" s="70" t="str">
        <f>IF(F$2="Y",IF(MaGic_AVM_Land!F12=0,"",MaGic_AVM_Land!F12),"")</f>
        <v/>
      </c>
      <c r="G12" s="70" t="str">
        <f>IF(G$2="Y",IF(MaGic_AVM_Land!G12=0,"",MaGic_AVM_Land!G12),"")</f>
        <v/>
      </c>
      <c r="H12" s="70" t="str">
        <f>IF(H$2="Y",IF(MaGic_AVM_Land!H12=0,"",MaGic_AVM_Land!H12),"")</f>
        <v/>
      </c>
      <c r="I12" s="70" t="str">
        <f>IF(I$2="Y",IF(MaGic_AVM_Land!I12=0,"",MaGic_AVM_Land!I12),"")</f>
        <v/>
      </c>
      <c r="J12" s="70" t="str">
        <f>IF(J$2="Y",IF(MaGic_AVM_Land!J12=0,"",MaGic_AVM_Land!J12),"")</f>
        <v/>
      </c>
      <c r="K12" s="70" t="str">
        <f>IF(K$2="Y",IF(MaGic_AVM_Land!K12=0,"",MaGic_AVM_Land!K12),"")</f>
        <v/>
      </c>
      <c r="L12" s="70" t="str">
        <f>IF(L$2="Y",IF(MaGic_AVM_Land!L12=0,"",MaGic_AVM_Land!L12),"")</f>
        <v/>
      </c>
      <c r="M12" s="70" t="str">
        <f>IF(M$2="Y",IF(MaGic_AVM_Land!M12=0,"",MaGic_AVM_Land!M12),"")</f>
        <v/>
      </c>
      <c r="N12" s="70" t="str">
        <f>IF(N$2="Y",IF(MaGic_AVM_Land!N12=0,"",MaGic_AVM_Land!N12),"")</f>
        <v/>
      </c>
      <c r="O12" s="70" t="str">
        <f>IF(O$2="Y",IF(MaGic_AVM_Land!O12=0,"",MaGic_AVM_Land!O12),"")</f>
        <v/>
      </c>
      <c r="P12" s="70" t="str">
        <f>IF(P$2="Y",IF(MaGic_AVM_Land!P12=0,"",MaGic_AVM_Land!P12),"")</f>
        <v/>
      </c>
      <c r="Q12" s="70" t="str">
        <f>IF(Q$2="Y",IF(MaGic_AVM_Land!Q12=0,"",MaGic_AVM_Land!Q12),"")</f>
        <v/>
      </c>
      <c r="R12" s="70" t="str">
        <f>IF(R$2="Y",IF(MaGic_AVM_Land!R12=0,"",MaGic_AVM_Land!R12),"")</f>
        <v/>
      </c>
      <c r="S12" s="70" t="str">
        <f>IF(S$2="Y",IF(MaGic_AVM_Land!S12=0,"",MaGic_AVM_Land!S12),"")</f>
        <v/>
      </c>
      <c r="T12" s="70" t="str">
        <f>IF(T$2="Y",IF(MaGic_AVM_Land!T12=0,"",MaGic_AVM_Land!T12),"")</f>
        <v/>
      </c>
      <c r="U12" s="70" t="str">
        <f>IF(U$2="Y",IF(MaGic_AVM_Land!U12=0,"",MaGic_AVM_Land!U12),"")</f>
        <v/>
      </c>
      <c r="V12" s="70" t="str">
        <f>IF(V$2="Y",IF(MaGic_AVM_Land!V12=0,"",MaGic_AVM_Land!V12),"")</f>
        <v/>
      </c>
      <c r="W12" s="70" t="str">
        <f>IF(W$2="Y",IF(MaGic_AVM_Land!W12=0,"",MaGic_AVM_Land!W12),"")</f>
        <v/>
      </c>
      <c r="X12" s="70" t="str">
        <f>IF(X$2="Y",IF(MaGic_AVM_Land!X12=0,"",MaGic_AVM_Land!X12),"")</f>
        <v/>
      </c>
      <c r="Y12" s="70" t="str">
        <f>IF(Y$2="Y",IF(MaGic_AVM_Land!Y12=0,"",MaGic_AVM_Land!Y12),"")</f>
        <v/>
      </c>
      <c r="Z12" s="70" t="str">
        <f>IF(Z$2="Y",IF(MaGic_AVM_Land!Z12=0,"",MaGic_AVM_Land!Z12),"")</f>
        <v/>
      </c>
      <c r="AA12" s="69" t="str">
        <f>CONCATENATE(IF(AB12="",AC12,AB12))</f>
        <v/>
      </c>
      <c r="AB12" s="69" t="str" cm="1">
        <f t="array" ref="AB12">_xlfn.UNIQUE(C12:Z12,TRUE,FALSE)</f>
        <v/>
      </c>
    </row>
    <row r="13" spans="1:28">
      <c r="A13" s="69">
        <v>11</v>
      </c>
      <c r="B13" s="69" t="s">
        <v>67</v>
      </c>
      <c r="C13" s="70" t="str">
        <f>IF(C$2="Y",IF(MaGic_AVM_Land!C13=0,"",MaGic_AVM_Land!C13),"")</f>
        <v/>
      </c>
      <c r="D13" s="70" t="str">
        <f>IF(D$2="Y",IF(MaGic_AVM_Land!D13=0,"",MaGic_AVM_Land!D13),"")</f>
        <v/>
      </c>
      <c r="E13" s="70" t="str">
        <f>IF(E$2="Y",IF(MaGic_AVM_Land!E13=0,"",MaGic_AVM_Land!E13),"")</f>
        <v/>
      </c>
      <c r="F13" s="70" t="str">
        <f>IF(F$2="Y",IF(MaGic_AVM_Land!F13=0,"",MaGic_AVM_Land!F13),"")</f>
        <v/>
      </c>
      <c r="G13" s="70" t="str">
        <f>IF(G$2="Y",IF(MaGic_AVM_Land!G13=0,"",MaGic_AVM_Land!G13),"")</f>
        <v/>
      </c>
      <c r="H13" s="70" t="str">
        <f>IF(H$2="Y",IF(MaGic_AVM_Land!H13=0,"",MaGic_AVM_Land!H13),"")</f>
        <v/>
      </c>
      <c r="I13" s="70" t="str">
        <f>IF(I$2="Y",IF(MaGic_AVM_Land!I13=0,"",MaGic_AVM_Land!I13),"")</f>
        <v/>
      </c>
      <c r="J13" s="70" t="str">
        <f>IF(J$2="Y",IF(MaGic_AVM_Land!J13=0,"",MaGic_AVM_Land!J13),"")</f>
        <v/>
      </c>
      <c r="K13" s="70" t="str">
        <f>IF(K$2="Y",IF(MaGic_AVM_Land!K13=0,"",MaGic_AVM_Land!K13),"")</f>
        <v/>
      </c>
      <c r="L13" s="70" t="str">
        <f>IF(L$2="Y",IF(MaGic_AVM_Land!L13=0,"",MaGic_AVM_Land!L13),"")</f>
        <v/>
      </c>
      <c r="M13" s="70" t="str">
        <f>IF(M$2="Y",IF(MaGic_AVM_Land!M13=0,"",MaGic_AVM_Land!M13),"")</f>
        <v/>
      </c>
      <c r="N13" s="70" t="str">
        <f>IF(N$2="Y",IF(MaGic_AVM_Land!N13=0,"",MaGic_AVM_Land!N13),"")</f>
        <v/>
      </c>
      <c r="O13" s="70" t="str">
        <f>IF(O$2="Y",IF(MaGic_AVM_Land!O13=0,"",MaGic_AVM_Land!O13),"")</f>
        <v/>
      </c>
      <c r="P13" s="70" t="str">
        <f>IF(P$2="Y",IF(MaGic_AVM_Land!P13=0,"",MaGic_AVM_Land!P13),"")</f>
        <v/>
      </c>
      <c r="Q13" s="70" t="str">
        <f>IF(Q$2="Y",IF(MaGic_AVM_Land!Q13=0,"",MaGic_AVM_Land!Q13),"")</f>
        <v/>
      </c>
      <c r="R13" s="70" t="str">
        <f>IF(R$2="Y",IF(MaGic_AVM_Land!R13=0,"",MaGic_AVM_Land!R13),"")</f>
        <v/>
      </c>
      <c r="S13" s="70" t="str">
        <f>IF(S$2="Y",IF(MaGic_AVM_Land!S13=0,"",MaGic_AVM_Land!S13),"")</f>
        <v/>
      </c>
      <c r="T13" s="70" t="str">
        <f>IF(T$2="Y",IF(MaGic_AVM_Land!T13=0,"",MaGic_AVM_Land!T13),"")</f>
        <v/>
      </c>
      <c r="U13" s="70" t="str">
        <f>IF(U$2="Y",IF(MaGic_AVM_Land!U13=0,"",MaGic_AVM_Land!U13),"")</f>
        <v/>
      </c>
      <c r="V13" s="70" t="str">
        <f>IF(V$2="Y",IF(MaGic_AVM_Land!V13=0,"",MaGic_AVM_Land!V13),"")</f>
        <v/>
      </c>
      <c r="W13" s="70" t="str">
        <f>IF(W$2="Y",IF(MaGic_AVM_Land!W13=0,"",MaGic_AVM_Land!W13),"")</f>
        <v/>
      </c>
      <c r="X13" s="70" t="str">
        <f>IF(X$2="Y",IF(MaGic_AVM_Land!X13=0,"",MaGic_AVM_Land!X13),"")</f>
        <v/>
      </c>
      <c r="Y13" s="70" t="str">
        <f>IF(Y$2="Y",IF(MaGic_AVM_Land!Y13=0,"",MaGic_AVM_Land!Y13),"")</f>
        <v/>
      </c>
      <c r="Z13" s="70" t="str">
        <f>IF(Z$2="Y",IF(MaGic_AVM_Land!Z13=0,"",MaGic_AVM_Land!Z13),"")</f>
        <v/>
      </c>
      <c r="AA13" s="69" t="str">
        <f>CONCATENATE(IF(AB13="",AC13,AB13)," ",AA12)</f>
        <v/>
      </c>
      <c r="AB13" s="69" t="str" cm="1">
        <f t="array" ref="AB13">_xlfn.UNIQUE(C13:Z13,TRUE,FALSE)</f>
        <v/>
      </c>
    </row>
    <row r="14" spans="1:28">
      <c r="A14" s="69">
        <v>12</v>
      </c>
      <c r="B14" s="69" t="s">
        <v>69</v>
      </c>
      <c r="C14" s="70" t="str">
        <f>IF(C$2="Y",IF(MaGic_AVM_Land!C14=0,"",MaGic_AVM_Land!C14),"")</f>
        <v/>
      </c>
      <c r="D14" s="70" t="str">
        <f>IF(D$2="Y",IF(MaGic_AVM_Land!D14=0,"",MaGic_AVM_Land!D14),"")</f>
        <v/>
      </c>
      <c r="E14" s="70" t="str">
        <f>IF(E$2="Y",IF(MaGic_AVM_Land!E14=0,"",MaGic_AVM_Land!E14),"")</f>
        <v/>
      </c>
      <c r="F14" s="70" t="str">
        <f>IF(F$2="Y",IF(MaGic_AVM_Land!F14=0,"",MaGic_AVM_Land!F14),"")</f>
        <v/>
      </c>
      <c r="G14" s="70" t="str">
        <f>IF(G$2="Y",IF(MaGic_AVM_Land!G14=0,"",MaGic_AVM_Land!G14),"")</f>
        <v/>
      </c>
      <c r="H14" s="70" t="str">
        <f>IF(H$2="Y",IF(MaGic_AVM_Land!H14=0,"",MaGic_AVM_Land!H14),"")</f>
        <v/>
      </c>
      <c r="I14" s="70" t="str">
        <f>IF(I$2="Y",IF(MaGic_AVM_Land!I14=0,"",MaGic_AVM_Land!I14),"")</f>
        <v/>
      </c>
      <c r="J14" s="70" t="str">
        <f>IF(J$2="Y",IF(MaGic_AVM_Land!J14=0,"",MaGic_AVM_Land!J14),"")</f>
        <v/>
      </c>
      <c r="K14" s="70" t="str">
        <f>IF(K$2="Y",IF(MaGic_AVM_Land!K14=0,"",MaGic_AVM_Land!K14),"")</f>
        <v/>
      </c>
      <c r="L14" s="70" t="str">
        <f>IF(L$2="Y",IF(MaGic_AVM_Land!L14=0,"",MaGic_AVM_Land!L14),"")</f>
        <v/>
      </c>
      <c r="M14" s="70" t="str">
        <f>IF(M$2="Y",IF(MaGic_AVM_Land!M14=0,"",MaGic_AVM_Land!M14),"")</f>
        <v/>
      </c>
      <c r="N14" s="70" t="str">
        <f>IF(N$2="Y",IF(MaGic_AVM_Land!N14=0,"",MaGic_AVM_Land!N14),"")</f>
        <v/>
      </c>
      <c r="O14" s="70" t="str">
        <f>IF(O$2="Y",IF(MaGic_AVM_Land!O14=0,"",MaGic_AVM_Land!O14),"")</f>
        <v/>
      </c>
      <c r="P14" s="70" t="str">
        <f>IF(P$2="Y",IF(MaGic_AVM_Land!P14=0,"",MaGic_AVM_Land!P14),"")</f>
        <v/>
      </c>
      <c r="Q14" s="70" t="str">
        <f>IF(Q$2="Y",IF(MaGic_AVM_Land!Q14=0,"",MaGic_AVM_Land!Q14),"")</f>
        <v/>
      </c>
      <c r="R14" s="70" t="str">
        <f>IF(R$2="Y",IF(MaGic_AVM_Land!R14=0,"",MaGic_AVM_Land!R14),"")</f>
        <v/>
      </c>
      <c r="S14" s="70" t="str">
        <f>IF(S$2="Y",IF(MaGic_AVM_Land!S14=0,"",MaGic_AVM_Land!S14),"")</f>
        <v/>
      </c>
      <c r="T14" s="70" t="str">
        <f>IF(T$2="Y",IF(MaGic_AVM_Land!T14=0,"",MaGic_AVM_Land!T14),"")</f>
        <v/>
      </c>
      <c r="U14" s="70" t="str">
        <f>IF(U$2="Y",IF(MaGic_AVM_Land!U14=0,"",MaGic_AVM_Land!U14),"")</f>
        <v/>
      </c>
      <c r="V14" s="70" t="str">
        <f>IF(V$2="Y",IF(MaGic_AVM_Land!V14=0,"",MaGic_AVM_Land!V14),"")</f>
        <v/>
      </c>
      <c r="W14" s="70" t="str">
        <f>IF(W$2="Y",IF(MaGic_AVM_Land!W14=0,"",MaGic_AVM_Land!W14),"")</f>
        <v/>
      </c>
      <c r="X14" s="70" t="str">
        <f>IF(X$2="Y",IF(MaGic_AVM_Land!X14=0,"",MaGic_AVM_Land!X14),"")</f>
        <v/>
      </c>
      <c r="Y14" s="70" t="str">
        <f>IF(Y$2="Y",IF(MaGic_AVM_Land!Y14=0,"",MaGic_AVM_Land!Y14),"")</f>
        <v/>
      </c>
      <c r="Z14" s="70" t="str">
        <f>IF(Z$2="Y",IF(MaGic_AVM_Land!Z14=0,"",MaGic_AVM_Land!Z14),"")</f>
        <v/>
      </c>
      <c r="AA14" s="69" t="str">
        <f t="shared" ref="AA14:AA18" si="1">_xlfn.TEXTJOIN(",",TRUE,AB14:AZ14)</f>
        <v/>
      </c>
      <c r="AB14" s="69" t="str" cm="1">
        <f t="array" ref="AB14">_xlfn.UNIQUE(C14:Z14,TRUE,FALSE)</f>
        <v/>
      </c>
    </row>
    <row r="15" spans="1:28">
      <c r="A15" s="69">
        <v>13</v>
      </c>
      <c r="B15" s="69" t="s">
        <v>70</v>
      </c>
      <c r="C15" s="70" t="str">
        <f>IF(C$2="Y",IF(MaGic_AVM_Land!C15=0,"",MaGic_AVM_Land!C15),"")</f>
        <v/>
      </c>
      <c r="D15" s="70" t="str">
        <f>IF(D$2="Y",IF(MaGic_AVM_Land!D15=0,"",MaGic_AVM_Land!D15),"")</f>
        <v/>
      </c>
      <c r="E15" s="70" t="str">
        <f>IF(E$2="Y",IF(MaGic_AVM_Land!E15=0,"",MaGic_AVM_Land!E15),"")</f>
        <v/>
      </c>
      <c r="F15" s="70" t="str">
        <f>IF(F$2="Y",IF(MaGic_AVM_Land!F15=0,"",MaGic_AVM_Land!F15),"")</f>
        <v/>
      </c>
      <c r="G15" s="70" t="str">
        <f>IF(G$2="Y",IF(MaGic_AVM_Land!G15=0,"",MaGic_AVM_Land!G15),"")</f>
        <v/>
      </c>
      <c r="H15" s="70" t="str">
        <f>IF(H$2="Y",IF(MaGic_AVM_Land!H15=0,"",MaGic_AVM_Land!H15),"")</f>
        <v/>
      </c>
      <c r="I15" s="70" t="str">
        <f>IF(I$2="Y",IF(MaGic_AVM_Land!I15=0,"",MaGic_AVM_Land!I15),"")</f>
        <v/>
      </c>
      <c r="J15" s="70" t="str">
        <f>IF(J$2="Y",IF(MaGic_AVM_Land!J15=0,"",MaGic_AVM_Land!J15),"")</f>
        <v/>
      </c>
      <c r="K15" s="70" t="str">
        <f>IF(K$2="Y",IF(MaGic_AVM_Land!K15=0,"",MaGic_AVM_Land!K15),"")</f>
        <v/>
      </c>
      <c r="L15" s="70" t="str">
        <f>IF(L$2="Y",IF(MaGic_AVM_Land!L15=0,"",MaGic_AVM_Land!L15),"")</f>
        <v/>
      </c>
      <c r="M15" s="70" t="str">
        <f>IF(M$2="Y",IF(MaGic_AVM_Land!M15=0,"",MaGic_AVM_Land!M15),"")</f>
        <v/>
      </c>
      <c r="N15" s="70" t="str">
        <f>IF(N$2="Y",IF(MaGic_AVM_Land!N15=0,"",MaGic_AVM_Land!N15),"")</f>
        <v/>
      </c>
      <c r="O15" s="70" t="str">
        <f>IF(O$2="Y",IF(MaGic_AVM_Land!O15=0,"",MaGic_AVM_Land!O15),"")</f>
        <v/>
      </c>
      <c r="P15" s="70" t="str">
        <f>IF(P$2="Y",IF(MaGic_AVM_Land!P15=0,"",MaGic_AVM_Land!P15),"")</f>
        <v/>
      </c>
      <c r="Q15" s="70" t="str">
        <f>IF(Q$2="Y",IF(MaGic_AVM_Land!Q15=0,"",MaGic_AVM_Land!Q15),"")</f>
        <v/>
      </c>
      <c r="R15" s="70" t="str">
        <f>IF(R$2="Y",IF(MaGic_AVM_Land!R15=0,"",MaGic_AVM_Land!R15),"")</f>
        <v/>
      </c>
      <c r="S15" s="70" t="str">
        <f>IF(S$2="Y",IF(MaGic_AVM_Land!S15=0,"",MaGic_AVM_Land!S15),"")</f>
        <v/>
      </c>
      <c r="T15" s="70" t="str">
        <f>IF(T$2="Y",IF(MaGic_AVM_Land!T15=0,"",MaGic_AVM_Land!T15),"")</f>
        <v/>
      </c>
      <c r="U15" s="70" t="str">
        <f>IF(U$2="Y",IF(MaGic_AVM_Land!U15=0,"",MaGic_AVM_Land!U15),"")</f>
        <v/>
      </c>
      <c r="V15" s="70" t="str">
        <f>IF(V$2="Y",IF(MaGic_AVM_Land!V15=0,"",MaGic_AVM_Land!V15),"")</f>
        <v/>
      </c>
      <c r="W15" s="70" t="str">
        <f>IF(W$2="Y",IF(MaGic_AVM_Land!W15=0,"",MaGic_AVM_Land!W15),"")</f>
        <v/>
      </c>
      <c r="X15" s="70" t="str">
        <f>IF(X$2="Y",IF(MaGic_AVM_Land!X15=0,"",MaGic_AVM_Land!X15),"")</f>
        <v/>
      </c>
      <c r="Y15" s="70" t="str">
        <f>IF(Y$2="Y",IF(MaGic_AVM_Land!Y15=0,"",MaGic_AVM_Land!Y15),"")</f>
        <v/>
      </c>
      <c r="Z15" s="70" t="str">
        <f>IF(Z$2="Y",IF(MaGic_AVM_Land!Z15=0,"",MaGic_AVM_Land!Z15),"")</f>
        <v/>
      </c>
      <c r="AA15" s="69" t="str">
        <f t="shared" si="1"/>
        <v/>
      </c>
      <c r="AB15" s="69" t="str" cm="1">
        <f t="array" ref="AB15">_xlfn.UNIQUE(C15:Z15,TRUE,FALSE)</f>
        <v/>
      </c>
    </row>
    <row r="16" spans="1:28">
      <c r="A16" s="69">
        <v>14</v>
      </c>
      <c r="B16" s="69" t="s">
        <v>71</v>
      </c>
      <c r="C16" s="70" t="str">
        <f>IF(C$2="Y",IF(MaGic_AVM_Land!C16=0,"",MaGic_AVM_Land!C16),"")</f>
        <v/>
      </c>
      <c r="D16" s="70" t="str">
        <f>IF(D$2="Y",IF(MaGic_AVM_Land!D16=0,"",MaGic_AVM_Land!D16),"")</f>
        <v/>
      </c>
      <c r="E16" s="70" t="str">
        <f>IF(E$2="Y",IF(MaGic_AVM_Land!E16=0,"",MaGic_AVM_Land!E16),"")</f>
        <v/>
      </c>
      <c r="F16" s="70" t="str">
        <f>IF(F$2="Y",IF(MaGic_AVM_Land!F16=0,"",MaGic_AVM_Land!F16),"")</f>
        <v/>
      </c>
      <c r="G16" s="70" t="str">
        <f>IF(G$2="Y",IF(MaGic_AVM_Land!G16=0,"",MaGic_AVM_Land!G16),"")</f>
        <v/>
      </c>
      <c r="H16" s="70" t="str">
        <f>IF(H$2="Y",IF(MaGic_AVM_Land!H16=0,"",MaGic_AVM_Land!H16),"")</f>
        <v/>
      </c>
      <c r="I16" s="70" t="str">
        <f>IF(I$2="Y",IF(MaGic_AVM_Land!I16=0,"",MaGic_AVM_Land!I16),"")</f>
        <v/>
      </c>
      <c r="J16" s="70" t="str">
        <f>IF(J$2="Y",IF(MaGic_AVM_Land!J16=0,"",MaGic_AVM_Land!J16),"")</f>
        <v/>
      </c>
      <c r="K16" s="70" t="str">
        <f>IF(K$2="Y",IF(MaGic_AVM_Land!K16=0,"",MaGic_AVM_Land!K16),"")</f>
        <v/>
      </c>
      <c r="L16" s="70" t="str">
        <f>IF(L$2="Y",IF(MaGic_AVM_Land!L16=0,"",MaGic_AVM_Land!L16),"")</f>
        <v/>
      </c>
      <c r="M16" s="70" t="str">
        <f>IF(M$2="Y",IF(MaGic_AVM_Land!M16=0,"",MaGic_AVM_Land!M16),"")</f>
        <v/>
      </c>
      <c r="N16" s="70" t="str">
        <f>IF(N$2="Y",IF(MaGic_AVM_Land!N16=0,"",MaGic_AVM_Land!N16),"")</f>
        <v/>
      </c>
      <c r="O16" s="70" t="str">
        <f>IF(O$2="Y",IF(MaGic_AVM_Land!O16=0,"",MaGic_AVM_Land!O16),"")</f>
        <v/>
      </c>
      <c r="P16" s="70" t="str">
        <f>IF(P$2="Y",IF(MaGic_AVM_Land!P16=0,"",MaGic_AVM_Land!P16),"")</f>
        <v/>
      </c>
      <c r="Q16" s="70" t="str">
        <f>IF(Q$2="Y",IF(MaGic_AVM_Land!Q16=0,"",MaGic_AVM_Land!Q16),"")</f>
        <v/>
      </c>
      <c r="R16" s="70" t="str">
        <f>IF(R$2="Y",IF(MaGic_AVM_Land!R16=0,"",MaGic_AVM_Land!R16),"")</f>
        <v/>
      </c>
      <c r="S16" s="70" t="str">
        <f>IF(S$2="Y",IF(MaGic_AVM_Land!S16=0,"",MaGic_AVM_Land!S16),"")</f>
        <v/>
      </c>
      <c r="T16" s="70" t="str">
        <f>IF(T$2="Y",IF(MaGic_AVM_Land!T16=0,"",MaGic_AVM_Land!T16),"")</f>
        <v/>
      </c>
      <c r="U16" s="70" t="str">
        <f>IF(U$2="Y",IF(MaGic_AVM_Land!U16=0,"",MaGic_AVM_Land!U16),"")</f>
        <v/>
      </c>
      <c r="V16" s="70" t="str">
        <f>IF(V$2="Y",IF(MaGic_AVM_Land!V16=0,"",MaGic_AVM_Land!V16),"")</f>
        <v/>
      </c>
      <c r="W16" s="70" t="str">
        <f>IF(W$2="Y",IF(MaGic_AVM_Land!W16=0,"",MaGic_AVM_Land!W16),"")</f>
        <v/>
      </c>
      <c r="X16" s="70" t="str">
        <f>IF(X$2="Y",IF(MaGic_AVM_Land!X16=0,"",MaGic_AVM_Land!X16),"")</f>
        <v/>
      </c>
      <c r="Y16" s="70" t="str">
        <f>IF(Y$2="Y",IF(MaGic_AVM_Land!Y16=0,"",MaGic_AVM_Land!Y16),"")</f>
        <v/>
      </c>
      <c r="Z16" s="70" t="str">
        <f>IF(Z$2="Y",IF(MaGic_AVM_Land!Z16=0,"",MaGic_AVM_Land!Z16),"")</f>
        <v/>
      </c>
      <c r="AA16" s="69" t="str">
        <f t="shared" si="1"/>
        <v/>
      </c>
      <c r="AB16" s="69" t="str" cm="1">
        <f t="array" ref="AB16">_xlfn.UNIQUE(C16:Z16,TRUE,FALSE)</f>
        <v/>
      </c>
    </row>
    <row r="17" spans="1:52">
      <c r="A17" s="69">
        <v>15</v>
      </c>
      <c r="B17" s="69" t="s">
        <v>77</v>
      </c>
      <c r="C17" s="70" t="str">
        <f>IF(C$2="Y",IF(MaGic_AVM_Land!C17=0,"",MaGic_AVM_Land!C17),"")</f>
        <v/>
      </c>
      <c r="D17" s="70" t="str">
        <f>IF(D$2="Y",IF(MaGic_AVM_Land!D17=0,"",MaGic_AVM_Land!D17),"")</f>
        <v/>
      </c>
      <c r="E17" s="70" t="str">
        <f>IF(E$2="Y",IF(MaGic_AVM_Land!E17=0,"",MaGic_AVM_Land!E17),"")</f>
        <v/>
      </c>
      <c r="F17" s="70" t="str">
        <f>IF(F$2="Y",IF(MaGic_AVM_Land!F17=0,"",MaGic_AVM_Land!F17),"")</f>
        <v/>
      </c>
      <c r="G17" s="70" t="str">
        <f>IF(G$2="Y",IF(MaGic_AVM_Land!G17=0,"",MaGic_AVM_Land!G17),"")</f>
        <v/>
      </c>
      <c r="H17" s="70" t="str">
        <f>IF(H$2="Y",IF(MaGic_AVM_Land!H17=0,"",MaGic_AVM_Land!H17),"")</f>
        <v/>
      </c>
      <c r="I17" s="70" t="str">
        <f>IF(I$2="Y",IF(MaGic_AVM_Land!I17=0,"",MaGic_AVM_Land!I17),"")</f>
        <v/>
      </c>
      <c r="J17" s="70" t="str">
        <f>IF(J$2="Y",IF(MaGic_AVM_Land!J17=0,"",MaGic_AVM_Land!J17),"")</f>
        <v/>
      </c>
      <c r="K17" s="70" t="str">
        <f>IF(K$2="Y",IF(MaGic_AVM_Land!K17=0,"",MaGic_AVM_Land!K17),"")</f>
        <v/>
      </c>
      <c r="L17" s="70" t="str">
        <f>IF(L$2="Y",IF(MaGic_AVM_Land!L17=0,"",MaGic_AVM_Land!L17),"")</f>
        <v/>
      </c>
      <c r="M17" s="70" t="str">
        <f>IF(M$2="Y",IF(MaGic_AVM_Land!M17=0,"",MaGic_AVM_Land!M17),"")</f>
        <v/>
      </c>
      <c r="N17" s="70" t="str">
        <f>IF(N$2="Y",IF(MaGic_AVM_Land!N17=0,"",MaGic_AVM_Land!N17),"")</f>
        <v/>
      </c>
      <c r="O17" s="70" t="str">
        <f>IF(O$2="Y",IF(MaGic_AVM_Land!O17=0,"",MaGic_AVM_Land!O17),"")</f>
        <v/>
      </c>
      <c r="P17" s="70" t="str">
        <f>IF(P$2="Y",IF(MaGic_AVM_Land!P17=0,"",MaGic_AVM_Land!P17),"")</f>
        <v/>
      </c>
      <c r="Q17" s="70" t="str">
        <f>IF(Q$2="Y",IF(MaGic_AVM_Land!Q17=0,"",MaGic_AVM_Land!Q17),"")</f>
        <v/>
      </c>
      <c r="R17" s="70" t="str">
        <f>IF(R$2="Y",IF(MaGic_AVM_Land!R17=0,"",MaGic_AVM_Land!R17),"")</f>
        <v/>
      </c>
      <c r="S17" s="70" t="str">
        <f>IF(S$2="Y",IF(MaGic_AVM_Land!S17=0,"",MaGic_AVM_Land!S17),"")</f>
        <v/>
      </c>
      <c r="T17" s="70" t="str">
        <f>IF(T$2="Y",IF(MaGic_AVM_Land!T17=0,"",MaGic_AVM_Land!T17),"")</f>
        <v/>
      </c>
      <c r="U17" s="70" t="str">
        <f>IF(U$2="Y",IF(MaGic_AVM_Land!U17=0,"",MaGic_AVM_Land!U17),"")</f>
        <v/>
      </c>
      <c r="V17" s="70" t="str">
        <f>IF(V$2="Y",IF(MaGic_AVM_Land!V17=0,"",MaGic_AVM_Land!V17),"")</f>
        <v/>
      </c>
      <c r="W17" s="70" t="str">
        <f>IF(W$2="Y",IF(MaGic_AVM_Land!W17=0,"",MaGic_AVM_Land!W17),"")</f>
        <v/>
      </c>
      <c r="X17" s="70" t="str">
        <f>IF(X$2="Y",IF(MaGic_AVM_Land!X17=0,"",MaGic_AVM_Land!X17),"")</f>
        <v/>
      </c>
      <c r="Y17" s="70" t="str">
        <f>IF(Y$2="Y",IF(MaGic_AVM_Land!Y17=0,"",MaGic_AVM_Land!Y17),"")</f>
        <v/>
      </c>
      <c r="Z17" s="70" t="str">
        <f>IF(Z$2="Y",IF(MaGic_AVM_Land!Z17=0,"",MaGic_AVM_Land!Z17),"")</f>
        <v/>
      </c>
      <c r="AA17" s="69" t="str">
        <f t="shared" si="1"/>
        <v/>
      </c>
      <c r="AB17" s="69" t="str" cm="1">
        <f t="array" ref="AB17">_xlfn.UNIQUE(C17:Z17,TRUE,FALSE)</f>
        <v/>
      </c>
    </row>
    <row r="18" spans="1:52">
      <c r="A18" s="69">
        <v>16</v>
      </c>
      <c r="B18" s="69" t="s">
        <v>78</v>
      </c>
      <c r="C18" s="70" t="str">
        <f>IF(C$2="Y",IF(MaGic_AVM_Land!C18=0,"",MaGic_AVM_Land!C18),"")</f>
        <v/>
      </c>
      <c r="D18" s="70" t="str">
        <f>IF(D$2="Y",IF(MaGic_AVM_Land!D18=0,"",MaGic_AVM_Land!D18),"")</f>
        <v/>
      </c>
      <c r="E18" s="70" t="str">
        <f>IF(E$2="Y",IF(MaGic_AVM_Land!E18=0,"",MaGic_AVM_Land!E18),"")</f>
        <v/>
      </c>
      <c r="F18" s="70" t="str">
        <f>IF(F$2="Y",IF(MaGic_AVM_Land!F18=0,"",MaGic_AVM_Land!F18),"")</f>
        <v/>
      </c>
      <c r="G18" s="70" t="str">
        <f>IF(G$2="Y",IF(MaGic_AVM_Land!G18=0,"",MaGic_AVM_Land!G18),"")</f>
        <v/>
      </c>
      <c r="H18" s="70" t="str">
        <f>IF(H$2="Y",IF(MaGic_AVM_Land!H18=0,"",MaGic_AVM_Land!H18),"")</f>
        <v/>
      </c>
      <c r="I18" s="70" t="str">
        <f>IF(I$2="Y",IF(MaGic_AVM_Land!I18=0,"",MaGic_AVM_Land!I18),"")</f>
        <v/>
      </c>
      <c r="J18" s="70" t="str">
        <f>IF(J$2="Y",IF(MaGic_AVM_Land!J18=0,"",MaGic_AVM_Land!J18),"")</f>
        <v/>
      </c>
      <c r="K18" s="70" t="str">
        <f>IF(K$2="Y",IF(MaGic_AVM_Land!K18=0,"",MaGic_AVM_Land!K18),"")</f>
        <v/>
      </c>
      <c r="L18" s="70" t="str">
        <f>IF(L$2="Y",IF(MaGic_AVM_Land!L18=0,"",MaGic_AVM_Land!L18),"")</f>
        <v/>
      </c>
      <c r="M18" s="70" t="str">
        <f>IF(M$2="Y",IF(MaGic_AVM_Land!M18=0,"",MaGic_AVM_Land!M18),"")</f>
        <v/>
      </c>
      <c r="N18" s="70" t="str">
        <f>IF(N$2="Y",IF(MaGic_AVM_Land!N18=0,"",MaGic_AVM_Land!N18),"")</f>
        <v/>
      </c>
      <c r="O18" s="70" t="str">
        <f>IF(O$2="Y",IF(MaGic_AVM_Land!O18=0,"",MaGic_AVM_Land!O18),"")</f>
        <v/>
      </c>
      <c r="P18" s="70" t="str">
        <f>IF(P$2="Y",IF(MaGic_AVM_Land!P18=0,"",MaGic_AVM_Land!P18),"")</f>
        <v/>
      </c>
      <c r="Q18" s="70" t="str">
        <f>IF(Q$2="Y",IF(MaGic_AVM_Land!Q18=0,"",MaGic_AVM_Land!Q18),"")</f>
        <v/>
      </c>
      <c r="R18" s="70" t="str">
        <f>IF(R$2="Y",IF(MaGic_AVM_Land!R18=0,"",MaGic_AVM_Land!R18),"")</f>
        <v/>
      </c>
      <c r="S18" s="70" t="str">
        <f>IF(S$2="Y",IF(MaGic_AVM_Land!S18=0,"",MaGic_AVM_Land!S18),"")</f>
        <v/>
      </c>
      <c r="T18" s="70" t="str">
        <f>IF(T$2="Y",IF(MaGic_AVM_Land!T18=0,"",MaGic_AVM_Land!T18),"")</f>
        <v/>
      </c>
      <c r="U18" s="70" t="str">
        <f>IF(U$2="Y",IF(MaGic_AVM_Land!U18=0,"",MaGic_AVM_Land!U18),"")</f>
        <v/>
      </c>
      <c r="V18" s="70" t="str">
        <f>IF(V$2="Y",IF(MaGic_AVM_Land!V18=0,"",MaGic_AVM_Land!V18),"")</f>
        <v/>
      </c>
      <c r="W18" s="70" t="str">
        <f>IF(W$2="Y",IF(MaGic_AVM_Land!W18=0,"",MaGic_AVM_Land!W18),"")</f>
        <v/>
      </c>
      <c r="X18" s="70" t="str">
        <f>IF(X$2="Y",IF(MaGic_AVM_Land!X18=0,"",MaGic_AVM_Land!X18),"")</f>
        <v/>
      </c>
      <c r="Y18" s="70" t="str">
        <f>IF(Y$2="Y",IF(MaGic_AVM_Land!Y18=0,"",MaGic_AVM_Land!Y18),"")</f>
        <v/>
      </c>
      <c r="Z18" s="70" t="str">
        <f>IF(Z$2="Y",IF(MaGic_AVM_Land!Z18=0,"",MaGic_AVM_Land!Z18),"")</f>
        <v/>
      </c>
      <c r="AA18" s="69" t="str">
        <f t="shared" si="1"/>
        <v/>
      </c>
      <c r="AB18" s="69" t="str" cm="1">
        <f t="array" ref="AB18">_xlfn.UNIQUE(C18:Z18,TRUE,FALSE)</f>
        <v/>
      </c>
    </row>
    <row r="19" spans="1:52">
      <c r="A19" s="69">
        <v>17</v>
      </c>
      <c r="B19" s="69" t="s">
        <v>79</v>
      </c>
      <c r="C19" s="70" t="str">
        <f>IF(C$2="Y",IF(MaGic_AVM_Land!C19=0,"",MaGic_AVM_Land!C19),"")</f>
        <v/>
      </c>
      <c r="D19" s="70" t="str">
        <f>IF(D$2="Y",IF(MaGic_AVM_Land!D19=0,"",MaGic_AVM_Land!D19),"")</f>
        <v/>
      </c>
      <c r="E19" s="70" t="str">
        <f>IF(E$2="Y",IF(MaGic_AVM_Land!E19=0,"",MaGic_AVM_Land!E19),"")</f>
        <v/>
      </c>
      <c r="F19" s="70" t="str">
        <f>IF(F$2="Y",IF(MaGic_AVM_Land!F19=0,"",MaGic_AVM_Land!F19),"")</f>
        <v/>
      </c>
      <c r="G19" s="70" t="str">
        <f>IF(G$2="Y",IF(MaGic_AVM_Land!G19=0,"",MaGic_AVM_Land!G19),"")</f>
        <v/>
      </c>
      <c r="H19" s="70" t="str">
        <f>IF(H$2="Y",IF(MaGic_AVM_Land!H19=0,"",MaGic_AVM_Land!H19),"")</f>
        <v/>
      </c>
      <c r="I19" s="70" t="str">
        <f>IF(I$2="Y",IF(MaGic_AVM_Land!I19=0,"",MaGic_AVM_Land!I19),"")</f>
        <v/>
      </c>
      <c r="J19" s="70" t="str">
        <f>IF(J$2="Y",IF(MaGic_AVM_Land!J19=0,"",MaGic_AVM_Land!J19),"")</f>
        <v/>
      </c>
      <c r="K19" s="70" t="str">
        <f>IF(K$2="Y",IF(MaGic_AVM_Land!K19=0,"",MaGic_AVM_Land!K19),"")</f>
        <v/>
      </c>
      <c r="L19" s="70" t="str">
        <f>IF(L$2="Y",IF(MaGic_AVM_Land!L19=0,"",MaGic_AVM_Land!L19),"")</f>
        <v/>
      </c>
      <c r="M19" s="70" t="str">
        <f>IF(M$2="Y",IF(MaGic_AVM_Land!M19=0,"",MaGic_AVM_Land!M19),"")</f>
        <v/>
      </c>
      <c r="N19" s="70" t="str">
        <f>IF(N$2="Y",IF(MaGic_AVM_Land!N19=0,"",MaGic_AVM_Land!N19),"")</f>
        <v/>
      </c>
      <c r="O19" s="70" t="str">
        <f>IF(O$2="Y",IF(MaGic_AVM_Land!O19=0,"",MaGic_AVM_Land!O19),"")</f>
        <v/>
      </c>
      <c r="P19" s="70" t="str">
        <f>IF(P$2="Y",IF(MaGic_AVM_Land!P19=0,"",MaGic_AVM_Land!P19),"")</f>
        <v/>
      </c>
      <c r="Q19" s="70" t="str">
        <f>IF(Q$2="Y",IF(MaGic_AVM_Land!Q19=0,"",MaGic_AVM_Land!Q19),"")</f>
        <v/>
      </c>
      <c r="R19" s="70" t="str">
        <f>IF(R$2="Y",IF(MaGic_AVM_Land!R19=0,"",MaGic_AVM_Land!R19),"")</f>
        <v/>
      </c>
      <c r="S19" s="70" t="str">
        <f>IF(S$2="Y",IF(MaGic_AVM_Land!S19=0,"",MaGic_AVM_Land!S19),"")</f>
        <v/>
      </c>
      <c r="T19" s="70" t="str">
        <f>IF(T$2="Y",IF(MaGic_AVM_Land!T19=0,"",MaGic_AVM_Land!T19),"")</f>
        <v/>
      </c>
      <c r="U19" s="70" t="str">
        <f>IF(U$2="Y",IF(MaGic_AVM_Land!U19=0,"",MaGic_AVM_Land!U19),"")</f>
        <v/>
      </c>
      <c r="V19" s="70" t="str">
        <f>IF(V$2="Y",IF(MaGic_AVM_Land!V19=0,"",MaGic_AVM_Land!V19),"")</f>
        <v/>
      </c>
      <c r="W19" s="70" t="str">
        <f>IF(W$2="Y",IF(MaGic_AVM_Land!W19=0,"",MaGic_AVM_Land!W19),"")</f>
        <v/>
      </c>
      <c r="X19" s="70" t="str">
        <f>IF(X$2="Y",IF(MaGic_AVM_Land!X19=0,"",MaGic_AVM_Land!X19),"")</f>
        <v/>
      </c>
      <c r="Y19" s="70" t="str">
        <f>IF(Y$2="Y",IF(MaGic_AVM_Land!Y19=0,"",MaGic_AVM_Land!Y19),"")</f>
        <v/>
      </c>
      <c r="Z19" s="70" t="str">
        <f>IF(Z$2="Y",IF(MaGic_AVM_Land!Z19=0,"",MaGic_AVM_Land!Z19),"")</f>
        <v/>
      </c>
      <c r="AA19" s="69" t="str">
        <f t="shared" ref="AA19:AA22" si="2">_xlfn.TEXTJOIN(",",TRUE,AB19:AZ19)</f>
        <v/>
      </c>
      <c r="AB19" s="69" t="str" cm="1">
        <f t="array" ref="AB19">_xlfn.UNIQUE(C19:Z19,TRUE,FALSE)</f>
        <v/>
      </c>
    </row>
    <row r="20" spans="1:52">
      <c r="A20" s="69">
        <v>18</v>
      </c>
      <c r="B20" s="69" t="s">
        <v>80</v>
      </c>
      <c r="C20" s="70" t="str">
        <f>IF(C$2="Y",IF(MaGic_AVM_Land!C20=0,"",MaGic_AVM_Land!C20),"")</f>
        <v/>
      </c>
      <c r="D20" s="70" t="str">
        <f>IF(D$2="Y",IF(MaGic_AVM_Land!D20=0,"",MaGic_AVM_Land!D20),"")</f>
        <v/>
      </c>
      <c r="E20" s="70" t="str">
        <f>IF(E$2="Y",IF(MaGic_AVM_Land!E20=0,"",MaGic_AVM_Land!E20),"")</f>
        <v/>
      </c>
      <c r="F20" s="70" t="str">
        <f>IF(F$2="Y",IF(MaGic_AVM_Land!F20=0,"",MaGic_AVM_Land!F20),"")</f>
        <v/>
      </c>
      <c r="G20" s="70" t="str">
        <f>IF(G$2="Y",IF(MaGic_AVM_Land!G20=0,"",MaGic_AVM_Land!G20),"")</f>
        <v/>
      </c>
      <c r="H20" s="70" t="str">
        <f>IF(H$2="Y",IF(MaGic_AVM_Land!H20=0,"",MaGic_AVM_Land!H20),"")</f>
        <v/>
      </c>
      <c r="I20" s="70" t="str">
        <f>IF(I$2="Y",IF(MaGic_AVM_Land!I20=0,"",MaGic_AVM_Land!I20),"")</f>
        <v/>
      </c>
      <c r="J20" s="70" t="str">
        <f>IF(J$2="Y",IF(MaGic_AVM_Land!J20=0,"",MaGic_AVM_Land!J20),"")</f>
        <v/>
      </c>
      <c r="K20" s="70" t="str">
        <f>IF(K$2="Y",IF(MaGic_AVM_Land!K20=0,"",MaGic_AVM_Land!K20),"")</f>
        <v/>
      </c>
      <c r="L20" s="70" t="str">
        <f>IF(L$2="Y",IF(MaGic_AVM_Land!L20=0,"",MaGic_AVM_Land!L20),"")</f>
        <v/>
      </c>
      <c r="M20" s="70" t="str">
        <f>IF(M$2="Y",IF(MaGic_AVM_Land!M20=0,"",MaGic_AVM_Land!M20),"")</f>
        <v/>
      </c>
      <c r="N20" s="70" t="str">
        <f>IF(N$2="Y",IF(MaGic_AVM_Land!N20=0,"",MaGic_AVM_Land!N20),"")</f>
        <v/>
      </c>
      <c r="O20" s="70" t="str">
        <f>IF(O$2="Y",IF(MaGic_AVM_Land!O20=0,"",MaGic_AVM_Land!O20),"")</f>
        <v/>
      </c>
      <c r="P20" s="70" t="str">
        <f>IF(P$2="Y",IF(MaGic_AVM_Land!P20=0,"",MaGic_AVM_Land!P20),"")</f>
        <v/>
      </c>
      <c r="Q20" s="70" t="str">
        <f>IF(Q$2="Y",IF(MaGic_AVM_Land!Q20=0,"",MaGic_AVM_Land!Q20),"")</f>
        <v/>
      </c>
      <c r="R20" s="70" t="str">
        <f>IF(R$2="Y",IF(MaGic_AVM_Land!R20=0,"",MaGic_AVM_Land!R20),"")</f>
        <v/>
      </c>
      <c r="S20" s="70" t="str">
        <f>IF(S$2="Y",IF(MaGic_AVM_Land!S20=0,"",MaGic_AVM_Land!S20),"")</f>
        <v/>
      </c>
      <c r="T20" s="70" t="str">
        <f>IF(T$2="Y",IF(MaGic_AVM_Land!T20=0,"",MaGic_AVM_Land!T20),"")</f>
        <v/>
      </c>
      <c r="U20" s="70" t="str">
        <f>IF(U$2="Y",IF(MaGic_AVM_Land!U20=0,"",MaGic_AVM_Land!U20),"")</f>
        <v/>
      </c>
      <c r="V20" s="70" t="str">
        <f>IF(V$2="Y",IF(MaGic_AVM_Land!V20=0,"",MaGic_AVM_Land!V20),"")</f>
        <v/>
      </c>
      <c r="W20" s="70" t="str">
        <f>IF(W$2="Y",IF(MaGic_AVM_Land!W20=0,"",MaGic_AVM_Land!W20),"")</f>
        <v/>
      </c>
      <c r="X20" s="70" t="str">
        <f>IF(X$2="Y",IF(MaGic_AVM_Land!X20=0,"",MaGic_AVM_Land!X20),"")</f>
        <v/>
      </c>
      <c r="Y20" s="70" t="str">
        <f>IF(Y$2="Y",IF(MaGic_AVM_Land!Y20=0,"",MaGic_AVM_Land!Y20),"")</f>
        <v/>
      </c>
      <c r="Z20" s="70" t="str">
        <f>IF(Z$2="Y",IF(MaGic_AVM_Land!Z20=0,"",MaGic_AVM_Land!Z20),"")</f>
        <v/>
      </c>
      <c r="AA20" s="69" t="str">
        <f t="shared" si="2"/>
        <v/>
      </c>
      <c r="AB20" s="69" t="str" cm="1">
        <f t="array" ref="AB20">_xlfn.UNIQUE(C20:Z20,TRUE,FALSE)</f>
        <v/>
      </c>
    </row>
    <row r="21" spans="1:52">
      <c r="A21" s="69">
        <v>19</v>
      </c>
      <c r="B21" s="69" t="s">
        <v>81</v>
      </c>
      <c r="C21" s="70" t="str">
        <f>IF(C$2="Y",IF(MaGic_AVM_Land!C21=0,"",MaGic_AVM_Land!C21),"")</f>
        <v/>
      </c>
      <c r="D21" s="70" t="str">
        <f>IF(D$2="Y",IF(MaGic_AVM_Land!D21=0,"",MaGic_AVM_Land!D21),"")</f>
        <v/>
      </c>
      <c r="E21" s="70" t="str">
        <f>IF(E$2="Y",IF(MaGic_AVM_Land!E21=0,"",MaGic_AVM_Land!E21),"")</f>
        <v/>
      </c>
      <c r="F21" s="70" t="str">
        <f>IF(F$2="Y",IF(MaGic_AVM_Land!F21=0,"",MaGic_AVM_Land!F21),"")</f>
        <v/>
      </c>
      <c r="G21" s="70" t="str">
        <f>IF(G$2="Y",IF(MaGic_AVM_Land!G21=0,"",MaGic_AVM_Land!G21),"")</f>
        <v/>
      </c>
      <c r="H21" s="70" t="str">
        <f>IF(H$2="Y",IF(MaGic_AVM_Land!H21=0,"",MaGic_AVM_Land!H21),"")</f>
        <v/>
      </c>
      <c r="I21" s="70" t="str">
        <f>IF(I$2="Y",IF(MaGic_AVM_Land!I21=0,"",MaGic_AVM_Land!I21),"")</f>
        <v/>
      </c>
      <c r="J21" s="70" t="str">
        <f>IF(J$2="Y",IF(MaGic_AVM_Land!J21=0,"",MaGic_AVM_Land!J21),"")</f>
        <v/>
      </c>
      <c r="K21" s="70" t="str">
        <f>IF(K$2="Y",IF(MaGic_AVM_Land!K21=0,"",MaGic_AVM_Land!K21),"")</f>
        <v/>
      </c>
      <c r="L21" s="70" t="str">
        <f>IF(L$2="Y",IF(MaGic_AVM_Land!L21=0,"",MaGic_AVM_Land!L21),"")</f>
        <v/>
      </c>
      <c r="M21" s="70" t="str">
        <f>IF(M$2="Y",IF(MaGic_AVM_Land!M21=0,"",MaGic_AVM_Land!M21),"")</f>
        <v/>
      </c>
      <c r="N21" s="70" t="str">
        <f>IF(N$2="Y",IF(MaGic_AVM_Land!N21=0,"",MaGic_AVM_Land!N21),"")</f>
        <v/>
      </c>
      <c r="O21" s="70" t="str">
        <f>IF(O$2="Y",IF(MaGic_AVM_Land!O21=0,"",MaGic_AVM_Land!O21),"")</f>
        <v/>
      </c>
      <c r="P21" s="70" t="str">
        <f>IF(P$2="Y",IF(MaGic_AVM_Land!P21=0,"",MaGic_AVM_Land!P21),"")</f>
        <v/>
      </c>
      <c r="Q21" s="70" t="str">
        <f>IF(Q$2="Y",IF(MaGic_AVM_Land!Q21=0,"",MaGic_AVM_Land!Q21),"")</f>
        <v/>
      </c>
      <c r="R21" s="70" t="str">
        <f>IF(R$2="Y",IF(MaGic_AVM_Land!R21=0,"",MaGic_AVM_Land!R21),"")</f>
        <v/>
      </c>
      <c r="S21" s="70" t="str">
        <f>IF(S$2="Y",IF(MaGic_AVM_Land!S21=0,"",MaGic_AVM_Land!S21),"")</f>
        <v/>
      </c>
      <c r="T21" s="70" t="str">
        <f>IF(T$2="Y",IF(MaGic_AVM_Land!T21=0,"",MaGic_AVM_Land!T21),"")</f>
        <v/>
      </c>
      <c r="U21" s="70" t="str">
        <f>IF(U$2="Y",IF(MaGic_AVM_Land!U21=0,"",MaGic_AVM_Land!U21),"")</f>
        <v/>
      </c>
      <c r="V21" s="70" t="str">
        <f>IF(V$2="Y",IF(MaGic_AVM_Land!V21=0,"",MaGic_AVM_Land!V21),"")</f>
        <v/>
      </c>
      <c r="W21" s="70" t="str">
        <f>IF(W$2="Y",IF(MaGic_AVM_Land!W21=0,"",MaGic_AVM_Land!W21),"")</f>
        <v/>
      </c>
      <c r="X21" s="70" t="str">
        <f>IF(X$2="Y",IF(MaGic_AVM_Land!X21=0,"",MaGic_AVM_Land!X21),"")</f>
        <v/>
      </c>
      <c r="Y21" s="70" t="str">
        <f>IF(Y$2="Y",IF(MaGic_AVM_Land!Y21=0,"",MaGic_AVM_Land!Y21),"")</f>
        <v/>
      </c>
      <c r="Z21" s="70" t="str">
        <f>IF(Z$2="Y",IF(MaGic_AVM_Land!Z21=0,"",MaGic_AVM_Land!Z21),"")</f>
        <v/>
      </c>
      <c r="AA21" s="69" t="str">
        <f t="shared" si="2"/>
        <v/>
      </c>
      <c r="AB21" s="69" t="str" cm="1">
        <f t="array" ref="AB21">_xlfn.UNIQUE(C21:Z21,TRUE,FALSE)</f>
        <v/>
      </c>
    </row>
    <row r="22" spans="1:52">
      <c r="A22" s="69">
        <v>20</v>
      </c>
      <c r="B22" s="69" t="s">
        <v>82</v>
      </c>
      <c r="C22" s="70" t="str">
        <f>IF(C$2="Y",IF(MaGic_AVM_Land!C22=0,"",MaGic_AVM_Land!C22),"")</f>
        <v/>
      </c>
      <c r="D22" s="70" t="str">
        <f>IF(D$2="Y",IF(MaGic_AVM_Land!D22=0,"",MaGic_AVM_Land!D22),"")</f>
        <v/>
      </c>
      <c r="E22" s="70" t="str">
        <f>IF(E$2="Y",IF(MaGic_AVM_Land!E22=0,"",MaGic_AVM_Land!E22),"")</f>
        <v/>
      </c>
      <c r="F22" s="70" t="str">
        <f>IF(F$2="Y",IF(MaGic_AVM_Land!F22=0,"",MaGic_AVM_Land!F22),"")</f>
        <v/>
      </c>
      <c r="G22" s="70" t="str">
        <f>IF(G$2="Y",IF(MaGic_AVM_Land!G22=0,"",MaGic_AVM_Land!G22),"")</f>
        <v/>
      </c>
      <c r="H22" s="70" t="str">
        <f>IF(H$2="Y",IF(MaGic_AVM_Land!H22=0,"",MaGic_AVM_Land!H22),"")</f>
        <v/>
      </c>
      <c r="I22" s="70" t="str">
        <f>IF(I$2="Y",IF(MaGic_AVM_Land!I22=0,"",MaGic_AVM_Land!I22),"")</f>
        <v/>
      </c>
      <c r="J22" s="70" t="str">
        <f>IF(J$2="Y",IF(MaGic_AVM_Land!J22=0,"",MaGic_AVM_Land!J22),"")</f>
        <v/>
      </c>
      <c r="K22" s="70" t="str">
        <f>IF(K$2="Y",IF(MaGic_AVM_Land!K22=0,"",MaGic_AVM_Land!K22),"")</f>
        <v/>
      </c>
      <c r="L22" s="70" t="str">
        <f>IF(L$2="Y",IF(MaGic_AVM_Land!L22=0,"",MaGic_AVM_Land!L22),"")</f>
        <v/>
      </c>
      <c r="M22" s="70" t="str">
        <f>IF(M$2="Y",IF(MaGic_AVM_Land!M22=0,"",MaGic_AVM_Land!M22),"")</f>
        <v/>
      </c>
      <c r="N22" s="70" t="str">
        <f>IF(N$2="Y",IF(MaGic_AVM_Land!N22=0,"",MaGic_AVM_Land!N22),"")</f>
        <v/>
      </c>
      <c r="O22" s="70" t="str">
        <f>IF(O$2="Y",IF(MaGic_AVM_Land!O22=0,"",MaGic_AVM_Land!O22),"")</f>
        <v/>
      </c>
      <c r="P22" s="70" t="str">
        <f>IF(P$2="Y",IF(MaGic_AVM_Land!P22=0,"",MaGic_AVM_Land!P22),"")</f>
        <v/>
      </c>
      <c r="Q22" s="70" t="str">
        <f>IF(Q$2="Y",IF(MaGic_AVM_Land!Q22=0,"",MaGic_AVM_Land!Q22),"")</f>
        <v/>
      </c>
      <c r="R22" s="70" t="str">
        <f>IF(R$2="Y",IF(MaGic_AVM_Land!R22=0,"",MaGic_AVM_Land!R22),"")</f>
        <v/>
      </c>
      <c r="S22" s="70" t="str">
        <f>IF(S$2="Y",IF(MaGic_AVM_Land!S22=0,"",MaGic_AVM_Land!S22),"")</f>
        <v/>
      </c>
      <c r="T22" s="70" t="str">
        <f>IF(T$2="Y",IF(MaGic_AVM_Land!T22=0,"",MaGic_AVM_Land!T22),"")</f>
        <v/>
      </c>
      <c r="U22" s="70" t="str">
        <f>IF(U$2="Y",IF(MaGic_AVM_Land!U22=0,"",MaGic_AVM_Land!U22),"")</f>
        <v/>
      </c>
      <c r="V22" s="70" t="str">
        <f>IF(V$2="Y",IF(MaGic_AVM_Land!V22=0,"",MaGic_AVM_Land!V22),"")</f>
        <v/>
      </c>
      <c r="W22" s="70" t="str">
        <f>IF(W$2="Y",IF(MaGic_AVM_Land!W22=0,"",MaGic_AVM_Land!W22),"")</f>
        <v/>
      </c>
      <c r="X22" s="70" t="str">
        <f>IF(X$2="Y",IF(MaGic_AVM_Land!X22=0,"",MaGic_AVM_Land!X22),"")</f>
        <v/>
      </c>
      <c r="Y22" s="70" t="str">
        <f>IF(Y$2="Y",IF(MaGic_AVM_Land!Y22=0,"",MaGic_AVM_Land!Y22),"")</f>
        <v/>
      </c>
      <c r="Z22" s="70" t="str">
        <f>IF(Z$2="Y",IF(MaGic_AVM_Land!Z22=0,"",MaGic_AVM_Land!Z22),"")</f>
        <v/>
      </c>
      <c r="AA22" s="69" t="str">
        <f t="shared" si="2"/>
        <v/>
      </c>
      <c r="AB22" s="69" t="str" cm="1">
        <f t="array" ref="AB22">_xlfn.UNIQUE(C22:Z22,TRUE,FALSE)</f>
        <v/>
      </c>
    </row>
    <row r="23" spans="1:52">
      <c r="A23" s="69">
        <v>21</v>
      </c>
      <c r="B23" s="69" t="s">
        <v>83</v>
      </c>
      <c r="C23" s="70" t="str">
        <f>IF(C$2="Y",IF(MaGic_AVM_Land!C23=0,"",MaGic_AVM_Land!C23),"")</f>
        <v/>
      </c>
      <c r="D23" s="70" t="str">
        <f>IF(D$2="Y",IF(MaGic_AVM_Land!D23=0,"",MaGic_AVM_Land!D23),"")</f>
        <v/>
      </c>
      <c r="E23" s="70" t="str">
        <f>IF(E$2="Y",IF(MaGic_AVM_Land!E23=0,"",MaGic_AVM_Land!E23),"")</f>
        <v/>
      </c>
      <c r="F23" s="70" t="str">
        <f>IF(F$2="Y",IF(MaGic_AVM_Land!F23=0,"",MaGic_AVM_Land!F23),"")</f>
        <v/>
      </c>
      <c r="G23" s="70" t="str">
        <f>IF(G$2="Y",IF(MaGic_AVM_Land!G23=0,"",MaGic_AVM_Land!G23),"")</f>
        <v/>
      </c>
      <c r="H23" s="70" t="str">
        <f>IF(H$2="Y",IF(MaGic_AVM_Land!H23=0,"",MaGic_AVM_Land!H23),"")</f>
        <v/>
      </c>
      <c r="I23" s="70" t="str">
        <f>IF(I$2="Y",IF(MaGic_AVM_Land!I23=0,"",MaGic_AVM_Land!I23),"")</f>
        <v/>
      </c>
      <c r="J23" s="70" t="str">
        <f>IF(J$2="Y",IF(MaGic_AVM_Land!J23=0,"",MaGic_AVM_Land!J23),"")</f>
        <v/>
      </c>
      <c r="K23" s="70" t="str">
        <f>IF(K$2="Y",IF(MaGic_AVM_Land!K23=0,"",MaGic_AVM_Land!K23),"")</f>
        <v/>
      </c>
      <c r="L23" s="70" t="str">
        <f>IF(L$2="Y",IF(MaGic_AVM_Land!L23=0,"",MaGic_AVM_Land!L23),"")</f>
        <v/>
      </c>
      <c r="M23" s="70" t="str">
        <f>IF(M$2="Y",IF(MaGic_AVM_Land!M23=0,"",MaGic_AVM_Land!M23),"")</f>
        <v/>
      </c>
      <c r="N23" s="70" t="str">
        <f>IF(N$2="Y",IF(MaGic_AVM_Land!N23=0,"",MaGic_AVM_Land!N23),"")</f>
        <v/>
      </c>
      <c r="O23" s="70" t="str">
        <f>IF(O$2="Y",IF(MaGic_AVM_Land!O23=0,"",MaGic_AVM_Land!O23),"")</f>
        <v/>
      </c>
      <c r="P23" s="70" t="str">
        <f>IF(P$2="Y",IF(MaGic_AVM_Land!P23=0,"",MaGic_AVM_Land!P23),"")</f>
        <v/>
      </c>
      <c r="Q23" s="70" t="str">
        <f>IF(Q$2="Y",IF(MaGic_AVM_Land!Q23=0,"",MaGic_AVM_Land!Q23),"")</f>
        <v/>
      </c>
      <c r="R23" s="70" t="str">
        <f>IF(R$2="Y",IF(MaGic_AVM_Land!R23=0,"",MaGic_AVM_Land!R23),"")</f>
        <v/>
      </c>
      <c r="S23" s="70" t="str">
        <f>IF(S$2="Y",IF(MaGic_AVM_Land!S23=0,"",MaGic_AVM_Land!S23),"")</f>
        <v/>
      </c>
      <c r="T23" s="70" t="str">
        <f>IF(T$2="Y",IF(MaGic_AVM_Land!T23=0,"",MaGic_AVM_Land!T23),"")</f>
        <v/>
      </c>
      <c r="U23" s="70" t="str">
        <f>IF(U$2="Y",IF(MaGic_AVM_Land!U23=0,"",MaGic_AVM_Land!U23),"")</f>
        <v/>
      </c>
      <c r="V23" s="70" t="str">
        <f>IF(V$2="Y",IF(MaGic_AVM_Land!V23=0,"",MaGic_AVM_Land!V23),"")</f>
        <v/>
      </c>
      <c r="W23" s="70" t="str">
        <f>IF(W$2="Y",IF(MaGic_AVM_Land!W23=0,"",MaGic_AVM_Land!W23),"")</f>
        <v/>
      </c>
      <c r="X23" s="70" t="str">
        <f>IF(X$2="Y",IF(MaGic_AVM_Land!X23=0,"",MaGic_AVM_Land!X23),"")</f>
        <v/>
      </c>
      <c r="Y23" s="70" t="str">
        <f>IF(Y$2="Y",IF(MaGic_AVM_Land!Y23=0,"",MaGic_AVM_Land!Y23),"")</f>
        <v/>
      </c>
      <c r="Z23" s="70" t="str">
        <f>IF(Z$2="Y",IF(MaGic_AVM_Land!Z23=0,"",MaGic_AVM_Land!Z23),"")</f>
        <v/>
      </c>
      <c r="AA23" s="69">
        <f>SUM(C23:Z23)</f>
        <v>0</v>
      </c>
      <c r="AB23" s="69" t="str" cm="1">
        <f t="array" ref="AB23">_xlfn.UNIQUE(C23:Z23,TRUE,FALSE)</f>
        <v/>
      </c>
    </row>
    <row r="24" spans="1:52">
      <c r="A24" s="69">
        <v>22</v>
      </c>
      <c r="B24" s="69" t="s">
        <v>84</v>
      </c>
      <c r="C24" s="70" t="str">
        <f>IF(C$2="Y",IF(MaGic_AVM_Land!C24=0,"",MaGic_AVM_Land!C24),"")</f>
        <v/>
      </c>
      <c r="D24" s="70" t="str">
        <f>IF(D$2="Y",IF(MaGic_AVM_Land!D24=0,"",MaGic_AVM_Land!D24),"")</f>
        <v/>
      </c>
      <c r="E24" s="70" t="str">
        <f>IF(E$2="Y",IF(MaGic_AVM_Land!E24=0,"",MaGic_AVM_Land!E24),"")</f>
        <v/>
      </c>
      <c r="F24" s="70" t="str">
        <f>IF(F$2="Y",IF(MaGic_AVM_Land!F24=0,"",MaGic_AVM_Land!F24),"")</f>
        <v/>
      </c>
      <c r="G24" s="70" t="str">
        <f>IF(G$2="Y",IF(MaGic_AVM_Land!G24=0,"",MaGic_AVM_Land!G24),"")</f>
        <v/>
      </c>
      <c r="H24" s="70" t="str">
        <f>IF(H$2="Y",IF(MaGic_AVM_Land!H24=0,"",MaGic_AVM_Land!H24),"")</f>
        <v/>
      </c>
      <c r="I24" s="70" t="str">
        <f>IF(I$2="Y",IF(MaGic_AVM_Land!I24=0,"",MaGic_AVM_Land!I24),"")</f>
        <v/>
      </c>
      <c r="J24" s="70" t="str">
        <f>IF(J$2="Y",IF(MaGic_AVM_Land!J24=0,"",MaGic_AVM_Land!J24),"")</f>
        <v/>
      </c>
      <c r="K24" s="70" t="str">
        <f>IF(K$2="Y",IF(MaGic_AVM_Land!K24=0,"",MaGic_AVM_Land!K24),"")</f>
        <v/>
      </c>
      <c r="L24" s="70" t="str">
        <f>IF(L$2="Y",IF(MaGic_AVM_Land!L24=0,"",MaGic_AVM_Land!L24),"")</f>
        <v/>
      </c>
      <c r="M24" s="70" t="str">
        <f>IF(M$2="Y",IF(MaGic_AVM_Land!M24=0,"",MaGic_AVM_Land!M24),"")</f>
        <v/>
      </c>
      <c r="N24" s="70" t="str">
        <f>IF(N$2="Y",IF(MaGic_AVM_Land!N24=0,"",MaGic_AVM_Land!N24),"")</f>
        <v/>
      </c>
      <c r="O24" s="70" t="str">
        <f>IF(O$2="Y",IF(MaGic_AVM_Land!O24=0,"",MaGic_AVM_Land!O24),"")</f>
        <v/>
      </c>
      <c r="P24" s="70" t="str">
        <f>IF(P$2="Y",IF(MaGic_AVM_Land!P24=0,"",MaGic_AVM_Land!P24),"")</f>
        <v/>
      </c>
      <c r="Q24" s="70" t="str">
        <f>IF(Q$2="Y",IF(MaGic_AVM_Land!Q24=0,"",MaGic_AVM_Land!Q24),"")</f>
        <v/>
      </c>
      <c r="R24" s="70" t="str">
        <f>IF(R$2="Y",IF(MaGic_AVM_Land!R24=0,"",MaGic_AVM_Land!R24),"")</f>
        <v/>
      </c>
      <c r="S24" s="70" t="str">
        <f>IF(S$2="Y",IF(MaGic_AVM_Land!S24=0,"",MaGic_AVM_Land!S24),"")</f>
        <v/>
      </c>
      <c r="T24" s="70" t="str">
        <f>IF(T$2="Y",IF(MaGic_AVM_Land!T24=0,"",MaGic_AVM_Land!T24),"")</f>
        <v/>
      </c>
      <c r="U24" s="70" t="str">
        <f>IF(U$2="Y",IF(MaGic_AVM_Land!U24=0,"",MaGic_AVM_Land!U24),"")</f>
        <v/>
      </c>
      <c r="V24" s="70" t="str">
        <f>IF(V$2="Y",IF(MaGic_AVM_Land!V24=0,"",MaGic_AVM_Land!V24),"")</f>
        <v/>
      </c>
      <c r="W24" s="70" t="str">
        <f>IF(W$2="Y",IF(MaGic_AVM_Land!W24=0,"",MaGic_AVM_Land!W24),"")</f>
        <v/>
      </c>
      <c r="X24" s="70" t="str">
        <f>IF(X$2="Y",IF(MaGic_AVM_Land!X24=0,"",MaGic_AVM_Land!X24),"")</f>
        <v/>
      </c>
      <c r="Y24" s="70" t="str">
        <f>IF(Y$2="Y",IF(MaGic_AVM_Land!Y24=0,"",MaGic_AVM_Land!Y24),"")</f>
        <v/>
      </c>
      <c r="Z24" s="70" t="str">
        <f>IF(Z$2="Y",IF(MaGic_AVM_Land!Z24=0,"",MaGic_AVM_Land!Z24),"")</f>
        <v/>
      </c>
      <c r="AA24" s="69" t="str">
        <f>_xlfn.TEXTJOIN(", ",TRUE,AB24:AZ24)</f>
        <v/>
      </c>
      <c r="AB24" s="69" t="str" cm="1">
        <f t="array" ref="AB24">_xlfn.UNIQUE(C24:Z24,TRUE,FALSE)</f>
        <v/>
      </c>
    </row>
    <row r="25" spans="1:52">
      <c r="B25" s="69" t="s">
        <v>168</v>
      </c>
      <c r="C25" s="70" t="str">
        <f>IF(C$2="Y",IF(MaGic_AVM_Land!C25=0,"",MaGic_AVM_Land!C25),"")</f>
        <v/>
      </c>
      <c r="D25" s="70" t="str">
        <f>IF(D$2="Y",IF(MaGic_AVM_Land!D25=0,"",MaGic_AVM_Land!D25),"")</f>
        <v/>
      </c>
      <c r="E25" s="70" t="str">
        <f>IF(E$2="Y",IF(MaGic_AVM_Land!E25=0,"",MaGic_AVM_Land!E25),"")</f>
        <v/>
      </c>
      <c r="F25" s="70" t="str">
        <f>IF(F$2="Y",IF(MaGic_AVM_Land!F25=0,"",MaGic_AVM_Land!F25),"")</f>
        <v/>
      </c>
      <c r="G25" s="70" t="str">
        <f>IF(G$2="Y",IF(MaGic_AVM_Land!G25=0,"",MaGic_AVM_Land!G25),"")</f>
        <v/>
      </c>
      <c r="H25" s="70" t="str">
        <f>IF(H$2="Y",IF(MaGic_AVM_Land!H25=0,"",MaGic_AVM_Land!H25),"")</f>
        <v/>
      </c>
      <c r="I25" s="70" t="str">
        <f>IF(I$2="Y",IF(MaGic_AVM_Land!I25=0,"",MaGic_AVM_Land!I25),"")</f>
        <v/>
      </c>
      <c r="J25" s="70" t="str">
        <f>IF(J$2="Y",IF(MaGic_AVM_Land!J25=0,"",MaGic_AVM_Land!J25),"")</f>
        <v/>
      </c>
      <c r="K25" s="70" t="str">
        <f>IF(K$2="Y",IF(MaGic_AVM_Land!K25=0,"",MaGic_AVM_Land!K25),"")</f>
        <v/>
      </c>
      <c r="L25" s="70" t="str">
        <f>IF(L$2="Y",IF(MaGic_AVM_Land!L25=0,"",MaGic_AVM_Land!L25),"")</f>
        <v/>
      </c>
      <c r="M25" s="70" t="str">
        <f>IF(M$2="Y",IF(MaGic_AVM_Land!M25=0,"",MaGic_AVM_Land!M25),"")</f>
        <v/>
      </c>
      <c r="N25" s="70" t="str">
        <f>IF(N$2="Y",IF(MaGic_AVM_Land!N25=0,"",MaGic_AVM_Land!N25),"")</f>
        <v/>
      </c>
      <c r="O25" s="70" t="str">
        <f>IF(O$2="Y",IF(MaGic_AVM_Land!O25=0,"",MaGic_AVM_Land!O25),"")</f>
        <v/>
      </c>
      <c r="P25" s="70" t="str">
        <f>IF(P$2="Y",IF(MaGic_AVM_Land!P25=0,"",MaGic_AVM_Land!P25),"")</f>
        <v/>
      </c>
      <c r="Q25" s="70" t="str">
        <f>IF(Q$2="Y",IF(MaGic_AVM_Land!Q25=0,"",MaGic_AVM_Land!Q25),"")</f>
        <v/>
      </c>
      <c r="R25" s="70" t="str">
        <f>IF(R$2="Y",IF(MaGic_AVM_Land!R25=0,"",MaGic_AVM_Land!R25),"")</f>
        <v/>
      </c>
      <c r="S25" s="70" t="str">
        <f>IF(S$2="Y",IF(MaGic_AVM_Land!S25=0,"",MaGic_AVM_Land!S25),"")</f>
        <v/>
      </c>
      <c r="T25" s="70" t="str">
        <f>IF(T$2="Y",IF(MaGic_AVM_Land!T25=0,"",MaGic_AVM_Land!T25),"")</f>
        <v/>
      </c>
      <c r="U25" s="70" t="str">
        <f>IF(U$2="Y",IF(MaGic_AVM_Land!U25=0,"",MaGic_AVM_Land!U25),"")</f>
        <v/>
      </c>
      <c r="V25" s="70" t="str">
        <f>IF(V$2="Y",IF(MaGic_AVM_Land!V25=0,"",MaGic_AVM_Land!V25),"")</f>
        <v/>
      </c>
      <c r="W25" s="70" t="str">
        <f>IF(W$2="Y",IF(MaGic_AVM_Land!W25=0,"",MaGic_AVM_Land!W25),"")</f>
        <v/>
      </c>
      <c r="X25" s="70" t="str">
        <f>IF(X$2="Y",IF(MaGic_AVM_Land!X25=0,"",MaGic_AVM_Land!X25),"")</f>
        <v/>
      </c>
      <c r="Y25" s="70" t="str">
        <f>IF(Y$2="Y",IF(MaGic_AVM_Land!Y25=0,"",MaGic_AVM_Land!Y25),"")</f>
        <v/>
      </c>
      <c r="Z25" s="70" t="str">
        <f>IF(Z$2="Y",IF(MaGic_AVM_Land!Z25=0,"",MaGic_AVM_Land!Z25),"")</f>
        <v/>
      </c>
      <c r="AB25" s="69" t="str" cm="1">
        <f t="array" ref="AB25">_xlfn.UNIQUE(C25:Z25,TRUE,FALSE)</f>
        <v/>
      </c>
    </row>
    <row r="26" spans="1:52">
      <c r="A26" s="69">
        <v>24</v>
      </c>
      <c r="B26" s="69" t="s">
        <v>91</v>
      </c>
      <c r="C26" s="70" t="str">
        <f>IF(C$2="Y",IF(MaGic_AVM_Land!C26=0,"",MaGic_AVM_Land!C26),"")</f>
        <v/>
      </c>
      <c r="D26" s="70" t="str">
        <f>IF(D$2="Y",IF(MaGic_AVM_Land!D26=0,"",MaGic_AVM_Land!D26),"")</f>
        <v/>
      </c>
      <c r="E26" s="70" t="str">
        <f>IF(E$2="Y",IF(MaGic_AVM_Land!E26=0,"",MaGic_AVM_Land!E26),"")</f>
        <v/>
      </c>
      <c r="F26" s="70" t="str">
        <f>IF(F$2="Y",IF(MaGic_AVM_Land!F26=0,"",MaGic_AVM_Land!F26),"")</f>
        <v/>
      </c>
      <c r="G26" s="70" t="str">
        <f>IF(G$2="Y",IF(MaGic_AVM_Land!G26=0,"",MaGic_AVM_Land!G26),"")</f>
        <v/>
      </c>
      <c r="H26" s="70" t="str">
        <f>IF(H$2="Y",IF(MaGic_AVM_Land!H26=0,"",MaGic_AVM_Land!H26),"")</f>
        <v/>
      </c>
      <c r="I26" s="70" t="str">
        <f>IF(I$2="Y",IF(MaGic_AVM_Land!I26=0,"",MaGic_AVM_Land!I26),"")</f>
        <v/>
      </c>
      <c r="J26" s="70" t="str">
        <f>IF(J$2="Y",IF(MaGic_AVM_Land!J26=0,"",MaGic_AVM_Land!J26),"")</f>
        <v/>
      </c>
      <c r="K26" s="70" t="str">
        <f>IF(K$2="Y",IF(MaGic_AVM_Land!K26=0,"",MaGic_AVM_Land!K26),"")</f>
        <v/>
      </c>
      <c r="L26" s="70" t="str">
        <f>IF(L$2="Y",IF(MaGic_AVM_Land!L26=0,"",MaGic_AVM_Land!L26),"")</f>
        <v/>
      </c>
      <c r="M26" s="70" t="str">
        <f>IF(M$2="Y",IF(MaGic_AVM_Land!M26=0,"",MaGic_AVM_Land!M26),"")</f>
        <v/>
      </c>
      <c r="N26" s="70" t="str">
        <f>IF(N$2="Y",IF(MaGic_AVM_Land!N26=0,"",MaGic_AVM_Land!N26),"")</f>
        <v/>
      </c>
      <c r="O26" s="70" t="str">
        <f>IF(O$2="Y",IF(MaGic_AVM_Land!O26=0,"",MaGic_AVM_Land!O26),"")</f>
        <v/>
      </c>
      <c r="P26" s="70" t="str">
        <f>IF(P$2="Y",IF(MaGic_AVM_Land!P26=0,"",MaGic_AVM_Land!P26),"")</f>
        <v/>
      </c>
      <c r="Q26" s="70" t="str">
        <f>IF(Q$2="Y",IF(MaGic_AVM_Land!Q26=0,"",MaGic_AVM_Land!Q26),"")</f>
        <v/>
      </c>
      <c r="R26" s="70" t="str">
        <f>IF(R$2="Y",IF(MaGic_AVM_Land!R26=0,"",MaGic_AVM_Land!R26),"")</f>
        <v/>
      </c>
      <c r="S26" s="70" t="str">
        <f>IF(S$2="Y",IF(MaGic_AVM_Land!S26=0,"",MaGic_AVM_Land!S26),"")</f>
        <v/>
      </c>
      <c r="T26" s="70" t="str">
        <f>IF(T$2="Y",IF(MaGic_AVM_Land!T26=0,"",MaGic_AVM_Land!T26),"")</f>
        <v/>
      </c>
      <c r="U26" s="70" t="str">
        <f>IF(U$2="Y",IF(MaGic_AVM_Land!U26=0,"",MaGic_AVM_Land!U26),"")</f>
        <v/>
      </c>
      <c r="V26" s="70" t="str">
        <f>IF(V$2="Y",IF(MaGic_AVM_Land!V26=0,"",MaGic_AVM_Land!V26),"")</f>
        <v/>
      </c>
      <c r="W26" s="70" t="str">
        <f>IF(W$2="Y",IF(MaGic_AVM_Land!W26=0,"",MaGic_AVM_Land!W26),"")</f>
        <v/>
      </c>
      <c r="X26" s="70" t="str">
        <f>IF(X$2="Y",IF(MaGic_AVM_Land!X26=0,"",MaGic_AVM_Land!X26),"")</f>
        <v/>
      </c>
      <c r="Y26" s="70" t="str">
        <f>IF(Y$2="Y",IF(MaGic_AVM_Land!Y26=0,"",MaGic_AVM_Land!Y26),"")</f>
        <v/>
      </c>
      <c r="Z26" s="70" t="str">
        <f>IF(Z$2="Y",IF(MaGic_AVM_Land!Z26=0,"",MaGic_AVM_Land!Z26),"")</f>
        <v/>
      </c>
      <c r="AA26" s="68" t="str">
        <f>_xlfn.TEXTJOIN(",",TRUE,AB26:AZ26)</f>
        <v/>
      </c>
      <c r="AB26" s="68" t="str" cm="1">
        <f t="array" ref="AB26">_xlfn.UNIQUE(C26:Z26,TRUE,FALSE)</f>
        <v/>
      </c>
      <c r="AC26" s="68"/>
      <c r="AD26" s="68"/>
      <c r="AE26" s="68"/>
      <c r="AF26" s="68"/>
      <c r="AG26" s="68"/>
      <c r="AH26" s="68"/>
      <c r="AI26" s="68"/>
      <c r="AJ26" s="68"/>
      <c r="AK26" s="68"/>
      <c r="AL26" s="68"/>
      <c r="AM26" s="68"/>
      <c r="AN26" s="68"/>
      <c r="AO26" s="68"/>
      <c r="AP26" s="68"/>
      <c r="AQ26" s="68"/>
      <c r="AR26" s="68"/>
      <c r="AS26" s="68"/>
      <c r="AT26" s="68"/>
      <c r="AU26" s="68"/>
      <c r="AV26" s="68"/>
      <c r="AW26" s="68"/>
      <c r="AX26" s="68"/>
      <c r="AY26" s="68"/>
      <c r="AZ26" s="68"/>
    </row>
    <row r="27" spans="1:52">
      <c r="A27" s="69">
        <v>25</v>
      </c>
      <c r="B27" s="69" t="s">
        <v>94</v>
      </c>
      <c r="C27" s="70" t="str">
        <f>IF(C$2="Y",IF(MaGic_AVM_Land!C27=0,"",MaGic_AVM_Land!C27),"")</f>
        <v/>
      </c>
      <c r="D27" s="70" t="str">
        <f>IF(D$2="Y",IF(MaGic_AVM_Land!D27=0,"",MaGic_AVM_Land!D27),"")</f>
        <v/>
      </c>
      <c r="E27" s="70" t="str">
        <f>IF(E$2="Y",IF(MaGic_AVM_Land!E27=0,"",MaGic_AVM_Land!E27),"")</f>
        <v/>
      </c>
      <c r="F27" s="70" t="str">
        <f>IF(F$2="Y",IF(MaGic_AVM_Land!F27=0,"",MaGic_AVM_Land!F27),"")</f>
        <v/>
      </c>
      <c r="G27" s="70" t="str">
        <f>IF(G$2="Y",IF(MaGic_AVM_Land!G27=0,"",MaGic_AVM_Land!G27),"")</f>
        <v/>
      </c>
      <c r="H27" s="70" t="str">
        <f>IF(H$2="Y",IF(MaGic_AVM_Land!H27=0,"",MaGic_AVM_Land!H27),"")</f>
        <v/>
      </c>
      <c r="I27" s="70" t="str">
        <f>IF(I$2="Y",IF(MaGic_AVM_Land!I27=0,"",MaGic_AVM_Land!I27),"")</f>
        <v/>
      </c>
      <c r="J27" s="70" t="str">
        <f>IF(J$2="Y",IF(MaGic_AVM_Land!J27=0,"",MaGic_AVM_Land!J27),"")</f>
        <v/>
      </c>
      <c r="K27" s="70" t="str">
        <f>IF(K$2="Y",IF(MaGic_AVM_Land!K27=0,"",MaGic_AVM_Land!K27),"")</f>
        <v/>
      </c>
      <c r="L27" s="70" t="str">
        <f>IF(L$2="Y",IF(MaGic_AVM_Land!L27=0,"",MaGic_AVM_Land!L27),"")</f>
        <v/>
      </c>
      <c r="M27" s="70" t="str">
        <f>IF(M$2="Y",IF(MaGic_AVM_Land!M27=0,"",MaGic_AVM_Land!M27),"")</f>
        <v/>
      </c>
      <c r="N27" s="70" t="str">
        <f>IF(N$2="Y",IF(MaGic_AVM_Land!N27=0,"",MaGic_AVM_Land!N27),"")</f>
        <v/>
      </c>
      <c r="O27" s="70" t="str">
        <f>IF(O$2="Y",IF(MaGic_AVM_Land!O27=0,"",MaGic_AVM_Land!O27),"")</f>
        <v/>
      </c>
      <c r="P27" s="70" t="str">
        <f>IF(P$2="Y",IF(MaGic_AVM_Land!P27=0,"",MaGic_AVM_Land!P27),"")</f>
        <v/>
      </c>
      <c r="Q27" s="70" t="str">
        <f>IF(Q$2="Y",IF(MaGic_AVM_Land!Q27=0,"",MaGic_AVM_Land!Q27),"")</f>
        <v/>
      </c>
      <c r="R27" s="70" t="str">
        <f>IF(R$2="Y",IF(MaGic_AVM_Land!R27=0,"",MaGic_AVM_Land!R27),"")</f>
        <v/>
      </c>
      <c r="S27" s="70" t="str">
        <f>IF(S$2="Y",IF(MaGic_AVM_Land!S27=0,"",MaGic_AVM_Land!S27),"")</f>
        <v/>
      </c>
      <c r="T27" s="70" t="str">
        <f>IF(T$2="Y",IF(MaGic_AVM_Land!T27=0,"",MaGic_AVM_Land!T27),"")</f>
        <v/>
      </c>
      <c r="U27" s="70" t="str">
        <f>IF(U$2="Y",IF(MaGic_AVM_Land!U27=0,"",MaGic_AVM_Land!U27),"")</f>
        <v/>
      </c>
      <c r="V27" s="70" t="str">
        <f>IF(V$2="Y",IF(MaGic_AVM_Land!V27=0,"",MaGic_AVM_Land!V27),"")</f>
        <v/>
      </c>
      <c r="W27" s="70" t="str">
        <f>IF(W$2="Y",IF(MaGic_AVM_Land!W27=0,"",MaGic_AVM_Land!W27),"")</f>
        <v/>
      </c>
      <c r="X27" s="70" t="str">
        <f>IF(X$2="Y",IF(MaGic_AVM_Land!X27=0,"",MaGic_AVM_Land!X27),"")</f>
        <v/>
      </c>
      <c r="Y27" s="70" t="str">
        <f>IF(Y$2="Y",IF(MaGic_AVM_Land!Y27=0,"",MaGic_AVM_Land!Y27),"")</f>
        <v/>
      </c>
      <c r="Z27" s="70" t="str">
        <f>IF(Z$2="Y",IF(MaGic_AVM_Land!Z27=0,"",MaGic_AVM_Land!Z27),"")</f>
        <v/>
      </c>
      <c r="AA27" s="68" t="str">
        <f t="shared" ref="AA27:AA29" si="3">_xlfn.TEXTJOIN(",",TRUE,AB27:AZ27)</f>
        <v/>
      </c>
      <c r="AB27" s="68" t="str" cm="1">
        <f t="array" ref="AB27">_xlfn.UNIQUE(C27:Z27,TRUE,FALSE)</f>
        <v/>
      </c>
      <c r="AC27" s="68"/>
      <c r="AD27" s="68"/>
      <c r="AE27" s="68"/>
      <c r="AF27" s="68"/>
      <c r="AG27" s="68"/>
      <c r="AH27" s="68"/>
      <c r="AI27" s="68"/>
      <c r="AJ27" s="68"/>
      <c r="AK27" s="68"/>
      <c r="AL27" s="68"/>
      <c r="AM27" s="68"/>
      <c r="AN27" s="68"/>
      <c r="AO27" s="68"/>
      <c r="AP27" s="68"/>
      <c r="AQ27" s="68"/>
      <c r="AR27" s="68"/>
      <c r="AS27" s="68"/>
      <c r="AT27" s="68"/>
      <c r="AU27" s="68"/>
      <c r="AV27" s="68"/>
      <c r="AW27" s="68"/>
      <c r="AX27" s="68"/>
      <c r="AY27" s="68"/>
      <c r="AZ27" s="68"/>
    </row>
    <row r="28" spans="1:52">
      <c r="A28" s="69">
        <v>26</v>
      </c>
      <c r="B28" s="69" t="s">
        <v>97</v>
      </c>
      <c r="C28" s="70" t="str">
        <f>IF(C$2="Y",IF(MaGic_AVM_Land!C28=0,"",MaGic_AVM_Land!C28),"")</f>
        <v/>
      </c>
      <c r="D28" s="70" t="str">
        <f>IF(D$2="Y",IF(MaGic_AVM_Land!D28=0,"",MaGic_AVM_Land!D28),"")</f>
        <v/>
      </c>
      <c r="E28" s="70" t="str">
        <f>IF(E$2="Y",IF(MaGic_AVM_Land!E28=0,"",MaGic_AVM_Land!E28),"")</f>
        <v/>
      </c>
      <c r="F28" s="70" t="str">
        <f>IF(F$2="Y",IF(MaGic_AVM_Land!F28=0,"",MaGic_AVM_Land!F28),"")</f>
        <v/>
      </c>
      <c r="G28" s="70" t="str">
        <f>IF(G$2="Y",IF(MaGic_AVM_Land!G28=0,"",MaGic_AVM_Land!G28),"")</f>
        <v/>
      </c>
      <c r="H28" s="70" t="str">
        <f>IF(H$2="Y",IF(MaGic_AVM_Land!H28=0,"",MaGic_AVM_Land!H28),"")</f>
        <v/>
      </c>
      <c r="I28" s="70" t="str">
        <f>IF(I$2="Y",IF(MaGic_AVM_Land!I28=0,"",MaGic_AVM_Land!I28),"")</f>
        <v/>
      </c>
      <c r="J28" s="70" t="str">
        <f>IF(J$2="Y",IF(MaGic_AVM_Land!J28=0,"",MaGic_AVM_Land!J28),"")</f>
        <v/>
      </c>
      <c r="K28" s="70" t="str">
        <f>IF(K$2="Y",IF(MaGic_AVM_Land!K28=0,"",MaGic_AVM_Land!K28),"")</f>
        <v/>
      </c>
      <c r="L28" s="70" t="str">
        <f>IF(L$2="Y",IF(MaGic_AVM_Land!L28=0,"",MaGic_AVM_Land!L28),"")</f>
        <v/>
      </c>
      <c r="M28" s="70" t="str">
        <f>IF(M$2="Y",IF(MaGic_AVM_Land!M28=0,"",MaGic_AVM_Land!M28),"")</f>
        <v/>
      </c>
      <c r="N28" s="70" t="str">
        <f>IF(N$2="Y",IF(MaGic_AVM_Land!N28=0,"",MaGic_AVM_Land!N28),"")</f>
        <v/>
      </c>
      <c r="O28" s="70" t="str">
        <f>IF(O$2="Y",IF(MaGic_AVM_Land!O28=0,"",MaGic_AVM_Land!O28),"")</f>
        <v/>
      </c>
      <c r="P28" s="70" t="str">
        <f>IF(P$2="Y",IF(MaGic_AVM_Land!P28=0,"",MaGic_AVM_Land!P28),"")</f>
        <v/>
      </c>
      <c r="Q28" s="70" t="str">
        <f>IF(Q$2="Y",IF(MaGic_AVM_Land!Q28=0,"",MaGic_AVM_Land!Q28),"")</f>
        <v/>
      </c>
      <c r="R28" s="70" t="str">
        <f>IF(R$2="Y",IF(MaGic_AVM_Land!R28=0,"",MaGic_AVM_Land!R28),"")</f>
        <v/>
      </c>
      <c r="S28" s="70" t="str">
        <f>IF(S$2="Y",IF(MaGic_AVM_Land!S28=0,"",MaGic_AVM_Land!S28),"")</f>
        <v/>
      </c>
      <c r="T28" s="70" t="str">
        <f>IF(T$2="Y",IF(MaGic_AVM_Land!T28=0,"",MaGic_AVM_Land!T28),"")</f>
        <v/>
      </c>
      <c r="U28" s="70" t="str">
        <f>IF(U$2="Y",IF(MaGic_AVM_Land!U28=0,"",MaGic_AVM_Land!U28),"")</f>
        <v/>
      </c>
      <c r="V28" s="70" t="str">
        <f>IF(V$2="Y",IF(MaGic_AVM_Land!V28=0,"",MaGic_AVM_Land!V28),"")</f>
        <v/>
      </c>
      <c r="W28" s="70" t="str">
        <f>IF(W$2="Y",IF(MaGic_AVM_Land!W28=0,"",MaGic_AVM_Land!W28),"")</f>
        <v/>
      </c>
      <c r="X28" s="70" t="str">
        <f>IF(X$2="Y",IF(MaGic_AVM_Land!X28=0,"",MaGic_AVM_Land!X28),"")</f>
        <v/>
      </c>
      <c r="Y28" s="70" t="str">
        <f>IF(Y$2="Y",IF(MaGic_AVM_Land!Y28=0,"",MaGic_AVM_Land!Y28),"")</f>
        <v/>
      </c>
      <c r="Z28" s="70" t="str">
        <f>IF(Z$2="Y",IF(MaGic_AVM_Land!Z28=0,"",MaGic_AVM_Land!Z28),"")</f>
        <v/>
      </c>
      <c r="AA28" s="68" t="str">
        <f t="shared" si="3"/>
        <v/>
      </c>
      <c r="AB28" s="68" t="str" cm="1">
        <f t="array" ref="AB28">_xlfn.UNIQUE(C28:Z28,TRUE,FALSE)</f>
        <v/>
      </c>
      <c r="AC28" s="68"/>
      <c r="AD28" s="68"/>
      <c r="AE28" s="68"/>
      <c r="AF28" s="68"/>
      <c r="AG28" s="68"/>
      <c r="AH28" s="68"/>
      <c r="AI28" s="68"/>
      <c r="AJ28" s="68"/>
      <c r="AK28" s="68"/>
      <c r="AL28" s="68"/>
      <c r="AM28" s="68"/>
      <c r="AN28" s="68"/>
      <c r="AO28" s="68"/>
      <c r="AP28" s="68"/>
      <c r="AQ28" s="68"/>
      <c r="AR28" s="68"/>
      <c r="AS28" s="68"/>
      <c r="AT28" s="68"/>
      <c r="AU28" s="68"/>
      <c r="AV28" s="68"/>
      <c r="AW28" s="68"/>
      <c r="AX28" s="68"/>
      <c r="AY28" s="68"/>
      <c r="AZ28" s="68"/>
    </row>
    <row r="29" spans="1:52">
      <c r="A29" s="69">
        <v>27</v>
      </c>
      <c r="B29" s="69" t="s">
        <v>100</v>
      </c>
      <c r="C29" s="70" t="str">
        <f>IF(C$2="Y",IF(MaGic_AVM_Land!C29=0,"",MaGic_AVM_Land!C29),"")</f>
        <v/>
      </c>
      <c r="D29" s="70" t="str">
        <f>IF(D$2="Y",IF(MaGic_AVM_Land!D29=0,"",MaGic_AVM_Land!D29),"")</f>
        <v/>
      </c>
      <c r="E29" s="70" t="str">
        <f>IF(E$2="Y",IF(MaGic_AVM_Land!E29=0,"",MaGic_AVM_Land!E29),"")</f>
        <v/>
      </c>
      <c r="F29" s="70" t="str">
        <f>IF(F$2="Y",IF(MaGic_AVM_Land!F29=0,"",MaGic_AVM_Land!F29),"")</f>
        <v/>
      </c>
      <c r="G29" s="70" t="str">
        <f>IF(G$2="Y",IF(MaGic_AVM_Land!G29=0,"",MaGic_AVM_Land!G29),"")</f>
        <v/>
      </c>
      <c r="H29" s="70" t="str">
        <f>IF(H$2="Y",IF(MaGic_AVM_Land!H29=0,"",MaGic_AVM_Land!H29),"")</f>
        <v/>
      </c>
      <c r="I29" s="70" t="str">
        <f>IF(I$2="Y",IF(MaGic_AVM_Land!I29=0,"",MaGic_AVM_Land!I29),"")</f>
        <v/>
      </c>
      <c r="J29" s="70" t="str">
        <f>IF(J$2="Y",IF(MaGic_AVM_Land!J29=0,"",MaGic_AVM_Land!J29),"")</f>
        <v/>
      </c>
      <c r="K29" s="70" t="str">
        <f>IF(K$2="Y",IF(MaGic_AVM_Land!K29=0,"",MaGic_AVM_Land!K29),"")</f>
        <v/>
      </c>
      <c r="L29" s="70" t="str">
        <f>IF(L$2="Y",IF(MaGic_AVM_Land!L29=0,"",MaGic_AVM_Land!L29),"")</f>
        <v/>
      </c>
      <c r="M29" s="70" t="str">
        <f>IF(M$2="Y",IF(MaGic_AVM_Land!M29=0,"",MaGic_AVM_Land!M29),"")</f>
        <v/>
      </c>
      <c r="N29" s="70" t="str">
        <f>IF(N$2="Y",IF(MaGic_AVM_Land!N29=0,"",MaGic_AVM_Land!N29),"")</f>
        <v/>
      </c>
      <c r="O29" s="70" t="str">
        <f>IF(O$2="Y",IF(MaGic_AVM_Land!O29=0,"",MaGic_AVM_Land!O29),"")</f>
        <v/>
      </c>
      <c r="P29" s="70" t="str">
        <f>IF(P$2="Y",IF(MaGic_AVM_Land!P29=0,"",MaGic_AVM_Land!P29),"")</f>
        <v/>
      </c>
      <c r="Q29" s="70" t="str">
        <f>IF(Q$2="Y",IF(MaGic_AVM_Land!Q29=0,"",MaGic_AVM_Land!Q29),"")</f>
        <v/>
      </c>
      <c r="R29" s="70" t="str">
        <f>IF(R$2="Y",IF(MaGic_AVM_Land!R29=0,"",MaGic_AVM_Land!R29),"")</f>
        <v/>
      </c>
      <c r="S29" s="70" t="str">
        <f>IF(S$2="Y",IF(MaGic_AVM_Land!S29=0,"",MaGic_AVM_Land!S29),"")</f>
        <v/>
      </c>
      <c r="T29" s="70" t="str">
        <f>IF(T$2="Y",IF(MaGic_AVM_Land!T29=0,"",MaGic_AVM_Land!T29),"")</f>
        <v/>
      </c>
      <c r="U29" s="70" t="str">
        <f>IF(U$2="Y",IF(MaGic_AVM_Land!U29=0,"",MaGic_AVM_Land!U29),"")</f>
        <v/>
      </c>
      <c r="V29" s="70" t="str">
        <f>IF(V$2="Y",IF(MaGic_AVM_Land!V29=0,"",MaGic_AVM_Land!V29),"")</f>
        <v/>
      </c>
      <c r="W29" s="70" t="str">
        <f>IF(W$2="Y",IF(MaGic_AVM_Land!W29=0,"",MaGic_AVM_Land!W29),"")</f>
        <v/>
      </c>
      <c r="X29" s="70" t="str">
        <f>IF(X$2="Y",IF(MaGic_AVM_Land!X29=0,"",MaGic_AVM_Land!X29),"")</f>
        <v/>
      </c>
      <c r="Y29" s="70" t="str">
        <f>IF(Y$2="Y",IF(MaGic_AVM_Land!Y29=0,"",MaGic_AVM_Land!Y29),"")</f>
        <v/>
      </c>
      <c r="Z29" s="70" t="str">
        <f>IF(Z$2="Y",IF(MaGic_AVM_Land!Z29=0,"",MaGic_AVM_Land!Z29),"")</f>
        <v/>
      </c>
      <c r="AA29" s="68" t="str">
        <f t="shared" si="3"/>
        <v/>
      </c>
      <c r="AB29" s="68" t="str" cm="1">
        <f t="array" ref="AB29">_xlfn.UNIQUE(C29:Z29,TRUE,FALSE)</f>
        <v/>
      </c>
      <c r="AC29" s="68"/>
      <c r="AD29" s="68"/>
      <c r="AE29" s="68"/>
      <c r="AF29" s="68"/>
      <c r="AG29" s="68"/>
      <c r="AH29" s="68"/>
      <c r="AI29" s="68"/>
      <c r="AJ29" s="68"/>
      <c r="AK29" s="68"/>
      <c r="AL29" s="68"/>
      <c r="AM29" s="68"/>
      <c r="AN29" s="68"/>
      <c r="AO29" s="68"/>
      <c r="AP29" s="68"/>
      <c r="AQ29" s="68"/>
      <c r="AR29" s="68"/>
      <c r="AS29" s="68"/>
      <c r="AT29" s="68"/>
      <c r="AU29" s="68"/>
      <c r="AV29" s="68"/>
      <c r="AW29" s="68"/>
      <c r="AX29" s="68"/>
      <c r="AY29" s="68"/>
      <c r="AZ29" s="68"/>
    </row>
    <row r="30" spans="1:52">
      <c r="A30" s="69">
        <v>28</v>
      </c>
      <c r="B30" s="69" t="s">
        <v>175</v>
      </c>
      <c r="C30" s="70" t="str">
        <f>IF(C$2="Y",IF(MaGic_AVM_Land!C30=0,"",MaGic_AVM_Land!C30),"")</f>
        <v/>
      </c>
      <c r="D30" s="70" t="str">
        <f>IF(D$2="Y",IF(MaGic_AVM_Land!D30=0,"",MaGic_AVM_Land!D30),"")</f>
        <v/>
      </c>
      <c r="E30" s="70" t="str">
        <f>IF(E$2="Y",IF(MaGic_AVM_Land!E30=0,"",MaGic_AVM_Land!E30),"")</f>
        <v/>
      </c>
      <c r="F30" s="70" t="str">
        <f>IF(F$2="Y",IF(MaGic_AVM_Land!F30=0,"",MaGic_AVM_Land!F30),"")</f>
        <v/>
      </c>
      <c r="G30" s="70" t="str">
        <f>IF(G$2="Y",IF(MaGic_AVM_Land!G30=0,"",MaGic_AVM_Land!G30),"")</f>
        <v/>
      </c>
      <c r="H30" s="70" t="str">
        <f>IF(H$2="Y",IF(MaGic_AVM_Land!H30=0,"",MaGic_AVM_Land!H30),"")</f>
        <v/>
      </c>
      <c r="I30" s="70" t="str">
        <f>IF(I$2="Y",IF(MaGic_AVM_Land!I30=0,"",MaGic_AVM_Land!I30),"")</f>
        <v/>
      </c>
      <c r="J30" s="70" t="str">
        <f>IF(J$2="Y",IF(MaGic_AVM_Land!J30=0,"",MaGic_AVM_Land!J30),"")</f>
        <v/>
      </c>
      <c r="K30" s="70" t="str">
        <f>IF(K$2="Y",IF(MaGic_AVM_Land!K30=0,"",MaGic_AVM_Land!K30),"")</f>
        <v/>
      </c>
      <c r="L30" s="70" t="str">
        <f>IF(L$2="Y",IF(MaGic_AVM_Land!L30=0,"",MaGic_AVM_Land!L30),"")</f>
        <v/>
      </c>
      <c r="M30" s="70" t="str">
        <f>IF(M$2="Y",IF(MaGic_AVM_Land!M30=0,"",MaGic_AVM_Land!M30),"")</f>
        <v/>
      </c>
      <c r="N30" s="70" t="str">
        <f>IF(N$2="Y",IF(MaGic_AVM_Land!N30=0,"",MaGic_AVM_Land!N30),"")</f>
        <v/>
      </c>
      <c r="O30" s="70" t="str">
        <f>IF(O$2="Y",IF(MaGic_AVM_Land!O30=0,"",MaGic_AVM_Land!O30),"")</f>
        <v/>
      </c>
      <c r="P30" s="70" t="str">
        <f>IF(P$2="Y",IF(MaGic_AVM_Land!P30=0,"",MaGic_AVM_Land!P30),"")</f>
        <v/>
      </c>
      <c r="Q30" s="70" t="str">
        <f>IF(Q$2="Y",IF(MaGic_AVM_Land!Q30=0,"",MaGic_AVM_Land!Q30),"")</f>
        <v/>
      </c>
      <c r="R30" s="70" t="str">
        <f>IF(R$2="Y",IF(MaGic_AVM_Land!R30=0,"",MaGic_AVM_Land!R30),"")</f>
        <v/>
      </c>
      <c r="S30" s="70" t="str">
        <f>IF(S$2="Y",IF(MaGic_AVM_Land!S30=0,"",MaGic_AVM_Land!S30),"")</f>
        <v/>
      </c>
      <c r="T30" s="70" t="str">
        <f>IF(T$2="Y",IF(MaGic_AVM_Land!T30=0,"",MaGic_AVM_Land!T30),"")</f>
        <v/>
      </c>
      <c r="U30" s="70" t="str">
        <f>IF(U$2="Y",IF(MaGic_AVM_Land!U30=0,"",MaGic_AVM_Land!U30),"")</f>
        <v/>
      </c>
      <c r="V30" s="70" t="str">
        <f>IF(V$2="Y",IF(MaGic_AVM_Land!V30=0,"",MaGic_AVM_Land!V30),"")</f>
        <v/>
      </c>
      <c r="W30" s="70" t="str">
        <f>IF(W$2="Y",IF(MaGic_AVM_Land!W30=0,"",MaGic_AVM_Land!W30),"")</f>
        <v/>
      </c>
      <c r="X30" s="70" t="str">
        <f>IF(X$2="Y",IF(MaGic_AVM_Land!X30=0,"",MaGic_AVM_Land!X30),"")</f>
        <v/>
      </c>
      <c r="Y30" s="70" t="str">
        <f>IF(Y$2="Y",IF(MaGic_AVM_Land!Y30=0,"",MaGic_AVM_Land!Y30),"")</f>
        <v/>
      </c>
      <c r="Z30" s="70" t="str">
        <f>IF(Z$2="Y",IF(MaGic_AVM_Land!Z30=0,"",MaGic_AVM_Land!Z30),"")</f>
        <v/>
      </c>
      <c r="AB30" s="69" t="str" cm="1">
        <f t="array" ref="AB30">_xlfn.UNIQUE(C30:Z30,TRUE,FALSE)</f>
        <v/>
      </c>
    </row>
    <row r="31" spans="1:52">
      <c r="A31" s="69">
        <v>29</v>
      </c>
      <c r="B31" s="69" t="s">
        <v>1103</v>
      </c>
      <c r="C31" s="70" t="str">
        <f>IF(C$2="Y",IF(MaGic_AVM_Land!C31=0,"",MaGic_AVM_Land!C31),"")</f>
        <v/>
      </c>
      <c r="D31" s="70" t="str">
        <f>IF(D$2="Y",IF(MaGic_AVM_Land!D31=0,"",MaGic_AVM_Land!D31),"")</f>
        <v/>
      </c>
      <c r="E31" s="70" t="str">
        <f>IF(E$2="Y",IF(MaGic_AVM_Land!E31=0,"",MaGic_AVM_Land!E31),"")</f>
        <v/>
      </c>
      <c r="F31" s="70" t="str">
        <f>IF(F$2="Y",IF(MaGic_AVM_Land!F31=0,"",MaGic_AVM_Land!F31),"")</f>
        <v/>
      </c>
      <c r="G31" s="70" t="str">
        <f>IF(G$2="Y",IF(MaGic_AVM_Land!G31=0,"",MaGic_AVM_Land!G31),"")</f>
        <v/>
      </c>
      <c r="H31" s="70" t="str">
        <f>IF(H$2="Y",IF(MaGic_AVM_Land!H31=0,"",MaGic_AVM_Land!H31),"")</f>
        <v/>
      </c>
      <c r="I31" s="70" t="str">
        <f>IF(I$2="Y",IF(MaGic_AVM_Land!I31=0,"",MaGic_AVM_Land!I31),"")</f>
        <v/>
      </c>
      <c r="J31" s="70" t="str">
        <f>IF(J$2="Y",IF(MaGic_AVM_Land!J31=0,"",MaGic_AVM_Land!J31),"")</f>
        <v/>
      </c>
      <c r="K31" s="70" t="str">
        <f>IF(K$2="Y",IF(MaGic_AVM_Land!K31=0,"",MaGic_AVM_Land!K31),"")</f>
        <v/>
      </c>
      <c r="L31" s="70" t="str">
        <f>IF(L$2="Y",IF(MaGic_AVM_Land!L31=0,"",MaGic_AVM_Land!L31),"")</f>
        <v/>
      </c>
      <c r="M31" s="70" t="str">
        <f>IF(M$2="Y",IF(MaGic_AVM_Land!M31=0,"",MaGic_AVM_Land!M31),"")</f>
        <v/>
      </c>
      <c r="N31" s="70" t="str">
        <f>IF(N$2="Y",IF(MaGic_AVM_Land!N31=0,"",MaGic_AVM_Land!N31),"")</f>
        <v/>
      </c>
      <c r="O31" s="70" t="str">
        <f>IF(O$2="Y",IF(MaGic_AVM_Land!O31=0,"",MaGic_AVM_Land!O31),"")</f>
        <v/>
      </c>
      <c r="P31" s="70" t="str">
        <f>IF(P$2="Y",IF(MaGic_AVM_Land!P31=0,"",MaGic_AVM_Land!P31),"")</f>
        <v/>
      </c>
      <c r="Q31" s="70" t="str">
        <f>IF(Q$2="Y",IF(MaGic_AVM_Land!Q31=0,"",MaGic_AVM_Land!Q31),"")</f>
        <v/>
      </c>
      <c r="R31" s="70" t="str">
        <f>IF(R$2="Y",IF(MaGic_AVM_Land!R31=0,"",MaGic_AVM_Land!R31),"")</f>
        <v/>
      </c>
      <c r="S31" s="70" t="str">
        <f>IF(S$2="Y",IF(MaGic_AVM_Land!S31=0,"",MaGic_AVM_Land!S31),"")</f>
        <v/>
      </c>
      <c r="T31" s="70" t="str">
        <f>IF(T$2="Y",IF(MaGic_AVM_Land!T31=0,"",MaGic_AVM_Land!T31),"")</f>
        <v/>
      </c>
      <c r="U31" s="70" t="str">
        <f>IF(U$2="Y",IF(MaGic_AVM_Land!U31=0,"",MaGic_AVM_Land!U31),"")</f>
        <v/>
      </c>
      <c r="V31" s="70" t="str">
        <f>IF(V$2="Y",IF(MaGic_AVM_Land!V31=0,"",MaGic_AVM_Land!V31),"")</f>
        <v/>
      </c>
      <c r="W31" s="70" t="str">
        <f>IF(W$2="Y",IF(MaGic_AVM_Land!W31=0,"",MaGic_AVM_Land!W31),"")</f>
        <v/>
      </c>
      <c r="X31" s="70" t="str">
        <f>IF(X$2="Y",IF(MaGic_AVM_Land!X31=0,"",MaGic_AVM_Land!X31),"")</f>
        <v/>
      </c>
      <c r="Y31" s="70" t="str">
        <f>IF(Y$2="Y",IF(MaGic_AVM_Land!Y31=0,"",MaGic_AVM_Land!Y31),"")</f>
        <v/>
      </c>
      <c r="Z31" s="70" t="str">
        <f>IF(Z$2="Y",IF(MaGic_AVM_Land!Z31=0,"",MaGic_AVM_Land!Z31),"")</f>
        <v/>
      </c>
      <c r="AB31" s="69" t="str" cm="1">
        <f t="array" ref="AB31">_xlfn.UNIQUE(C31:Z31,TRUE,FALSE)</f>
        <v/>
      </c>
    </row>
    <row r="32" spans="1:52">
      <c r="A32" s="69">
        <v>30</v>
      </c>
      <c r="B32" s="69" t="s">
        <v>1104</v>
      </c>
      <c r="C32" s="70" t="str">
        <f>IF(C$2="Y",IF(MaGic_AVM_Land!C32=0,"",MaGic_AVM_Land!C32),"")</f>
        <v/>
      </c>
      <c r="D32" s="70" t="str">
        <f>IF(D$2="Y",IF(MaGic_AVM_Land!D32=0,"",MaGic_AVM_Land!D32),"")</f>
        <v/>
      </c>
      <c r="E32" s="70" t="str">
        <f>IF(E$2="Y",IF(MaGic_AVM_Land!E32=0,"",MaGic_AVM_Land!E32),"")</f>
        <v/>
      </c>
      <c r="F32" s="70" t="str">
        <f>IF(F$2="Y",IF(MaGic_AVM_Land!F32=0,"",MaGic_AVM_Land!F32),"")</f>
        <v/>
      </c>
      <c r="G32" s="70" t="str">
        <f>IF(G$2="Y",IF(MaGic_AVM_Land!G32=0,"",MaGic_AVM_Land!G32),"")</f>
        <v/>
      </c>
      <c r="H32" s="70" t="str">
        <f>IF(H$2="Y",IF(MaGic_AVM_Land!H32=0,"",MaGic_AVM_Land!H32),"")</f>
        <v/>
      </c>
      <c r="I32" s="70" t="str">
        <f>IF(I$2="Y",IF(MaGic_AVM_Land!I32=0,"",MaGic_AVM_Land!I32),"")</f>
        <v/>
      </c>
      <c r="J32" s="70" t="str">
        <f>IF(J$2="Y",IF(MaGic_AVM_Land!J32=0,"",MaGic_AVM_Land!J32),"")</f>
        <v/>
      </c>
      <c r="K32" s="70" t="str">
        <f>IF(K$2="Y",IF(MaGic_AVM_Land!K32=0,"",MaGic_AVM_Land!K32),"")</f>
        <v/>
      </c>
      <c r="L32" s="70" t="str">
        <f>IF(L$2="Y",IF(MaGic_AVM_Land!L32=0,"",MaGic_AVM_Land!L32),"")</f>
        <v/>
      </c>
      <c r="M32" s="70" t="str">
        <f>IF(M$2="Y",IF(MaGic_AVM_Land!M32=0,"",MaGic_AVM_Land!M32),"")</f>
        <v/>
      </c>
      <c r="N32" s="70" t="str">
        <f>IF(N$2="Y",IF(MaGic_AVM_Land!N32=0,"",MaGic_AVM_Land!N32),"")</f>
        <v/>
      </c>
      <c r="O32" s="70" t="str">
        <f>IF(O$2="Y",IF(MaGic_AVM_Land!O32=0,"",MaGic_AVM_Land!O32),"")</f>
        <v/>
      </c>
      <c r="P32" s="70" t="str">
        <f>IF(P$2="Y",IF(MaGic_AVM_Land!P32=0,"",MaGic_AVM_Land!P32),"")</f>
        <v/>
      </c>
      <c r="Q32" s="70" t="str">
        <f>IF(Q$2="Y",IF(MaGic_AVM_Land!Q32=0,"",MaGic_AVM_Land!Q32),"")</f>
        <v/>
      </c>
      <c r="R32" s="70" t="str">
        <f>IF(R$2="Y",IF(MaGic_AVM_Land!R32=0,"",MaGic_AVM_Land!R32),"")</f>
        <v/>
      </c>
      <c r="S32" s="70" t="str">
        <f>IF(S$2="Y",IF(MaGic_AVM_Land!S32=0,"",MaGic_AVM_Land!S32),"")</f>
        <v/>
      </c>
      <c r="T32" s="70" t="str">
        <f>IF(T$2="Y",IF(MaGic_AVM_Land!T32=0,"",MaGic_AVM_Land!T32),"")</f>
        <v/>
      </c>
      <c r="U32" s="70" t="str">
        <f>IF(U$2="Y",IF(MaGic_AVM_Land!U32=0,"",MaGic_AVM_Land!U32),"")</f>
        <v/>
      </c>
      <c r="V32" s="70" t="str">
        <f>IF(V$2="Y",IF(MaGic_AVM_Land!V32=0,"",MaGic_AVM_Land!V32),"")</f>
        <v/>
      </c>
      <c r="W32" s="70" t="str">
        <f>IF(W$2="Y",IF(MaGic_AVM_Land!W32=0,"",MaGic_AVM_Land!W32),"")</f>
        <v/>
      </c>
      <c r="X32" s="70" t="str">
        <f>IF(X$2="Y",IF(MaGic_AVM_Land!X32=0,"",MaGic_AVM_Land!X32),"")</f>
        <v/>
      </c>
      <c r="Y32" s="70" t="str">
        <f>IF(Y$2="Y",IF(MaGic_AVM_Land!Y32=0,"",MaGic_AVM_Land!Y32),"")</f>
        <v/>
      </c>
      <c r="Z32" s="70" t="str">
        <f>IF(Z$2="Y",IF(MaGic_AVM_Land!Z32=0,"",MaGic_AVM_Land!Z32),"")</f>
        <v/>
      </c>
      <c r="AB32" s="69" t="str" cm="1">
        <f t="array" ref="AB32">_xlfn.UNIQUE(C32:Z32,TRUE,FALSE)</f>
        <v/>
      </c>
    </row>
    <row r="33" spans="1:28">
      <c r="A33" s="69">
        <v>31</v>
      </c>
      <c r="B33" s="69" t="s">
        <v>1105</v>
      </c>
      <c r="C33" s="70" t="str">
        <f>IF(C$2="Y",IF(MaGic_AVM_Land!C33=0,"",MaGic_AVM_Land!C33),"")</f>
        <v/>
      </c>
      <c r="D33" s="70" t="str">
        <f>IF(D$2="Y",IF(MaGic_AVM_Land!D33=0,"",MaGic_AVM_Land!D33),"")</f>
        <v/>
      </c>
      <c r="E33" s="70" t="str">
        <f>IF(E$2="Y",IF(MaGic_AVM_Land!E33=0,"",MaGic_AVM_Land!E33),"")</f>
        <v/>
      </c>
      <c r="F33" s="70" t="str">
        <f>IF(F$2="Y",IF(MaGic_AVM_Land!F33=0,"",MaGic_AVM_Land!F33),"")</f>
        <v/>
      </c>
      <c r="G33" s="70" t="str">
        <f>IF(G$2="Y",IF(MaGic_AVM_Land!G33=0,"",MaGic_AVM_Land!G33),"")</f>
        <v/>
      </c>
      <c r="H33" s="70" t="str">
        <f>IF(H$2="Y",IF(MaGic_AVM_Land!H33=0,"",MaGic_AVM_Land!H33),"")</f>
        <v/>
      </c>
      <c r="I33" s="70" t="str">
        <f>IF(I$2="Y",IF(MaGic_AVM_Land!I33=0,"",MaGic_AVM_Land!I33),"")</f>
        <v/>
      </c>
      <c r="J33" s="70" t="str">
        <f>IF(J$2="Y",IF(MaGic_AVM_Land!J33=0,"",MaGic_AVM_Land!J33),"")</f>
        <v/>
      </c>
      <c r="K33" s="70" t="str">
        <f>IF(K$2="Y",IF(MaGic_AVM_Land!K33=0,"",MaGic_AVM_Land!K33),"")</f>
        <v/>
      </c>
      <c r="L33" s="70" t="str">
        <f>IF(L$2="Y",IF(MaGic_AVM_Land!L33=0,"",MaGic_AVM_Land!L33),"")</f>
        <v/>
      </c>
      <c r="M33" s="70" t="str">
        <f>IF(M$2="Y",IF(MaGic_AVM_Land!M33=0,"",MaGic_AVM_Land!M33),"")</f>
        <v/>
      </c>
      <c r="N33" s="70" t="str">
        <f>IF(N$2="Y",IF(MaGic_AVM_Land!N33=0,"",MaGic_AVM_Land!N33),"")</f>
        <v/>
      </c>
      <c r="O33" s="70" t="str">
        <f>IF(O$2="Y",IF(MaGic_AVM_Land!O33=0,"",MaGic_AVM_Land!O33),"")</f>
        <v/>
      </c>
      <c r="P33" s="70" t="str">
        <f>IF(P$2="Y",IF(MaGic_AVM_Land!P33=0,"",MaGic_AVM_Land!P33),"")</f>
        <v/>
      </c>
      <c r="Q33" s="70" t="str">
        <f>IF(Q$2="Y",IF(MaGic_AVM_Land!Q33=0,"",MaGic_AVM_Land!Q33),"")</f>
        <v/>
      </c>
      <c r="R33" s="70" t="str">
        <f>IF(R$2="Y",IF(MaGic_AVM_Land!R33=0,"",MaGic_AVM_Land!R33),"")</f>
        <v/>
      </c>
      <c r="S33" s="70" t="str">
        <f>IF(S$2="Y",IF(MaGic_AVM_Land!S33=0,"",MaGic_AVM_Land!S33),"")</f>
        <v/>
      </c>
      <c r="T33" s="70" t="str">
        <f>IF(T$2="Y",IF(MaGic_AVM_Land!T33=0,"",MaGic_AVM_Land!T33),"")</f>
        <v/>
      </c>
      <c r="U33" s="70" t="str">
        <f>IF(U$2="Y",IF(MaGic_AVM_Land!U33=0,"",MaGic_AVM_Land!U33),"")</f>
        <v/>
      </c>
      <c r="V33" s="70" t="str">
        <f>IF(V$2="Y",IF(MaGic_AVM_Land!V33=0,"",MaGic_AVM_Land!V33),"")</f>
        <v/>
      </c>
      <c r="W33" s="70" t="str">
        <f>IF(W$2="Y",IF(MaGic_AVM_Land!W33=0,"",MaGic_AVM_Land!W33),"")</f>
        <v/>
      </c>
      <c r="X33" s="70" t="str">
        <f>IF(X$2="Y",IF(MaGic_AVM_Land!X33=0,"",MaGic_AVM_Land!X33),"")</f>
        <v/>
      </c>
      <c r="Y33" s="70" t="str">
        <f>IF(Y$2="Y",IF(MaGic_AVM_Land!Y33=0,"",MaGic_AVM_Land!Y33),"")</f>
        <v/>
      </c>
      <c r="Z33" s="70" t="str">
        <f>IF(Z$2="Y",IF(MaGic_AVM_Land!Z33=0,"",MaGic_AVM_Land!Z33),"")</f>
        <v/>
      </c>
      <c r="AB33" s="69" t="str" cm="1">
        <f t="array" ref="AB33">_xlfn.UNIQUE(C33:Z33,TRUE,FALSE)</f>
        <v/>
      </c>
    </row>
    <row r="34" spans="1:28">
      <c r="B34" s="69" t="s">
        <v>110</v>
      </c>
      <c r="C34" s="70" t="str">
        <f>IF(C$2="Y",IF(MaGic_AVM_Land!C34=0,"",MaGic_AVM_Land!C34),"")</f>
        <v/>
      </c>
      <c r="D34" s="70" t="str">
        <f>IF(D$2="Y",IF(MaGic_AVM_Land!D34=0,"",MaGic_AVM_Land!D34),"")</f>
        <v/>
      </c>
      <c r="E34" s="70" t="str">
        <f>IF(E$2="Y",IF(MaGic_AVM_Land!E34=0,"",MaGic_AVM_Land!E34),"")</f>
        <v/>
      </c>
      <c r="F34" s="70" t="str">
        <f>IF(F$2="Y",IF(MaGic_AVM_Land!F34=0,"",MaGic_AVM_Land!F34),"")</f>
        <v/>
      </c>
      <c r="G34" s="70" t="str">
        <f>IF(G$2="Y",IF(MaGic_AVM_Land!G34=0,"",MaGic_AVM_Land!G34),"")</f>
        <v/>
      </c>
      <c r="H34" s="70" t="str">
        <f>IF(H$2="Y",IF(MaGic_AVM_Land!H34=0,"",MaGic_AVM_Land!H34),"")</f>
        <v/>
      </c>
      <c r="I34" s="70" t="str">
        <f>IF(I$2="Y",IF(MaGic_AVM_Land!I34=0,"",MaGic_AVM_Land!I34),"")</f>
        <v/>
      </c>
      <c r="J34" s="70" t="str">
        <f>IF(J$2="Y",IF(MaGic_AVM_Land!J34=0,"",MaGic_AVM_Land!J34),"")</f>
        <v/>
      </c>
      <c r="K34" s="70" t="str">
        <f>IF(K$2="Y",IF(MaGic_AVM_Land!K34=0,"",MaGic_AVM_Land!K34),"")</f>
        <v/>
      </c>
      <c r="L34" s="70" t="str">
        <f>IF(L$2="Y",IF(MaGic_AVM_Land!L34=0,"",MaGic_AVM_Land!L34),"")</f>
        <v/>
      </c>
      <c r="M34" s="70" t="str">
        <f>IF(M$2="Y",IF(MaGic_AVM_Land!M34=0,"",MaGic_AVM_Land!M34),"")</f>
        <v/>
      </c>
      <c r="N34" s="70" t="str">
        <f>IF(N$2="Y",IF(MaGic_AVM_Land!N34=0,"",MaGic_AVM_Land!N34),"")</f>
        <v/>
      </c>
      <c r="O34" s="70" t="str">
        <f>IF(O$2="Y",IF(MaGic_AVM_Land!O34=0,"",MaGic_AVM_Land!O34),"")</f>
        <v/>
      </c>
      <c r="P34" s="70" t="str">
        <f>IF(P$2="Y",IF(MaGic_AVM_Land!P34=0,"",MaGic_AVM_Land!P34),"")</f>
        <v/>
      </c>
      <c r="Q34" s="70" t="str">
        <f>IF(Q$2="Y",IF(MaGic_AVM_Land!Q34=0,"",MaGic_AVM_Land!Q34),"")</f>
        <v/>
      </c>
      <c r="R34" s="70" t="str">
        <f>IF(R$2="Y",IF(MaGic_AVM_Land!R34=0,"",MaGic_AVM_Land!R34),"")</f>
        <v/>
      </c>
      <c r="S34" s="70" t="str">
        <f>IF(S$2="Y",IF(MaGic_AVM_Land!S34=0,"",MaGic_AVM_Land!S34),"")</f>
        <v/>
      </c>
      <c r="T34" s="70" t="str">
        <f>IF(T$2="Y",IF(MaGic_AVM_Land!T34=0,"",MaGic_AVM_Land!T34),"")</f>
        <v/>
      </c>
      <c r="U34" s="70" t="str">
        <f>IF(U$2="Y",IF(MaGic_AVM_Land!U34=0,"",MaGic_AVM_Land!U34),"")</f>
        <v/>
      </c>
      <c r="V34" s="70" t="str">
        <f>IF(V$2="Y",IF(MaGic_AVM_Land!V34=0,"",MaGic_AVM_Land!V34),"")</f>
        <v/>
      </c>
      <c r="W34" s="70" t="str">
        <f>IF(W$2="Y",IF(MaGic_AVM_Land!W34=0,"",MaGic_AVM_Land!W34),"")</f>
        <v/>
      </c>
      <c r="X34" s="70" t="str">
        <f>IF(X$2="Y",IF(MaGic_AVM_Land!X34=0,"",MaGic_AVM_Land!X34),"")</f>
        <v/>
      </c>
      <c r="Y34" s="70" t="str">
        <f>IF(Y$2="Y",IF(MaGic_AVM_Land!Y34=0,"",MaGic_AVM_Land!Y34),"")</f>
        <v/>
      </c>
      <c r="Z34" s="70" t="str">
        <f>IF(Z$2="Y",IF(MaGic_AVM_Land!Z34=0,"",MaGic_AVM_Land!Z34),"")</f>
        <v/>
      </c>
      <c r="AB34" s="69" t="str" cm="1">
        <f t="array" ref="AB34">_xlfn.UNIQUE(C34:Z34,TRUE,FALSE)</f>
        <v/>
      </c>
    </row>
    <row r="35" spans="1:28">
      <c r="A35" s="69">
        <v>1</v>
      </c>
      <c r="B35" s="69" t="s">
        <v>1106</v>
      </c>
      <c r="C35" s="70" t="str">
        <f>IF(C$2="Y",IF(MaGic_AVM_Land!C35=0,"",MaGic_AVM_Land!C35),"")</f>
        <v/>
      </c>
      <c r="D35" s="70" t="str">
        <f>IF(D$2="Y",IF(MaGic_AVM_Land!D35=0,"",MaGic_AVM_Land!D35),"")</f>
        <v/>
      </c>
      <c r="E35" s="70" t="str">
        <f>IF(E$2="Y",IF(MaGic_AVM_Land!E35=0,"",MaGic_AVM_Land!E35),"")</f>
        <v/>
      </c>
      <c r="F35" s="70" t="str">
        <f>IF(F$2="Y",IF(MaGic_AVM_Land!F35=0,"",MaGic_AVM_Land!F35),"")</f>
        <v/>
      </c>
      <c r="G35" s="70" t="str">
        <f>IF(G$2="Y",IF(MaGic_AVM_Land!G35=0,"",MaGic_AVM_Land!G35),"")</f>
        <v/>
      </c>
      <c r="H35" s="70" t="str">
        <f>IF(H$2="Y",IF(MaGic_AVM_Land!H35=0,"",MaGic_AVM_Land!H35),"")</f>
        <v/>
      </c>
      <c r="I35" s="70" t="str">
        <f>IF(I$2="Y",IF(MaGic_AVM_Land!I35=0,"",MaGic_AVM_Land!I35),"")</f>
        <v/>
      </c>
      <c r="J35" s="70" t="str">
        <f>IF(J$2="Y",IF(MaGic_AVM_Land!J35=0,"",MaGic_AVM_Land!J35),"")</f>
        <v/>
      </c>
      <c r="K35" s="70" t="str">
        <f>IF(K$2="Y",IF(MaGic_AVM_Land!K35=0,"",MaGic_AVM_Land!K35),"")</f>
        <v/>
      </c>
      <c r="L35" s="70" t="str">
        <f>IF(L$2="Y",IF(MaGic_AVM_Land!L35=0,"",MaGic_AVM_Land!L35),"")</f>
        <v/>
      </c>
      <c r="M35" s="70" t="str">
        <f>IF(M$2="Y",IF(MaGic_AVM_Land!M35=0,"",MaGic_AVM_Land!M35),"")</f>
        <v/>
      </c>
      <c r="N35" s="70" t="str">
        <f>IF(N$2="Y",IF(MaGic_AVM_Land!N35=0,"",MaGic_AVM_Land!N35),"")</f>
        <v/>
      </c>
      <c r="O35" s="70" t="str">
        <f>IF(O$2="Y",IF(MaGic_AVM_Land!O35=0,"",MaGic_AVM_Land!O35),"")</f>
        <v/>
      </c>
      <c r="P35" s="70" t="str">
        <f>IF(P$2="Y",IF(MaGic_AVM_Land!P35=0,"",MaGic_AVM_Land!P35),"")</f>
        <v/>
      </c>
      <c r="Q35" s="70" t="str">
        <f>IF(Q$2="Y",IF(MaGic_AVM_Land!Q35=0,"",MaGic_AVM_Land!Q35),"")</f>
        <v/>
      </c>
      <c r="R35" s="70" t="str">
        <f>IF(R$2="Y",IF(MaGic_AVM_Land!R35=0,"",MaGic_AVM_Land!R35),"")</f>
        <v/>
      </c>
      <c r="S35" s="70" t="str">
        <f>IF(S$2="Y",IF(MaGic_AVM_Land!S35=0,"",MaGic_AVM_Land!S35),"")</f>
        <v/>
      </c>
      <c r="T35" s="70" t="str">
        <f>IF(T$2="Y",IF(MaGic_AVM_Land!T35=0,"",MaGic_AVM_Land!T35),"")</f>
        <v/>
      </c>
      <c r="U35" s="70" t="str">
        <f>IF(U$2="Y",IF(MaGic_AVM_Land!U35=0,"",MaGic_AVM_Land!U35),"")</f>
        <v/>
      </c>
      <c r="V35" s="70" t="str">
        <f>IF(V$2="Y",IF(MaGic_AVM_Land!V35=0,"",MaGic_AVM_Land!V35),"")</f>
        <v/>
      </c>
      <c r="W35" s="70" t="str">
        <f>IF(W$2="Y",IF(MaGic_AVM_Land!W35=0,"",MaGic_AVM_Land!W35),"")</f>
        <v/>
      </c>
      <c r="X35" s="70" t="str">
        <f>IF(X$2="Y",IF(MaGic_AVM_Land!X35=0,"",MaGic_AVM_Land!X35),"")</f>
        <v/>
      </c>
      <c r="Y35" s="70" t="str">
        <f>IF(Y$2="Y",IF(MaGic_AVM_Land!Y35=0,"",MaGic_AVM_Land!Y35),"")</f>
        <v/>
      </c>
      <c r="Z35" s="70" t="str">
        <f>IF(Z$2="Y",IF(MaGic_AVM_Land!Z35=0,"",MaGic_AVM_Land!Z35),"")</f>
        <v/>
      </c>
      <c r="AB35" s="69" t="str" cm="1">
        <f t="array" ref="AB35">_xlfn.UNIQUE(C35:Z35,TRUE,FALSE)</f>
        <v/>
      </c>
    </row>
    <row r="36" spans="1:28">
      <c r="A36" s="69">
        <v>2</v>
      </c>
      <c r="B36" s="69" t="s">
        <v>112</v>
      </c>
      <c r="C36" s="70" t="str">
        <f>IF(C$2="Y",IF(MaGic_AVM_Land!C36=0,"",MaGic_AVM_Land!C36),"")</f>
        <v/>
      </c>
      <c r="D36" s="70" t="str">
        <f>IF(D$2="Y",IF(MaGic_AVM_Land!D36=0,"",MaGic_AVM_Land!D36),"")</f>
        <v/>
      </c>
      <c r="E36" s="70" t="str">
        <f>IF(E$2="Y",IF(MaGic_AVM_Land!E36=0,"",MaGic_AVM_Land!E36),"")</f>
        <v/>
      </c>
      <c r="F36" s="70" t="str">
        <f>IF(F$2="Y",IF(MaGic_AVM_Land!F36=0,"",MaGic_AVM_Land!F36),"")</f>
        <v/>
      </c>
      <c r="G36" s="70" t="str">
        <f>IF(G$2="Y",IF(MaGic_AVM_Land!G36=0,"",MaGic_AVM_Land!G36),"")</f>
        <v/>
      </c>
      <c r="H36" s="70" t="str">
        <f>IF(H$2="Y",IF(MaGic_AVM_Land!H36=0,"",MaGic_AVM_Land!H36),"")</f>
        <v/>
      </c>
      <c r="I36" s="70" t="str">
        <f>IF(I$2="Y",IF(MaGic_AVM_Land!I36=0,"",MaGic_AVM_Land!I36),"")</f>
        <v/>
      </c>
      <c r="J36" s="70" t="str">
        <f>IF(J$2="Y",IF(MaGic_AVM_Land!J36=0,"",MaGic_AVM_Land!J36),"")</f>
        <v/>
      </c>
      <c r="K36" s="70" t="str">
        <f>IF(K$2="Y",IF(MaGic_AVM_Land!K36=0,"",MaGic_AVM_Land!K36),"")</f>
        <v/>
      </c>
      <c r="L36" s="70" t="str">
        <f>IF(L$2="Y",IF(MaGic_AVM_Land!L36=0,"",MaGic_AVM_Land!L36),"")</f>
        <v/>
      </c>
      <c r="M36" s="70" t="str">
        <f>IF(M$2="Y",IF(MaGic_AVM_Land!M36=0,"",MaGic_AVM_Land!M36),"")</f>
        <v/>
      </c>
      <c r="N36" s="70" t="str">
        <f>IF(N$2="Y",IF(MaGic_AVM_Land!N36=0,"",MaGic_AVM_Land!N36),"")</f>
        <v/>
      </c>
      <c r="O36" s="70" t="str">
        <f>IF(O$2="Y",IF(MaGic_AVM_Land!O36=0,"",MaGic_AVM_Land!O36),"")</f>
        <v/>
      </c>
      <c r="P36" s="70" t="str">
        <f>IF(P$2="Y",IF(MaGic_AVM_Land!P36=0,"",MaGic_AVM_Land!P36),"")</f>
        <v/>
      </c>
      <c r="Q36" s="70" t="str">
        <f>IF(Q$2="Y",IF(MaGic_AVM_Land!Q36=0,"",MaGic_AVM_Land!Q36),"")</f>
        <v/>
      </c>
      <c r="R36" s="70" t="str">
        <f>IF(R$2="Y",IF(MaGic_AVM_Land!R36=0,"",MaGic_AVM_Land!R36),"")</f>
        <v/>
      </c>
      <c r="S36" s="70" t="str">
        <f>IF(S$2="Y",IF(MaGic_AVM_Land!S36=0,"",MaGic_AVM_Land!S36),"")</f>
        <v/>
      </c>
      <c r="T36" s="70" t="str">
        <f>IF(T$2="Y",IF(MaGic_AVM_Land!T36=0,"",MaGic_AVM_Land!T36),"")</f>
        <v/>
      </c>
      <c r="U36" s="70" t="str">
        <f>IF(U$2="Y",IF(MaGic_AVM_Land!U36=0,"",MaGic_AVM_Land!U36),"")</f>
        <v/>
      </c>
      <c r="V36" s="70" t="str">
        <f>IF(V$2="Y",IF(MaGic_AVM_Land!V36=0,"",MaGic_AVM_Land!V36),"")</f>
        <v/>
      </c>
      <c r="W36" s="70" t="str">
        <f>IF(W$2="Y",IF(MaGic_AVM_Land!W36=0,"",MaGic_AVM_Land!W36),"")</f>
        <v/>
      </c>
      <c r="X36" s="70" t="str">
        <f>IF(X$2="Y",IF(MaGic_AVM_Land!X36=0,"",MaGic_AVM_Land!X36),"")</f>
        <v/>
      </c>
      <c r="Y36" s="70" t="str">
        <f>IF(Y$2="Y",IF(MaGic_AVM_Land!Y36=0,"",MaGic_AVM_Land!Y36),"")</f>
        <v/>
      </c>
      <c r="Z36" s="70" t="str">
        <f>IF(Z$2="Y",IF(MaGic_AVM_Land!Z36=0,"",MaGic_AVM_Land!Z36),"")</f>
        <v/>
      </c>
      <c r="AB36" s="69" t="str" cm="1">
        <f t="array" ref="AB36">_xlfn.UNIQUE(C36:Z36,TRUE,FALSE)</f>
        <v/>
      </c>
    </row>
    <row r="37" spans="1:28">
      <c r="A37" s="69">
        <v>3</v>
      </c>
      <c r="B37" s="69" t="s">
        <v>113</v>
      </c>
      <c r="C37" s="70" t="str">
        <f>IF(C$2="Y",IF(MaGic_AVM_Land!C37=0,"",MaGic_AVM_Land!C37),"")</f>
        <v/>
      </c>
      <c r="D37" s="70" t="str">
        <f>IF(D$2="Y",IF(MaGic_AVM_Land!D37=0,"",MaGic_AVM_Land!D37),"")</f>
        <v/>
      </c>
      <c r="E37" s="70" t="str">
        <f>IF(E$2="Y",IF(MaGic_AVM_Land!E37=0,"",MaGic_AVM_Land!E37),"")</f>
        <v/>
      </c>
      <c r="F37" s="70" t="str">
        <f>IF(F$2="Y",IF(MaGic_AVM_Land!F37=0,"",MaGic_AVM_Land!F37),"")</f>
        <v/>
      </c>
      <c r="G37" s="70" t="str">
        <f>IF(G$2="Y",IF(MaGic_AVM_Land!G37=0,"",MaGic_AVM_Land!G37),"")</f>
        <v/>
      </c>
      <c r="H37" s="70" t="str">
        <f>IF(H$2="Y",IF(MaGic_AVM_Land!H37=0,"",MaGic_AVM_Land!H37),"")</f>
        <v/>
      </c>
      <c r="I37" s="70" t="str">
        <f>IF(I$2="Y",IF(MaGic_AVM_Land!I37=0,"",MaGic_AVM_Land!I37),"")</f>
        <v/>
      </c>
      <c r="J37" s="70" t="str">
        <f>IF(J$2="Y",IF(MaGic_AVM_Land!J37=0,"",MaGic_AVM_Land!J37),"")</f>
        <v/>
      </c>
      <c r="K37" s="70" t="str">
        <f>IF(K$2="Y",IF(MaGic_AVM_Land!K37=0,"",MaGic_AVM_Land!K37),"")</f>
        <v/>
      </c>
      <c r="L37" s="70" t="str">
        <f>IF(L$2="Y",IF(MaGic_AVM_Land!L37=0,"",MaGic_AVM_Land!L37),"")</f>
        <v/>
      </c>
      <c r="M37" s="70" t="str">
        <f>IF(M$2="Y",IF(MaGic_AVM_Land!M37=0,"",MaGic_AVM_Land!M37),"")</f>
        <v/>
      </c>
      <c r="N37" s="70" t="str">
        <f>IF(N$2="Y",IF(MaGic_AVM_Land!N37=0,"",MaGic_AVM_Land!N37),"")</f>
        <v/>
      </c>
      <c r="O37" s="70" t="str">
        <f>IF(O$2="Y",IF(MaGic_AVM_Land!O37=0,"",MaGic_AVM_Land!O37),"")</f>
        <v/>
      </c>
      <c r="P37" s="70" t="str">
        <f>IF(P$2="Y",IF(MaGic_AVM_Land!P37=0,"",MaGic_AVM_Land!P37),"")</f>
        <v/>
      </c>
      <c r="Q37" s="70" t="str">
        <f>IF(Q$2="Y",IF(MaGic_AVM_Land!Q37=0,"",MaGic_AVM_Land!Q37),"")</f>
        <v/>
      </c>
      <c r="R37" s="70" t="str">
        <f>IF(R$2="Y",IF(MaGic_AVM_Land!R37=0,"",MaGic_AVM_Land!R37),"")</f>
        <v/>
      </c>
      <c r="S37" s="70" t="str">
        <f>IF(S$2="Y",IF(MaGic_AVM_Land!S37=0,"",MaGic_AVM_Land!S37),"")</f>
        <v/>
      </c>
      <c r="T37" s="70" t="str">
        <f>IF(T$2="Y",IF(MaGic_AVM_Land!T37=0,"",MaGic_AVM_Land!T37),"")</f>
        <v/>
      </c>
      <c r="U37" s="70" t="str">
        <f>IF(U$2="Y",IF(MaGic_AVM_Land!U37=0,"",MaGic_AVM_Land!U37),"")</f>
        <v/>
      </c>
      <c r="V37" s="70" t="str">
        <f>IF(V$2="Y",IF(MaGic_AVM_Land!V37=0,"",MaGic_AVM_Land!V37),"")</f>
        <v/>
      </c>
      <c r="W37" s="70" t="str">
        <f>IF(W$2="Y",IF(MaGic_AVM_Land!W37=0,"",MaGic_AVM_Land!W37),"")</f>
        <v/>
      </c>
      <c r="X37" s="70" t="str">
        <f>IF(X$2="Y",IF(MaGic_AVM_Land!X37=0,"",MaGic_AVM_Land!X37),"")</f>
        <v/>
      </c>
      <c r="Y37" s="70" t="str">
        <f>IF(Y$2="Y",IF(MaGic_AVM_Land!Y37=0,"",MaGic_AVM_Land!Y37),"")</f>
        <v/>
      </c>
      <c r="Z37" s="70" t="str">
        <f>IF(Z$2="Y",IF(MaGic_AVM_Land!Z37=0,"",MaGic_AVM_Land!Z37),"")</f>
        <v/>
      </c>
      <c r="AB37" s="69" t="str" cm="1">
        <f t="array" ref="AB37">_xlfn.UNIQUE(C37:Z37,TRUE,FALSE)</f>
        <v/>
      </c>
    </row>
    <row r="38" spans="1:28">
      <c r="A38" s="69">
        <v>4</v>
      </c>
      <c r="B38" s="69" t="s">
        <v>114</v>
      </c>
      <c r="C38" s="70" t="str">
        <f>IF(C$2="Y",IF(MaGic_AVM_Land!C38=0,"",MaGic_AVM_Land!C38),"")</f>
        <v/>
      </c>
      <c r="D38" s="70" t="str">
        <f>IF(D$2="Y",IF(MaGic_AVM_Land!D38=0,"",MaGic_AVM_Land!D38),"")</f>
        <v/>
      </c>
      <c r="E38" s="70" t="str">
        <f>IF(E$2="Y",IF(MaGic_AVM_Land!E38=0,"",MaGic_AVM_Land!E38),"")</f>
        <v/>
      </c>
      <c r="F38" s="70" t="str">
        <f>IF(F$2="Y",IF(MaGic_AVM_Land!F38=0,"",MaGic_AVM_Land!F38),"")</f>
        <v/>
      </c>
      <c r="G38" s="70" t="str">
        <f>IF(G$2="Y",IF(MaGic_AVM_Land!G38=0,"",MaGic_AVM_Land!G38),"")</f>
        <v/>
      </c>
      <c r="H38" s="70" t="str">
        <f>IF(H$2="Y",IF(MaGic_AVM_Land!H38=0,"",MaGic_AVM_Land!H38),"")</f>
        <v/>
      </c>
      <c r="I38" s="70" t="str">
        <f>IF(I$2="Y",IF(MaGic_AVM_Land!I38=0,"",MaGic_AVM_Land!I38),"")</f>
        <v/>
      </c>
      <c r="J38" s="70" t="str">
        <f>IF(J$2="Y",IF(MaGic_AVM_Land!J38=0,"",MaGic_AVM_Land!J38),"")</f>
        <v/>
      </c>
      <c r="K38" s="70" t="str">
        <f>IF(K$2="Y",IF(MaGic_AVM_Land!K38=0,"",MaGic_AVM_Land!K38),"")</f>
        <v/>
      </c>
      <c r="L38" s="70" t="str">
        <f>IF(L$2="Y",IF(MaGic_AVM_Land!L38=0,"",MaGic_AVM_Land!L38),"")</f>
        <v/>
      </c>
      <c r="M38" s="70" t="str">
        <f>IF(M$2="Y",IF(MaGic_AVM_Land!M38=0,"",MaGic_AVM_Land!M38),"")</f>
        <v/>
      </c>
      <c r="N38" s="70" t="str">
        <f>IF(N$2="Y",IF(MaGic_AVM_Land!N38=0,"",MaGic_AVM_Land!N38),"")</f>
        <v/>
      </c>
      <c r="O38" s="70" t="str">
        <f>IF(O$2="Y",IF(MaGic_AVM_Land!O38=0,"",MaGic_AVM_Land!O38),"")</f>
        <v/>
      </c>
      <c r="P38" s="70" t="str">
        <f>IF(P$2="Y",IF(MaGic_AVM_Land!P38=0,"",MaGic_AVM_Land!P38),"")</f>
        <v/>
      </c>
      <c r="Q38" s="70" t="str">
        <f>IF(Q$2="Y",IF(MaGic_AVM_Land!Q38=0,"",MaGic_AVM_Land!Q38),"")</f>
        <v/>
      </c>
      <c r="R38" s="70" t="str">
        <f>IF(R$2="Y",IF(MaGic_AVM_Land!R38=0,"",MaGic_AVM_Land!R38),"")</f>
        <v/>
      </c>
      <c r="S38" s="70" t="str">
        <f>IF(S$2="Y",IF(MaGic_AVM_Land!S38=0,"",MaGic_AVM_Land!S38),"")</f>
        <v/>
      </c>
      <c r="T38" s="70" t="str">
        <f>IF(T$2="Y",IF(MaGic_AVM_Land!T38=0,"",MaGic_AVM_Land!T38),"")</f>
        <v/>
      </c>
      <c r="U38" s="70" t="str">
        <f>IF(U$2="Y",IF(MaGic_AVM_Land!U38=0,"",MaGic_AVM_Land!U38),"")</f>
        <v/>
      </c>
      <c r="V38" s="70" t="str">
        <f>IF(V$2="Y",IF(MaGic_AVM_Land!V38=0,"",MaGic_AVM_Land!V38),"")</f>
        <v/>
      </c>
      <c r="W38" s="70" t="str">
        <f>IF(W$2="Y",IF(MaGic_AVM_Land!W38=0,"",MaGic_AVM_Land!W38),"")</f>
        <v/>
      </c>
      <c r="X38" s="70" t="str">
        <f>IF(X$2="Y",IF(MaGic_AVM_Land!X38=0,"",MaGic_AVM_Land!X38),"")</f>
        <v/>
      </c>
      <c r="Y38" s="70" t="str">
        <f>IF(Y$2="Y",IF(MaGic_AVM_Land!Y38=0,"",MaGic_AVM_Land!Y38),"")</f>
        <v/>
      </c>
      <c r="Z38" s="70" t="str">
        <f>IF(Z$2="Y",IF(MaGic_AVM_Land!Z38=0,"",MaGic_AVM_Land!Z38),"")</f>
        <v/>
      </c>
      <c r="AB38" s="69" t="str" cm="1">
        <f t="array" ref="AB38">_xlfn.UNIQUE(C38:Z38,TRUE,FALSE)</f>
        <v/>
      </c>
    </row>
    <row r="39" spans="1:28">
      <c r="A39" s="69">
        <v>5</v>
      </c>
      <c r="B39" s="69" t="s">
        <v>115</v>
      </c>
      <c r="C39" s="70" t="str">
        <f>IF(C$2="Y",IF(MaGic_AVM_Land!C39=0,"",MaGic_AVM_Land!C39),"")</f>
        <v/>
      </c>
      <c r="D39" s="70" t="str">
        <f>IF(D$2="Y",IF(MaGic_AVM_Land!D39=0,"",MaGic_AVM_Land!D39),"")</f>
        <v/>
      </c>
      <c r="E39" s="70" t="str">
        <f>IF(E$2="Y",IF(MaGic_AVM_Land!E39=0,"",MaGic_AVM_Land!E39),"")</f>
        <v/>
      </c>
      <c r="F39" s="70" t="str">
        <f>IF(F$2="Y",IF(MaGic_AVM_Land!F39=0,"",MaGic_AVM_Land!F39),"")</f>
        <v/>
      </c>
      <c r="G39" s="70" t="str">
        <f>IF(G$2="Y",IF(MaGic_AVM_Land!G39=0,"",MaGic_AVM_Land!G39),"")</f>
        <v/>
      </c>
      <c r="H39" s="70" t="str">
        <f>IF(H$2="Y",IF(MaGic_AVM_Land!H39=0,"",MaGic_AVM_Land!H39),"")</f>
        <v/>
      </c>
      <c r="I39" s="70" t="str">
        <f>IF(I$2="Y",IF(MaGic_AVM_Land!I39=0,"",MaGic_AVM_Land!I39),"")</f>
        <v/>
      </c>
      <c r="J39" s="70" t="str">
        <f>IF(J$2="Y",IF(MaGic_AVM_Land!J39=0,"",MaGic_AVM_Land!J39),"")</f>
        <v/>
      </c>
      <c r="K39" s="70" t="str">
        <f>IF(K$2="Y",IF(MaGic_AVM_Land!K39=0,"",MaGic_AVM_Land!K39),"")</f>
        <v/>
      </c>
      <c r="L39" s="70" t="str">
        <f>IF(L$2="Y",IF(MaGic_AVM_Land!L39=0,"",MaGic_AVM_Land!L39),"")</f>
        <v/>
      </c>
      <c r="M39" s="70" t="str">
        <f>IF(M$2="Y",IF(MaGic_AVM_Land!M39=0,"",MaGic_AVM_Land!M39),"")</f>
        <v/>
      </c>
      <c r="N39" s="70" t="str">
        <f>IF(N$2="Y",IF(MaGic_AVM_Land!N39=0,"",MaGic_AVM_Land!N39),"")</f>
        <v/>
      </c>
      <c r="O39" s="70" t="str">
        <f>IF(O$2="Y",IF(MaGic_AVM_Land!O39=0,"",MaGic_AVM_Land!O39),"")</f>
        <v/>
      </c>
      <c r="P39" s="70" t="str">
        <f>IF(P$2="Y",IF(MaGic_AVM_Land!P39=0,"",MaGic_AVM_Land!P39),"")</f>
        <v/>
      </c>
      <c r="Q39" s="70" t="str">
        <f>IF(Q$2="Y",IF(MaGic_AVM_Land!Q39=0,"",MaGic_AVM_Land!Q39),"")</f>
        <v/>
      </c>
      <c r="R39" s="70" t="str">
        <f>IF(R$2="Y",IF(MaGic_AVM_Land!R39=0,"",MaGic_AVM_Land!R39),"")</f>
        <v/>
      </c>
      <c r="S39" s="70" t="str">
        <f>IF(S$2="Y",IF(MaGic_AVM_Land!S39=0,"",MaGic_AVM_Land!S39),"")</f>
        <v/>
      </c>
      <c r="T39" s="70" t="str">
        <f>IF(T$2="Y",IF(MaGic_AVM_Land!T39=0,"",MaGic_AVM_Land!T39),"")</f>
        <v/>
      </c>
      <c r="U39" s="70" t="str">
        <f>IF(U$2="Y",IF(MaGic_AVM_Land!U39=0,"",MaGic_AVM_Land!U39),"")</f>
        <v/>
      </c>
      <c r="V39" s="70" t="str">
        <f>IF(V$2="Y",IF(MaGic_AVM_Land!V39=0,"",MaGic_AVM_Land!V39),"")</f>
        <v/>
      </c>
      <c r="W39" s="70" t="str">
        <f>IF(W$2="Y",IF(MaGic_AVM_Land!W39=0,"",MaGic_AVM_Land!W39),"")</f>
        <v/>
      </c>
      <c r="X39" s="70" t="str">
        <f>IF(X$2="Y",IF(MaGic_AVM_Land!X39=0,"",MaGic_AVM_Land!X39),"")</f>
        <v/>
      </c>
      <c r="Y39" s="70" t="str">
        <f>IF(Y$2="Y",IF(MaGic_AVM_Land!Y39=0,"",MaGic_AVM_Land!Y39),"")</f>
        <v/>
      </c>
      <c r="Z39" s="70" t="str">
        <f>IF(Z$2="Y",IF(MaGic_AVM_Land!Z39=0,"",MaGic_AVM_Land!Z39),"")</f>
        <v/>
      </c>
      <c r="AB39" s="69" t="str" cm="1">
        <f t="array" ref="AB39">_xlfn.UNIQUE(C39:Z39,TRUE,FALSE)</f>
        <v/>
      </c>
    </row>
    <row r="40" spans="1:28">
      <c r="A40" s="69">
        <v>6</v>
      </c>
      <c r="B40" s="69" t="s">
        <v>116</v>
      </c>
      <c r="C40" s="70" t="str">
        <f>IF(C$2="Y",IF(MaGic_AVM_Land!C40=0,"",MaGic_AVM_Land!C40),"")</f>
        <v/>
      </c>
      <c r="D40" s="70" t="str">
        <f>IF(D$2="Y",IF(MaGic_AVM_Land!D40=0,"",MaGic_AVM_Land!D40),"")</f>
        <v/>
      </c>
      <c r="E40" s="70" t="str">
        <f>IF(E$2="Y",IF(MaGic_AVM_Land!E40=0,"",MaGic_AVM_Land!E40),"")</f>
        <v/>
      </c>
      <c r="F40" s="70" t="str">
        <f>IF(F$2="Y",IF(MaGic_AVM_Land!F40=0,"",MaGic_AVM_Land!F40),"")</f>
        <v/>
      </c>
      <c r="G40" s="70" t="str">
        <f>IF(G$2="Y",IF(MaGic_AVM_Land!G40=0,"",MaGic_AVM_Land!G40),"")</f>
        <v/>
      </c>
      <c r="H40" s="70" t="str">
        <f>IF(H$2="Y",IF(MaGic_AVM_Land!H40=0,"",MaGic_AVM_Land!H40),"")</f>
        <v/>
      </c>
      <c r="I40" s="70" t="str">
        <f>IF(I$2="Y",IF(MaGic_AVM_Land!I40=0,"",MaGic_AVM_Land!I40),"")</f>
        <v/>
      </c>
      <c r="J40" s="70" t="str">
        <f>IF(J$2="Y",IF(MaGic_AVM_Land!J40=0,"",MaGic_AVM_Land!J40),"")</f>
        <v/>
      </c>
      <c r="K40" s="70" t="str">
        <f>IF(K$2="Y",IF(MaGic_AVM_Land!K40=0,"",MaGic_AVM_Land!K40),"")</f>
        <v/>
      </c>
      <c r="L40" s="70" t="str">
        <f>IF(L$2="Y",IF(MaGic_AVM_Land!L40=0,"",MaGic_AVM_Land!L40),"")</f>
        <v/>
      </c>
      <c r="M40" s="70" t="str">
        <f>IF(M$2="Y",IF(MaGic_AVM_Land!M40=0,"",MaGic_AVM_Land!M40),"")</f>
        <v/>
      </c>
      <c r="N40" s="70" t="str">
        <f>IF(N$2="Y",IF(MaGic_AVM_Land!N40=0,"",MaGic_AVM_Land!N40),"")</f>
        <v/>
      </c>
      <c r="O40" s="70" t="str">
        <f>IF(O$2="Y",IF(MaGic_AVM_Land!O40=0,"",MaGic_AVM_Land!O40),"")</f>
        <v/>
      </c>
      <c r="P40" s="70" t="str">
        <f>IF(P$2="Y",IF(MaGic_AVM_Land!P40=0,"",MaGic_AVM_Land!P40),"")</f>
        <v/>
      </c>
      <c r="Q40" s="70" t="str">
        <f>IF(Q$2="Y",IF(MaGic_AVM_Land!Q40=0,"",MaGic_AVM_Land!Q40),"")</f>
        <v/>
      </c>
      <c r="R40" s="70" t="str">
        <f>IF(R$2="Y",IF(MaGic_AVM_Land!R40=0,"",MaGic_AVM_Land!R40),"")</f>
        <v/>
      </c>
      <c r="S40" s="70" t="str">
        <f>IF(S$2="Y",IF(MaGic_AVM_Land!S40=0,"",MaGic_AVM_Land!S40),"")</f>
        <v/>
      </c>
      <c r="T40" s="70" t="str">
        <f>IF(T$2="Y",IF(MaGic_AVM_Land!T40=0,"",MaGic_AVM_Land!T40),"")</f>
        <v/>
      </c>
      <c r="U40" s="70" t="str">
        <f>IF(U$2="Y",IF(MaGic_AVM_Land!U40=0,"",MaGic_AVM_Land!U40),"")</f>
        <v/>
      </c>
      <c r="V40" s="70" t="str">
        <f>IF(V$2="Y",IF(MaGic_AVM_Land!V40=0,"",MaGic_AVM_Land!V40),"")</f>
        <v/>
      </c>
      <c r="W40" s="70" t="str">
        <f>IF(W$2="Y",IF(MaGic_AVM_Land!W40=0,"",MaGic_AVM_Land!W40),"")</f>
        <v/>
      </c>
      <c r="X40" s="70" t="str">
        <f>IF(X$2="Y",IF(MaGic_AVM_Land!X40=0,"",MaGic_AVM_Land!X40),"")</f>
        <v/>
      </c>
      <c r="Y40" s="70" t="str">
        <f>IF(Y$2="Y",IF(MaGic_AVM_Land!Y40=0,"",MaGic_AVM_Land!Y40),"")</f>
        <v/>
      </c>
      <c r="Z40" s="70" t="str">
        <f>IF(Z$2="Y",IF(MaGic_AVM_Land!Z40=0,"",MaGic_AVM_Land!Z40),"")</f>
        <v/>
      </c>
      <c r="AB40" s="69" t="str" cm="1">
        <f t="array" ref="AB40">_xlfn.UNIQUE(C40:Z40,TRUE,FALSE)</f>
        <v/>
      </c>
    </row>
    <row r="41" spans="1:28">
      <c r="B41" s="69" t="s">
        <v>117</v>
      </c>
      <c r="C41" s="70" t="str">
        <f>IF(C$2="Y",IF(MaGic_AVM_Land!C41=0,"",MaGic_AVM_Land!C41),"")</f>
        <v/>
      </c>
      <c r="D41" s="70" t="str">
        <f>IF(D$2="Y",IF(MaGic_AVM_Land!D41=0,"",MaGic_AVM_Land!D41),"")</f>
        <v/>
      </c>
      <c r="E41" s="70" t="str">
        <f>IF(E$2="Y",IF(MaGic_AVM_Land!E41=0,"",MaGic_AVM_Land!E41),"")</f>
        <v/>
      </c>
      <c r="F41" s="70" t="str">
        <f>IF(F$2="Y",IF(MaGic_AVM_Land!F41=0,"",MaGic_AVM_Land!F41),"")</f>
        <v/>
      </c>
      <c r="G41" s="70" t="str">
        <f>IF(G$2="Y",IF(MaGic_AVM_Land!G41=0,"",MaGic_AVM_Land!G41),"")</f>
        <v/>
      </c>
      <c r="H41" s="70" t="str">
        <f>IF(H$2="Y",IF(MaGic_AVM_Land!H41=0,"",MaGic_AVM_Land!H41),"")</f>
        <v/>
      </c>
      <c r="I41" s="70" t="str">
        <f>IF(I$2="Y",IF(MaGic_AVM_Land!I41=0,"",MaGic_AVM_Land!I41),"")</f>
        <v/>
      </c>
      <c r="J41" s="70" t="str">
        <f>IF(J$2="Y",IF(MaGic_AVM_Land!J41=0,"",MaGic_AVM_Land!J41),"")</f>
        <v/>
      </c>
      <c r="K41" s="70" t="str">
        <f>IF(K$2="Y",IF(MaGic_AVM_Land!K41=0,"",MaGic_AVM_Land!K41),"")</f>
        <v/>
      </c>
      <c r="L41" s="70" t="str">
        <f>IF(L$2="Y",IF(MaGic_AVM_Land!L41=0,"",MaGic_AVM_Land!L41),"")</f>
        <v/>
      </c>
      <c r="M41" s="70" t="str">
        <f>IF(M$2="Y",IF(MaGic_AVM_Land!M41=0,"",MaGic_AVM_Land!M41),"")</f>
        <v/>
      </c>
      <c r="N41" s="70" t="str">
        <f>IF(N$2="Y",IF(MaGic_AVM_Land!N41=0,"",MaGic_AVM_Land!N41),"")</f>
        <v/>
      </c>
      <c r="O41" s="70" t="str">
        <f>IF(O$2="Y",IF(MaGic_AVM_Land!O41=0,"",MaGic_AVM_Land!O41),"")</f>
        <v/>
      </c>
      <c r="P41" s="70" t="str">
        <f>IF(P$2="Y",IF(MaGic_AVM_Land!P41=0,"",MaGic_AVM_Land!P41),"")</f>
        <v/>
      </c>
      <c r="Q41" s="70" t="str">
        <f>IF(Q$2="Y",IF(MaGic_AVM_Land!Q41=0,"",MaGic_AVM_Land!Q41),"")</f>
        <v/>
      </c>
      <c r="R41" s="70" t="str">
        <f>IF(R$2="Y",IF(MaGic_AVM_Land!R41=0,"",MaGic_AVM_Land!R41),"")</f>
        <v/>
      </c>
      <c r="S41" s="70" t="str">
        <f>IF(S$2="Y",IF(MaGic_AVM_Land!S41=0,"",MaGic_AVM_Land!S41),"")</f>
        <v/>
      </c>
      <c r="T41" s="70" t="str">
        <f>IF(T$2="Y",IF(MaGic_AVM_Land!T41=0,"",MaGic_AVM_Land!T41),"")</f>
        <v/>
      </c>
      <c r="U41" s="70" t="str">
        <f>IF(U$2="Y",IF(MaGic_AVM_Land!U41=0,"",MaGic_AVM_Land!U41),"")</f>
        <v/>
      </c>
      <c r="V41" s="70" t="str">
        <f>IF(V$2="Y",IF(MaGic_AVM_Land!V41=0,"",MaGic_AVM_Land!V41),"")</f>
        <v/>
      </c>
      <c r="W41" s="70" t="str">
        <f>IF(W$2="Y",IF(MaGic_AVM_Land!W41=0,"",MaGic_AVM_Land!W41),"")</f>
        <v/>
      </c>
      <c r="X41" s="70" t="str">
        <f>IF(X$2="Y",IF(MaGic_AVM_Land!X41=0,"",MaGic_AVM_Land!X41),"")</f>
        <v/>
      </c>
      <c r="Y41" s="70" t="str">
        <f>IF(Y$2="Y",IF(MaGic_AVM_Land!Y41=0,"",MaGic_AVM_Land!Y41),"")</f>
        <v/>
      </c>
      <c r="Z41" s="70" t="str">
        <f>IF(Z$2="Y",IF(MaGic_AVM_Land!Z41=0,"",MaGic_AVM_Land!Z41),"")</f>
        <v/>
      </c>
      <c r="AB41" s="69" t="str" cm="1">
        <f t="array" ref="AB41">_xlfn.UNIQUE(C41:Z41,TRUE,FALSE)</f>
        <v/>
      </c>
    </row>
    <row r="42" spans="1:28">
      <c r="A42" s="69">
        <v>1</v>
      </c>
      <c r="B42" s="69" t="s">
        <v>118</v>
      </c>
      <c r="C42" s="70" t="str">
        <f>IF(C$2="Y",IF(MaGic_AVM_Land!C42=0,"",MaGic_AVM_Land!C42),"")</f>
        <v/>
      </c>
      <c r="D42" s="70" t="str">
        <f>IF(D$2="Y",IF(MaGic_AVM_Land!D42=0,"",MaGic_AVM_Land!D42),"")</f>
        <v/>
      </c>
      <c r="E42" s="70" t="str">
        <f>IF(E$2="Y",IF(MaGic_AVM_Land!E42=0,"",MaGic_AVM_Land!E42),"")</f>
        <v/>
      </c>
      <c r="F42" s="70" t="str">
        <f>IF(F$2="Y",IF(MaGic_AVM_Land!F42=0,"",MaGic_AVM_Land!F42),"")</f>
        <v/>
      </c>
      <c r="G42" s="70" t="str">
        <f>IF(G$2="Y",IF(MaGic_AVM_Land!G42=0,"",MaGic_AVM_Land!G42),"")</f>
        <v/>
      </c>
      <c r="H42" s="70" t="str">
        <f>IF(H$2="Y",IF(MaGic_AVM_Land!H42=0,"",MaGic_AVM_Land!H42),"")</f>
        <v/>
      </c>
      <c r="I42" s="70" t="str">
        <f>IF(I$2="Y",IF(MaGic_AVM_Land!I42=0,"",MaGic_AVM_Land!I42),"")</f>
        <v/>
      </c>
      <c r="J42" s="70" t="str">
        <f>IF(J$2="Y",IF(MaGic_AVM_Land!J42=0,"",MaGic_AVM_Land!J42),"")</f>
        <v/>
      </c>
      <c r="K42" s="70" t="str">
        <f>IF(K$2="Y",IF(MaGic_AVM_Land!K42=0,"",MaGic_AVM_Land!K42),"")</f>
        <v/>
      </c>
      <c r="L42" s="70" t="str">
        <f>IF(L$2="Y",IF(MaGic_AVM_Land!L42=0,"",MaGic_AVM_Land!L42),"")</f>
        <v/>
      </c>
      <c r="M42" s="70" t="str">
        <f>IF(M$2="Y",IF(MaGic_AVM_Land!M42=0,"",MaGic_AVM_Land!M42),"")</f>
        <v/>
      </c>
      <c r="N42" s="70" t="str">
        <f>IF(N$2="Y",IF(MaGic_AVM_Land!N42=0,"",MaGic_AVM_Land!N42),"")</f>
        <v/>
      </c>
      <c r="O42" s="70" t="str">
        <f>IF(O$2="Y",IF(MaGic_AVM_Land!O42=0,"",MaGic_AVM_Land!O42),"")</f>
        <v/>
      </c>
      <c r="P42" s="70" t="str">
        <f>IF(P$2="Y",IF(MaGic_AVM_Land!P42=0,"",MaGic_AVM_Land!P42),"")</f>
        <v/>
      </c>
      <c r="Q42" s="70" t="str">
        <f>IF(Q$2="Y",IF(MaGic_AVM_Land!Q42=0,"",MaGic_AVM_Land!Q42),"")</f>
        <v/>
      </c>
      <c r="R42" s="70" t="str">
        <f>IF(R$2="Y",IF(MaGic_AVM_Land!R42=0,"",MaGic_AVM_Land!R42),"")</f>
        <v/>
      </c>
      <c r="S42" s="70" t="str">
        <f>IF(S$2="Y",IF(MaGic_AVM_Land!S42=0,"",MaGic_AVM_Land!S42),"")</f>
        <v/>
      </c>
      <c r="T42" s="70" t="str">
        <f>IF(T$2="Y",IF(MaGic_AVM_Land!T42=0,"",MaGic_AVM_Land!T42),"")</f>
        <v/>
      </c>
      <c r="U42" s="70" t="str">
        <f>IF(U$2="Y",IF(MaGic_AVM_Land!U42=0,"",MaGic_AVM_Land!U42),"")</f>
        <v/>
      </c>
      <c r="V42" s="70" t="str">
        <f>IF(V$2="Y",IF(MaGic_AVM_Land!V42=0,"",MaGic_AVM_Land!V42),"")</f>
        <v/>
      </c>
      <c r="W42" s="70" t="str">
        <f>IF(W$2="Y",IF(MaGic_AVM_Land!W42=0,"",MaGic_AVM_Land!W42),"")</f>
        <v/>
      </c>
      <c r="X42" s="70" t="str">
        <f>IF(X$2="Y",IF(MaGic_AVM_Land!X42=0,"",MaGic_AVM_Land!X42),"")</f>
        <v/>
      </c>
      <c r="Y42" s="70" t="str">
        <f>IF(Y$2="Y",IF(MaGic_AVM_Land!Y42=0,"",MaGic_AVM_Land!Y42),"")</f>
        <v/>
      </c>
      <c r="Z42" s="70" t="str">
        <f>IF(Z$2="Y",IF(MaGic_AVM_Land!Z42=0,"",MaGic_AVM_Land!Z42),"")</f>
        <v/>
      </c>
      <c r="AB42" s="69" t="str" cm="1">
        <f t="array" ref="AB42">_xlfn.UNIQUE(C42:Z42,TRUE,FALSE)</f>
        <v/>
      </c>
    </row>
    <row r="43" spans="1:28">
      <c r="A43" s="69">
        <v>2</v>
      </c>
      <c r="B43" s="69" t="s">
        <v>119</v>
      </c>
      <c r="C43" s="70" t="str">
        <f>IF(C$2="Y",IF(MaGic_AVM_Land!C43=0,"",MaGic_AVM_Land!C43),"")</f>
        <v/>
      </c>
      <c r="D43" s="70" t="str">
        <f>IF(D$2="Y",IF(MaGic_AVM_Land!D43=0,"",MaGic_AVM_Land!D43),"")</f>
        <v/>
      </c>
      <c r="E43" s="70" t="str">
        <f>IF(E$2="Y",IF(MaGic_AVM_Land!E43=0,"",MaGic_AVM_Land!E43),"")</f>
        <v/>
      </c>
      <c r="F43" s="70" t="str">
        <f>IF(F$2="Y",IF(MaGic_AVM_Land!F43=0,"",MaGic_AVM_Land!F43),"")</f>
        <v/>
      </c>
      <c r="G43" s="70" t="str">
        <f>IF(G$2="Y",IF(MaGic_AVM_Land!G43=0,"",MaGic_AVM_Land!G43),"")</f>
        <v/>
      </c>
      <c r="H43" s="70" t="str">
        <f>IF(H$2="Y",IF(MaGic_AVM_Land!H43=0,"",MaGic_AVM_Land!H43),"")</f>
        <v/>
      </c>
      <c r="I43" s="70" t="str">
        <f>IF(I$2="Y",IF(MaGic_AVM_Land!I43=0,"",MaGic_AVM_Land!I43),"")</f>
        <v/>
      </c>
      <c r="J43" s="70" t="str">
        <f>IF(J$2="Y",IF(MaGic_AVM_Land!J43=0,"",MaGic_AVM_Land!J43),"")</f>
        <v/>
      </c>
      <c r="K43" s="70" t="str">
        <f>IF(K$2="Y",IF(MaGic_AVM_Land!K43=0,"",MaGic_AVM_Land!K43),"")</f>
        <v/>
      </c>
      <c r="L43" s="70" t="str">
        <f>IF(L$2="Y",IF(MaGic_AVM_Land!L43=0,"",MaGic_AVM_Land!L43),"")</f>
        <v/>
      </c>
      <c r="M43" s="70" t="str">
        <f>IF(M$2="Y",IF(MaGic_AVM_Land!M43=0,"",MaGic_AVM_Land!M43),"")</f>
        <v/>
      </c>
      <c r="N43" s="70" t="str">
        <f>IF(N$2="Y",IF(MaGic_AVM_Land!N43=0,"",MaGic_AVM_Land!N43),"")</f>
        <v/>
      </c>
      <c r="O43" s="70" t="str">
        <f>IF(O$2="Y",IF(MaGic_AVM_Land!O43=0,"",MaGic_AVM_Land!O43),"")</f>
        <v/>
      </c>
      <c r="P43" s="70" t="str">
        <f>IF(P$2="Y",IF(MaGic_AVM_Land!P43=0,"",MaGic_AVM_Land!P43),"")</f>
        <v/>
      </c>
      <c r="Q43" s="70" t="str">
        <f>IF(Q$2="Y",IF(MaGic_AVM_Land!Q43=0,"",MaGic_AVM_Land!Q43),"")</f>
        <v/>
      </c>
      <c r="R43" s="70" t="str">
        <f>IF(R$2="Y",IF(MaGic_AVM_Land!R43=0,"",MaGic_AVM_Land!R43),"")</f>
        <v/>
      </c>
      <c r="S43" s="70" t="str">
        <f>IF(S$2="Y",IF(MaGic_AVM_Land!S43=0,"",MaGic_AVM_Land!S43),"")</f>
        <v/>
      </c>
      <c r="T43" s="70" t="str">
        <f>IF(T$2="Y",IF(MaGic_AVM_Land!T43=0,"",MaGic_AVM_Land!T43),"")</f>
        <v/>
      </c>
      <c r="U43" s="70" t="str">
        <f>IF(U$2="Y",IF(MaGic_AVM_Land!U43=0,"",MaGic_AVM_Land!U43),"")</f>
        <v/>
      </c>
      <c r="V43" s="70" t="str">
        <f>IF(V$2="Y",IF(MaGic_AVM_Land!V43=0,"",MaGic_AVM_Land!V43),"")</f>
        <v/>
      </c>
      <c r="W43" s="70" t="str">
        <f>IF(W$2="Y",IF(MaGic_AVM_Land!W43=0,"",MaGic_AVM_Land!W43),"")</f>
        <v/>
      </c>
      <c r="X43" s="70" t="str">
        <f>IF(X$2="Y",IF(MaGic_AVM_Land!X43=0,"",MaGic_AVM_Land!X43),"")</f>
        <v/>
      </c>
      <c r="Y43" s="70" t="str">
        <f>IF(Y$2="Y",IF(MaGic_AVM_Land!Y43=0,"",MaGic_AVM_Land!Y43),"")</f>
        <v/>
      </c>
      <c r="Z43" s="70" t="str">
        <f>IF(Z$2="Y",IF(MaGic_AVM_Land!Z43=0,"",MaGic_AVM_Land!Z43),"")</f>
        <v/>
      </c>
      <c r="AB43" s="69" t="str" cm="1">
        <f t="array" ref="AB43">_xlfn.UNIQUE(C43:Z43,TRUE,FALSE)</f>
        <v/>
      </c>
    </row>
    <row r="44" spans="1:28">
      <c r="A44" s="69">
        <v>3</v>
      </c>
      <c r="B44" s="69" t="s">
        <v>120</v>
      </c>
      <c r="C44" s="70" t="str">
        <f>IF(C$2="Y",IF(MaGic_AVM_Land!C44=0,"",MaGic_AVM_Land!C44),"")</f>
        <v/>
      </c>
      <c r="D44" s="70" t="str">
        <f>IF(D$2="Y",IF(MaGic_AVM_Land!D44=0,"",MaGic_AVM_Land!D44),"")</f>
        <v/>
      </c>
      <c r="E44" s="70" t="str">
        <f>IF(E$2="Y",IF(MaGic_AVM_Land!E44=0,"",MaGic_AVM_Land!E44),"")</f>
        <v/>
      </c>
      <c r="F44" s="70" t="str">
        <f>IF(F$2="Y",IF(MaGic_AVM_Land!F44=0,"",MaGic_AVM_Land!F44),"")</f>
        <v/>
      </c>
      <c r="G44" s="70" t="str">
        <f>IF(G$2="Y",IF(MaGic_AVM_Land!G44=0,"",MaGic_AVM_Land!G44),"")</f>
        <v/>
      </c>
      <c r="H44" s="70" t="str">
        <f>IF(H$2="Y",IF(MaGic_AVM_Land!H44=0,"",MaGic_AVM_Land!H44),"")</f>
        <v/>
      </c>
      <c r="I44" s="70" t="str">
        <f>IF(I$2="Y",IF(MaGic_AVM_Land!I44=0,"",MaGic_AVM_Land!I44),"")</f>
        <v/>
      </c>
      <c r="J44" s="70" t="str">
        <f>IF(J$2="Y",IF(MaGic_AVM_Land!J44=0,"",MaGic_AVM_Land!J44),"")</f>
        <v/>
      </c>
      <c r="K44" s="70" t="str">
        <f>IF(K$2="Y",IF(MaGic_AVM_Land!K44=0,"",MaGic_AVM_Land!K44),"")</f>
        <v/>
      </c>
      <c r="L44" s="70" t="str">
        <f>IF(L$2="Y",IF(MaGic_AVM_Land!L44=0,"",MaGic_AVM_Land!L44),"")</f>
        <v/>
      </c>
      <c r="M44" s="70" t="str">
        <f>IF(M$2="Y",IF(MaGic_AVM_Land!M44=0,"",MaGic_AVM_Land!M44),"")</f>
        <v/>
      </c>
      <c r="N44" s="70" t="str">
        <f>IF(N$2="Y",IF(MaGic_AVM_Land!N44=0,"",MaGic_AVM_Land!N44),"")</f>
        <v/>
      </c>
      <c r="O44" s="70" t="str">
        <f>IF(O$2="Y",IF(MaGic_AVM_Land!O44=0,"",MaGic_AVM_Land!O44),"")</f>
        <v/>
      </c>
      <c r="P44" s="70" t="str">
        <f>IF(P$2="Y",IF(MaGic_AVM_Land!P44=0,"",MaGic_AVM_Land!P44),"")</f>
        <v/>
      </c>
      <c r="Q44" s="70" t="str">
        <f>IF(Q$2="Y",IF(MaGic_AVM_Land!Q44=0,"",MaGic_AVM_Land!Q44),"")</f>
        <v/>
      </c>
      <c r="R44" s="70" t="str">
        <f>IF(R$2="Y",IF(MaGic_AVM_Land!R44=0,"",MaGic_AVM_Land!R44),"")</f>
        <v/>
      </c>
      <c r="S44" s="70" t="str">
        <f>IF(S$2="Y",IF(MaGic_AVM_Land!S44=0,"",MaGic_AVM_Land!S44),"")</f>
        <v/>
      </c>
      <c r="T44" s="70" t="str">
        <f>IF(T$2="Y",IF(MaGic_AVM_Land!T44=0,"",MaGic_AVM_Land!T44),"")</f>
        <v/>
      </c>
      <c r="U44" s="70" t="str">
        <f>IF(U$2="Y",IF(MaGic_AVM_Land!U44=0,"",MaGic_AVM_Land!U44),"")</f>
        <v/>
      </c>
      <c r="V44" s="70" t="str">
        <f>IF(V$2="Y",IF(MaGic_AVM_Land!V44=0,"",MaGic_AVM_Land!V44),"")</f>
        <v/>
      </c>
      <c r="W44" s="70" t="str">
        <f>IF(W$2="Y",IF(MaGic_AVM_Land!W44=0,"",MaGic_AVM_Land!W44),"")</f>
        <v/>
      </c>
      <c r="X44" s="70" t="str">
        <f>IF(X$2="Y",IF(MaGic_AVM_Land!X44=0,"",MaGic_AVM_Land!X44),"")</f>
        <v/>
      </c>
      <c r="Y44" s="70" t="str">
        <f>IF(Y$2="Y",IF(MaGic_AVM_Land!Y44=0,"",MaGic_AVM_Land!Y44),"")</f>
        <v/>
      </c>
      <c r="Z44" s="70" t="str">
        <f>IF(Z$2="Y",IF(MaGic_AVM_Land!Z44=0,"",MaGic_AVM_Land!Z44),"")</f>
        <v/>
      </c>
      <c r="AB44" s="69" t="str" cm="1">
        <f t="array" ref="AB44">_xlfn.UNIQUE(C44:Z44,TRUE,FALSE)</f>
        <v/>
      </c>
    </row>
    <row r="45" spans="1:28">
      <c r="A45" s="69">
        <v>4</v>
      </c>
      <c r="B45" s="69" t="s">
        <v>121</v>
      </c>
      <c r="C45" s="70" t="str">
        <f>IF(C$2="Y",IF(MaGic_AVM_Land!C45=0,"",MaGic_AVM_Land!C45),"")</f>
        <v/>
      </c>
      <c r="D45" s="70" t="str">
        <f>IF(D$2="Y",IF(MaGic_AVM_Land!D45=0,"",MaGic_AVM_Land!D45),"")</f>
        <v/>
      </c>
      <c r="E45" s="70" t="str">
        <f>IF(E$2="Y",IF(MaGic_AVM_Land!E45=0,"",MaGic_AVM_Land!E45),"")</f>
        <v/>
      </c>
      <c r="F45" s="70" t="str">
        <f>IF(F$2="Y",IF(MaGic_AVM_Land!F45=0,"",MaGic_AVM_Land!F45),"")</f>
        <v/>
      </c>
      <c r="G45" s="70" t="str">
        <f>IF(G$2="Y",IF(MaGic_AVM_Land!G45=0,"",MaGic_AVM_Land!G45),"")</f>
        <v/>
      </c>
      <c r="H45" s="70" t="str">
        <f>IF(H$2="Y",IF(MaGic_AVM_Land!H45=0,"",MaGic_AVM_Land!H45),"")</f>
        <v/>
      </c>
      <c r="I45" s="70" t="str">
        <f>IF(I$2="Y",IF(MaGic_AVM_Land!I45=0,"",MaGic_AVM_Land!I45),"")</f>
        <v/>
      </c>
      <c r="J45" s="70" t="str">
        <f>IF(J$2="Y",IF(MaGic_AVM_Land!J45=0,"",MaGic_AVM_Land!J45),"")</f>
        <v/>
      </c>
      <c r="K45" s="70" t="str">
        <f>IF(K$2="Y",IF(MaGic_AVM_Land!K45=0,"",MaGic_AVM_Land!K45),"")</f>
        <v/>
      </c>
      <c r="L45" s="70" t="str">
        <f>IF(L$2="Y",IF(MaGic_AVM_Land!L45=0,"",MaGic_AVM_Land!L45),"")</f>
        <v/>
      </c>
      <c r="M45" s="70" t="str">
        <f>IF(M$2="Y",IF(MaGic_AVM_Land!M45=0,"",MaGic_AVM_Land!M45),"")</f>
        <v/>
      </c>
      <c r="N45" s="70" t="str">
        <f>IF(N$2="Y",IF(MaGic_AVM_Land!N45=0,"",MaGic_AVM_Land!N45),"")</f>
        <v/>
      </c>
      <c r="O45" s="70" t="str">
        <f>IF(O$2="Y",IF(MaGic_AVM_Land!O45=0,"",MaGic_AVM_Land!O45),"")</f>
        <v/>
      </c>
      <c r="P45" s="70" t="str">
        <f>IF(P$2="Y",IF(MaGic_AVM_Land!P45=0,"",MaGic_AVM_Land!P45),"")</f>
        <v/>
      </c>
      <c r="Q45" s="70" t="str">
        <f>IF(Q$2="Y",IF(MaGic_AVM_Land!Q45=0,"",MaGic_AVM_Land!Q45),"")</f>
        <v/>
      </c>
      <c r="R45" s="70" t="str">
        <f>IF(R$2="Y",IF(MaGic_AVM_Land!R45=0,"",MaGic_AVM_Land!R45),"")</f>
        <v/>
      </c>
      <c r="S45" s="70" t="str">
        <f>IF(S$2="Y",IF(MaGic_AVM_Land!S45=0,"",MaGic_AVM_Land!S45),"")</f>
        <v/>
      </c>
      <c r="T45" s="70" t="str">
        <f>IF(T$2="Y",IF(MaGic_AVM_Land!T45=0,"",MaGic_AVM_Land!T45),"")</f>
        <v/>
      </c>
      <c r="U45" s="70" t="str">
        <f>IF(U$2="Y",IF(MaGic_AVM_Land!U45=0,"",MaGic_AVM_Land!U45),"")</f>
        <v/>
      </c>
      <c r="V45" s="70" t="str">
        <f>IF(V$2="Y",IF(MaGic_AVM_Land!V45=0,"",MaGic_AVM_Land!V45),"")</f>
        <v/>
      </c>
      <c r="W45" s="70" t="str">
        <f>IF(W$2="Y",IF(MaGic_AVM_Land!W45=0,"",MaGic_AVM_Land!W45),"")</f>
        <v/>
      </c>
      <c r="X45" s="70" t="str">
        <f>IF(X$2="Y",IF(MaGic_AVM_Land!X45=0,"",MaGic_AVM_Land!X45),"")</f>
        <v/>
      </c>
      <c r="Y45" s="70" t="str">
        <f>IF(Y$2="Y",IF(MaGic_AVM_Land!Y45=0,"",MaGic_AVM_Land!Y45),"")</f>
        <v/>
      </c>
      <c r="Z45" s="70" t="str">
        <f>IF(Z$2="Y",IF(MaGic_AVM_Land!Z45=0,"",MaGic_AVM_Land!Z45),"")</f>
        <v/>
      </c>
      <c r="AB45" s="69" t="str" cm="1">
        <f t="array" ref="AB45">_xlfn.UNIQUE(C45:Z45,TRUE,FALSE)</f>
        <v/>
      </c>
    </row>
    <row r="46" spans="1:28">
      <c r="C46" s="70" t="str">
        <f>IF(C$2="Y",IF(MaGic_AVM_Land!C46=0,"",MaGic_AVM_Land!C46),"")</f>
        <v/>
      </c>
      <c r="D46" s="70" t="str">
        <f>IF(D$2="Y",IF(MaGic_AVM_Land!D46=0,"",MaGic_AVM_Land!D46),"")</f>
        <v/>
      </c>
      <c r="E46" s="70" t="str">
        <f>IF(E$2="Y",IF(MaGic_AVM_Land!E46=0,"",MaGic_AVM_Land!E46),"")</f>
        <v/>
      </c>
      <c r="F46" s="70" t="str">
        <f>IF(F$2="Y",IF(MaGic_AVM_Land!F46=0,"",MaGic_AVM_Land!F46),"")</f>
        <v/>
      </c>
      <c r="G46" s="70" t="str">
        <f>IF(G$2="Y",IF(MaGic_AVM_Land!G46=0,"",MaGic_AVM_Land!G46),"")</f>
        <v/>
      </c>
      <c r="H46" s="70" t="str">
        <f>IF(H$2="Y",IF(MaGic_AVM_Land!H46=0,"",MaGic_AVM_Land!H46),"")</f>
        <v/>
      </c>
      <c r="I46" s="70" t="str">
        <f>IF(I$2="Y",IF(MaGic_AVM_Land!I46=0,"",MaGic_AVM_Land!I46),"")</f>
        <v/>
      </c>
      <c r="J46" s="70" t="str">
        <f>IF(J$2="Y",IF(MaGic_AVM_Land!J46=0,"",MaGic_AVM_Land!J46),"")</f>
        <v/>
      </c>
      <c r="K46" s="70" t="str">
        <f>IF(K$2="Y",IF(MaGic_AVM_Land!K46=0,"",MaGic_AVM_Land!K46),"")</f>
        <v/>
      </c>
      <c r="L46" s="70" t="str">
        <f>IF(L$2="Y",IF(MaGic_AVM_Land!L46=0,"",MaGic_AVM_Land!L46),"")</f>
        <v/>
      </c>
      <c r="M46" s="70" t="str">
        <f>IF(M$2="Y",IF(MaGic_AVM_Land!M46=0,"",MaGic_AVM_Land!M46),"")</f>
        <v/>
      </c>
      <c r="N46" s="70" t="str">
        <f>IF(N$2="Y",IF(MaGic_AVM_Land!N46=0,"",MaGic_AVM_Land!N46),"")</f>
        <v/>
      </c>
      <c r="O46" s="70" t="str">
        <f>IF(O$2="Y",IF(MaGic_AVM_Land!O46=0,"",MaGic_AVM_Land!O46),"")</f>
        <v/>
      </c>
      <c r="P46" s="70" t="str">
        <f>IF(P$2="Y",IF(MaGic_AVM_Land!P46=0,"",MaGic_AVM_Land!P46),"")</f>
        <v/>
      </c>
      <c r="Q46" s="70" t="str">
        <f>IF(Q$2="Y",IF(MaGic_AVM_Land!Q46=0,"",MaGic_AVM_Land!Q46),"")</f>
        <v/>
      </c>
      <c r="R46" s="70" t="str">
        <f>IF(R$2="Y",IF(MaGic_AVM_Land!R46=0,"",MaGic_AVM_Land!R46),"")</f>
        <v/>
      </c>
      <c r="S46" s="70" t="str">
        <f>IF(S$2="Y",IF(MaGic_AVM_Land!S46=0,"",MaGic_AVM_Land!S46),"")</f>
        <v/>
      </c>
      <c r="T46" s="70" t="str">
        <f>IF(T$2="Y",IF(MaGic_AVM_Land!T46=0,"",MaGic_AVM_Land!T46),"")</f>
        <v/>
      </c>
      <c r="U46" s="70" t="str">
        <f>IF(U$2="Y",IF(MaGic_AVM_Land!U46=0,"",MaGic_AVM_Land!U46),"")</f>
        <v/>
      </c>
      <c r="V46" s="70" t="str">
        <f>IF(V$2="Y",IF(MaGic_AVM_Land!V46=0,"",MaGic_AVM_Land!V46),"")</f>
        <v/>
      </c>
      <c r="W46" s="70" t="str">
        <f>IF(W$2="Y",IF(MaGic_AVM_Land!W46=0,"",MaGic_AVM_Land!W46),"")</f>
        <v/>
      </c>
      <c r="X46" s="70" t="str">
        <f>IF(X$2="Y",IF(MaGic_AVM_Land!X46=0,"",MaGic_AVM_Land!X46),"")</f>
        <v/>
      </c>
      <c r="Y46" s="70" t="str">
        <f>IF(Y$2="Y",IF(MaGic_AVM_Land!Y46=0,"",MaGic_AVM_Land!Y46),"")</f>
        <v/>
      </c>
      <c r="Z46" s="70" t="str">
        <f>IF(Z$2="Y",IF(MaGic_AVM_Land!Z46=0,"",MaGic_AVM_Land!Z46),"")</f>
        <v/>
      </c>
    </row>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row r="57" ht="15" hidden="1" customHeight="1"/>
    <row r="58" ht="15" hidden="1" customHeight="1"/>
    <row r="59" ht="15" hidden="1" customHeight="1"/>
    <row r="60" ht="15" hidden="1" customHeight="1"/>
    <row r="61" ht="15" hidden="1" customHeight="1"/>
    <row r="62" ht="15" hidden="1" customHeight="1"/>
    <row r="63" ht="15" hidden="1" customHeight="1"/>
    <row r="64" ht="15" hidden="1" customHeight="1"/>
    <row r="65" ht="15" hidden="1" customHeight="1"/>
    <row r="66" ht="15" hidden="1" customHeight="1"/>
    <row r="67" ht="15" hidden="1" customHeight="1"/>
    <row r="68" ht="15" hidden="1" customHeight="1"/>
    <row r="69" ht="15" hidden="1" customHeight="1"/>
    <row r="70" ht="15" hidden="1" customHeight="1"/>
    <row r="71" ht="15" hidden="1" customHeight="1"/>
    <row r="72" ht="15" hidden="1" customHeight="1"/>
    <row r="73" ht="15" hidden="1" customHeight="1"/>
    <row r="74" ht="15" hidden="1" customHeight="1"/>
    <row r="75" ht="15" hidden="1" customHeight="1"/>
    <row r="76" ht="15" hidden="1" customHeight="1"/>
    <row r="77" ht="15" hidden="1" customHeight="1"/>
    <row r="78" ht="15" hidden="1" customHeight="1"/>
    <row r="79" ht="15" hidden="1" customHeight="1"/>
    <row r="80"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spans="3:27" ht="15" hidden="1" customHeight="1"/>
    <row r="98" spans="3:27" ht="15" hidden="1" customHeight="1"/>
    <row r="99" spans="3:27" ht="15" hidden="1" customHeight="1"/>
    <row r="100" spans="3:27" ht="15" hidden="1" customHeight="1"/>
    <row r="101" spans="3:27" ht="170.25" customHeight="1">
      <c r="C101" s="19" t="str">
        <f>IF(C23="","",CONCATENATE(C23," Ares of land from ",IF(C20="","",CONCATENATE($B$20,C20,", ")),IF(C21="","",CONCATENATE($B$21,C21,", ")),IF(C22="","",CONCATENATE($B$22,C22,", ")),IF(C17="","",CONCATENATE($B$17,C17,", ")),IF(C18="","",CONCATENATE($B$18,C18,", ")),IF(C19="","",CONCATENATE($B$19,C19,", ")),IF(C14="","",CONCATENATE($B$14,C14,", ")),IF(C15="","",CONCATENATE($B$15,C15,", ")),IF(C16="","",CONCATENATE($B$16,C16))))</f>
        <v/>
      </c>
      <c r="D101" s="19" t="str">
        <f>IF(D23="","",CONCATENATE(D23," Ares of land from ",IF(D20="","",CONCATENATE($B$20,D20,", ")),IF(D21="","",CONCATENATE($B$21,D21,", ")),IF(D22="","",CONCATENATE($B$22,D22,", ")),IF(D17="","",CONCATENATE($B$17,D17,", ")),IF(D18="","",CONCATENATE($B$18,D18,", ")),IF(D19="","",CONCATENATE($B$19,D19,", ")),IF(D14="","",CONCATENATE($B$14,D14,", ")),IF(D15="","",CONCATENATE($B$15,D15,", ")),IF(D16="","",CONCATENATE($B$16,D16))))</f>
        <v/>
      </c>
      <c r="E101" s="19" t="str">
        <f t="shared" ref="E101:Z101" si="4">IF(E23="","",CONCATENATE(E23," Ares of land from ",IF(E20="","",CONCATENATE($B$20,E20,", ")),IF(E21="","",CONCATENATE($B$21,E21,", ")),IF(E22="","",CONCATENATE($B$22,E22,", ")),IF(E17="","",CONCATENATE($B$17,E17,", ")),IF(E18="","",CONCATENATE($B$18,E18,", ")),IF(E19="","",CONCATENATE($B$19,E19,", ")),IF(E14="","",CONCATENATE($B$14,E14,", ")),IF(E15="","",CONCATENATE($B$15,E15,", ")),IF(E16="","",CONCATENATE($B$16,E16))))</f>
        <v/>
      </c>
      <c r="F101" s="19" t="str">
        <f t="shared" si="4"/>
        <v/>
      </c>
      <c r="G101" s="19" t="str">
        <f t="shared" si="4"/>
        <v/>
      </c>
      <c r="H101" s="19" t="str">
        <f t="shared" si="4"/>
        <v/>
      </c>
      <c r="I101" s="19" t="str">
        <f t="shared" si="4"/>
        <v/>
      </c>
      <c r="J101" s="19" t="str">
        <f t="shared" si="4"/>
        <v/>
      </c>
      <c r="K101" s="19" t="str">
        <f t="shared" si="4"/>
        <v/>
      </c>
      <c r="L101" s="19" t="str">
        <f t="shared" si="4"/>
        <v/>
      </c>
      <c r="M101" s="19" t="str">
        <f t="shared" si="4"/>
        <v/>
      </c>
      <c r="N101" s="19" t="str">
        <f t="shared" si="4"/>
        <v/>
      </c>
      <c r="O101" s="19" t="str">
        <f t="shared" si="4"/>
        <v/>
      </c>
      <c r="P101" s="19" t="str">
        <f t="shared" si="4"/>
        <v/>
      </c>
      <c r="Q101" s="19" t="str">
        <f t="shared" si="4"/>
        <v/>
      </c>
      <c r="R101" s="19" t="str">
        <f t="shared" si="4"/>
        <v/>
      </c>
      <c r="S101" s="19" t="str">
        <f t="shared" si="4"/>
        <v/>
      </c>
      <c r="T101" s="19" t="str">
        <f t="shared" si="4"/>
        <v/>
      </c>
      <c r="U101" s="19" t="str">
        <f t="shared" si="4"/>
        <v/>
      </c>
      <c r="V101" s="19" t="str">
        <f t="shared" si="4"/>
        <v/>
      </c>
      <c r="W101" s="19" t="str">
        <f t="shared" si="4"/>
        <v/>
      </c>
      <c r="X101" s="19" t="str">
        <f t="shared" si="4"/>
        <v/>
      </c>
      <c r="Y101" s="19" t="str">
        <f t="shared" si="4"/>
        <v/>
      </c>
      <c r="Z101" s="19" t="str">
        <f t="shared" si="4"/>
        <v/>
      </c>
      <c r="AA101" s="19" t="str">
        <f>_xlfn.TEXTJOIN(" and ",TRUE,C101:Z101)</f>
        <v/>
      </c>
    </row>
    <row r="102" spans="3:27">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v>0</v>
      </c>
      <c r="AA102" s="19" t="s">
        <v>212</v>
      </c>
    </row>
    <row r="103" spans="3:27" ht="105" customHeight="1">
      <c r="Z103" s="19">
        <v>1</v>
      </c>
      <c r="AA103" s="19" t="str">
        <f>CONCATENATE(AA101," located in ",AA11,", ",AA10,", ",AA8,". ")</f>
        <v>located in  Village,  Taluk,  District.</v>
      </c>
    </row>
    <row r="104" spans="3:27" ht="146.25" customHeight="1">
      <c r="Z104" s="69">
        <v>2</v>
      </c>
      <c r="AA104" s="19" t="str">
        <f>CONCATENATE("A total of ",AA23," ares of land, comprising ",AA101," located in ",AA11,", ",AA10,", ",AA8,". ")</f>
        <v>A total of 0 ares of land, comprising  located in  Village,  Taluk,  District.</v>
      </c>
    </row>
    <row r="105" spans="3:27" ht="84.65" customHeight="1">
      <c r="Y105" s="477" t="s">
        <v>1107</v>
      </c>
      <c r="Z105" s="477"/>
      <c r="AA105" s="467" t="str">
        <f>IF(AA2&gt;2,AA104,VLOOKUP(AA2,Z102:AA104,2,FALSE))</f>
        <v>NA</v>
      </c>
    </row>
    <row r="106" spans="3:27">
      <c r="Y106" s="477"/>
      <c r="Z106" s="477"/>
      <c r="AA106" s="467"/>
    </row>
    <row r="107" spans="3:27" ht="15" customHeight="1">
      <c r="Y107" s="477" t="s">
        <v>1109</v>
      </c>
      <c r="Z107" s="477"/>
      <c r="AA107" s="467" t="s">
        <v>1110</v>
      </c>
    </row>
    <row r="108" spans="3:27">
      <c r="D108" s="69">
        <v>0</v>
      </c>
      <c r="Y108" s="477"/>
      <c r="Z108" s="477"/>
      <c r="AA108" s="467"/>
    </row>
    <row r="109" spans="3:27">
      <c r="Y109" s="477"/>
      <c r="Z109" s="477"/>
      <c r="AA109" s="467"/>
    </row>
    <row r="110" spans="3:27">
      <c r="Y110" s="477"/>
      <c r="Z110" s="477"/>
      <c r="AA110" s="467"/>
    </row>
    <row r="111" spans="3:27">
      <c r="Y111" s="477"/>
      <c r="Z111" s="477"/>
      <c r="AA111" s="467"/>
    </row>
    <row r="112" spans="3:27">
      <c r="Y112" s="477"/>
      <c r="Z112" s="477"/>
      <c r="AA112" s="467"/>
    </row>
    <row r="113" spans="25:27">
      <c r="Y113" s="477"/>
      <c r="Z113" s="477"/>
      <c r="AA113" s="467"/>
    </row>
  </sheetData>
  <mergeCells count="4">
    <mergeCell ref="AA105:AA106"/>
    <mergeCell ref="AA107:AA113"/>
    <mergeCell ref="Y105:Z106"/>
    <mergeCell ref="Y107:Z113"/>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AD120"/>
  <sheetViews>
    <sheetView topLeftCell="Q4" workbookViewId="0">
      <selection activeCell="AA23" sqref="AA23"/>
    </sheetView>
  </sheetViews>
  <sheetFormatPr defaultColWidth="9.26953125" defaultRowHeight="14.5"/>
  <cols>
    <col min="1" max="1" width="3" style="69" customWidth="1"/>
    <col min="2" max="2" width="23.26953125" style="69" customWidth="1"/>
    <col min="3" max="3" width="11.54296875" style="69" customWidth="1"/>
    <col min="4" max="4" width="14" style="69" customWidth="1"/>
    <col min="5" max="5" width="11.54296875" style="69" customWidth="1"/>
    <col min="6" max="22" width="9.26953125" style="69"/>
    <col min="23" max="23" width="11" style="69" customWidth="1"/>
    <col min="24" max="26" width="9.26953125" style="69"/>
    <col min="27" max="27" width="52.7265625" style="69" customWidth="1"/>
    <col min="28" max="28" width="15.54296875" style="69" customWidth="1"/>
    <col min="29" max="29" width="25.26953125" style="69" customWidth="1"/>
    <col min="30" max="31" width="29.26953125" style="69" customWidth="1"/>
    <col min="32" max="16384" width="9.26953125" style="69"/>
  </cols>
  <sheetData>
    <row r="2" spans="1:29">
      <c r="A2" s="70"/>
      <c r="B2" s="70"/>
      <c r="C2" s="70" t="str">
        <f>IF(MaGic_AVM_Land!C2="Title Deed","Y","N")</f>
        <v>N</v>
      </c>
      <c r="D2" s="70" t="str">
        <f>IF(MaGic_AVM_Land!D2="Title Deed","Y","N")</f>
        <v>Y</v>
      </c>
      <c r="E2" s="70" t="str">
        <f>IF(MaGic_AVM_Land!E2="Title Deed","Y","N")</f>
        <v>N</v>
      </c>
      <c r="F2" s="70" t="str">
        <f>IF(MaGic_AVM_Land!F2="Title Deed","Y","N")</f>
        <v>N</v>
      </c>
      <c r="G2" s="70" t="str">
        <f>IF(MaGic_AVM_Land!G2="Title Deed","Y","N")</f>
        <v>N</v>
      </c>
      <c r="H2" s="70" t="str">
        <f>IF(MaGic_AVM_Land!H2="Title Deed","Y","N")</f>
        <v>N</v>
      </c>
      <c r="I2" s="70" t="str">
        <f>IF(MaGic_AVM_Land!I2="Title Deed","Y","N")</f>
        <v>N</v>
      </c>
      <c r="J2" s="70" t="str">
        <f>IF(MaGic_AVM_Land!J2="Title Deed","Y","N")</f>
        <v>N</v>
      </c>
      <c r="K2" s="70" t="str">
        <f>IF(MaGic_AVM_Land!K2="Title Deed","Y","N")</f>
        <v>N</v>
      </c>
      <c r="L2" s="70" t="str">
        <f>IF(MaGic_AVM_Land!L2="Title Deed","Y","N")</f>
        <v>N</v>
      </c>
      <c r="M2" s="70" t="str">
        <f>IF(MaGic_AVM_Land!M2="Title Deed","Y","N")</f>
        <v>N</v>
      </c>
      <c r="N2" s="70" t="str">
        <f>IF(MaGic_AVM_Land!N2="Title Deed","Y","N")</f>
        <v>N</v>
      </c>
      <c r="O2" s="70" t="str">
        <f>IF(MaGic_AVM_Land!O2="Title Deed","Y","N")</f>
        <v>N</v>
      </c>
      <c r="P2" s="70" t="str">
        <f>IF(MaGic_AVM_Land!P2="Title Deed","Y","N")</f>
        <v>N</v>
      </c>
      <c r="Q2" s="70" t="str">
        <f>IF(MaGic_AVM_Land!Q2="Title Deed","Y","N")</f>
        <v>N</v>
      </c>
      <c r="R2" s="70" t="str">
        <f>IF(MaGic_AVM_Land!R2="Title Deed","Y","N")</f>
        <v>N</v>
      </c>
      <c r="S2" s="70" t="str">
        <f>IF(MaGic_AVM_Land!S2="Title Deed","Y","N")</f>
        <v>N</v>
      </c>
      <c r="T2" s="70" t="str">
        <f>IF(MaGic_AVM_Land!T2="Title Deed","Y","N")</f>
        <v>N</v>
      </c>
      <c r="U2" s="70" t="str">
        <f>IF(MaGic_AVM_Land!U2="Title Deed","Y","N")</f>
        <v>N</v>
      </c>
      <c r="V2" s="70" t="str">
        <f>IF(MaGic_AVM_Land!V2="Title Deed","Y","N")</f>
        <v>N</v>
      </c>
      <c r="W2" s="70" t="str">
        <f>IF(MaGic_AVM_Land!W2="Title Deed","Y","N")</f>
        <v>N</v>
      </c>
      <c r="X2" s="70" t="str">
        <f>IF(MaGic_AVM_Land!X2="Title Deed","Y","N")</f>
        <v>N</v>
      </c>
      <c r="Y2" s="70" t="str">
        <f>IF(MaGic_AVM_Land!Y2="Title Deed","Y","N")</f>
        <v>N</v>
      </c>
      <c r="Z2" s="70" t="str">
        <f>IF(MaGic_AVM_Land!Z2="Title Deed","Y","N")</f>
        <v>N</v>
      </c>
      <c r="AA2" s="69">
        <f>COUNTIF(C2:Z2,"Y")</f>
        <v>1</v>
      </c>
      <c r="AB2" s="69" t="str" cm="1">
        <f t="array" ref="AB2:AC2">_xlfn.UNIQUE(C2:Z2,TRUE,FALSE)</f>
        <v>N</v>
      </c>
      <c r="AC2" s="69" t="str">
        <v>Y</v>
      </c>
    </row>
    <row r="3" spans="1:29">
      <c r="A3" s="70">
        <v>1</v>
      </c>
      <c r="B3" s="70" t="s">
        <v>48</v>
      </c>
      <c r="C3" s="70" t="str">
        <f>IF(C$2="Y",IF(MaGic_AVM_Land!C3=0,"",MaGic_AVM_Land!C3),"")</f>
        <v/>
      </c>
      <c r="D3" s="70" t="str">
        <f>IF(D$2="Y",IF(MaGic_AVM_Land!D3=0,"",MaGic_AVM_Land!D3),"")</f>
        <v>153/2022</v>
      </c>
      <c r="E3" s="70" t="str">
        <f>IF(E$2="Y",IF(MaGic_AVM_Land!E3=0,"",MaGic_AVM_Land!E3),"")</f>
        <v/>
      </c>
      <c r="F3" s="70" t="str">
        <f>IF(F$2="Y",IF(MaGic_AVM_Land!F3=0,"",MaGic_AVM_Land!F3),"")</f>
        <v/>
      </c>
      <c r="G3" s="70" t="str">
        <f>IF(G$2="Y",IF(MaGic_AVM_Land!G3=0,"",MaGic_AVM_Land!G3),"")</f>
        <v/>
      </c>
      <c r="H3" s="70" t="str">
        <f>IF(H$2="Y",IF(MaGic_AVM_Land!H3=0,"",MaGic_AVM_Land!H3),"")</f>
        <v/>
      </c>
      <c r="I3" s="70" t="str">
        <f>IF(I$2="Y",IF(MaGic_AVM_Land!I3=0,"",MaGic_AVM_Land!I3),"")</f>
        <v/>
      </c>
      <c r="J3" s="70" t="str">
        <f>IF(J$2="Y",IF(MaGic_AVM_Land!J3=0,"",MaGic_AVM_Land!J3),"")</f>
        <v/>
      </c>
      <c r="K3" s="70" t="str">
        <f>IF(K$2="Y",IF(MaGic_AVM_Land!K3=0,"",MaGic_AVM_Land!K3),"")</f>
        <v/>
      </c>
      <c r="L3" s="70" t="str">
        <f>IF(L$2="Y",IF(MaGic_AVM_Land!L3=0,"",MaGic_AVM_Land!L3),"")</f>
        <v/>
      </c>
      <c r="M3" s="70" t="str">
        <f>IF(M$2="Y",IF(MaGic_AVM_Land!M3=0,"",MaGic_AVM_Land!M3),"")</f>
        <v/>
      </c>
      <c r="N3" s="70" t="str">
        <f>IF(N$2="Y",IF(MaGic_AVM_Land!N3=0,"",MaGic_AVM_Land!N3),"")</f>
        <v/>
      </c>
      <c r="O3" s="70" t="str">
        <f>IF(O$2="Y",IF(MaGic_AVM_Land!O3=0,"",MaGic_AVM_Land!O3),"")</f>
        <v/>
      </c>
      <c r="P3" s="70" t="str">
        <f>IF(P$2="Y",IF(MaGic_AVM_Land!P3=0,"",MaGic_AVM_Land!P3),"")</f>
        <v/>
      </c>
      <c r="Q3" s="70" t="str">
        <f>IF(Q$2="Y",IF(MaGic_AVM_Land!Q3=0,"",MaGic_AVM_Land!Q3),"")</f>
        <v/>
      </c>
      <c r="R3" s="70" t="str">
        <f>IF(R$2="Y",IF(MaGic_AVM_Land!R3=0,"",MaGic_AVM_Land!R3),"")</f>
        <v/>
      </c>
      <c r="S3" s="70" t="str">
        <f>IF(S$2="Y",IF(MaGic_AVM_Land!S3=0,"",MaGic_AVM_Land!S3),"")</f>
        <v/>
      </c>
      <c r="T3" s="70" t="str">
        <f>IF(T$2="Y",IF(MaGic_AVM_Land!T3=0,"",MaGic_AVM_Land!T3),"")</f>
        <v/>
      </c>
      <c r="U3" s="70" t="str">
        <f>IF(U$2="Y",IF(MaGic_AVM_Land!U3=0,"",MaGic_AVM_Land!U3),"")</f>
        <v/>
      </c>
      <c r="V3" s="70" t="str">
        <f>IF(V$2="Y",IF(MaGic_AVM_Land!V3=0,"",MaGic_AVM_Land!V3),"")</f>
        <v/>
      </c>
      <c r="W3" s="70" t="str">
        <f>IF(W$2="Y",IF(MaGic_AVM_Land!W3=0,"",MaGic_AVM_Land!W3),"")</f>
        <v/>
      </c>
      <c r="X3" s="70" t="str">
        <f>IF(X$2="Y",IF(MaGic_AVM_Land!X3=0,"",MaGic_AVM_Land!X3),"")</f>
        <v/>
      </c>
      <c r="Y3" s="70" t="str">
        <f>IF(Y$2="Y",IF(MaGic_AVM_Land!Y3=0,"",MaGic_AVM_Land!Y3),"")</f>
        <v/>
      </c>
      <c r="Z3" s="70" t="str">
        <f>IF(Z$2="Y",IF(MaGic_AVM_Land!Z3=0,"",MaGic_AVM_Land!Z3),"")</f>
        <v/>
      </c>
      <c r="AA3" s="69" t="str">
        <f t="shared" ref="AA3:AA7" si="0">_xlfn.TEXTJOIN(", ",TRUE,AB3:AZ3)</f>
        <v>153/2022</v>
      </c>
      <c r="AB3" s="69" t="str" cm="1">
        <f t="array" ref="AB3:AC3">_xlfn.UNIQUE(C3:Z3,TRUE,FALSE)</f>
        <v/>
      </c>
      <c r="AC3" s="69" t="str">
        <v>153/2022</v>
      </c>
    </row>
    <row r="4" spans="1:29">
      <c r="A4" s="70">
        <v>2</v>
      </c>
      <c r="B4" s="70" t="s">
        <v>51</v>
      </c>
      <c r="C4" s="70" t="str">
        <f>IF(C$2="Y",IF(MaGic_AVM_Land!C4=0,"",MaGic_AVM_Land!C4),"")</f>
        <v/>
      </c>
      <c r="D4" s="70" t="str">
        <f>IF(D$2="Y",IF(MaGic_AVM_Land!D4=0,"",MaGic_AVM_Land!D4),"")</f>
        <v/>
      </c>
      <c r="E4" s="70" t="str">
        <f>IF(E$2="Y",IF(MaGic_AVM_Land!E4=0,"",MaGic_AVM_Land!E4),"")</f>
        <v/>
      </c>
      <c r="F4" s="70" t="str">
        <f>IF(F$2="Y",IF(MaGic_AVM_Land!F4=0,"",MaGic_AVM_Land!F4),"")</f>
        <v/>
      </c>
      <c r="G4" s="70" t="str">
        <f>IF(G$2="Y",IF(MaGic_AVM_Land!G4=0,"",MaGic_AVM_Land!G4),"")</f>
        <v/>
      </c>
      <c r="H4" s="70" t="str">
        <f>IF(H$2="Y",IF(MaGic_AVM_Land!H4=0,"",MaGic_AVM_Land!H4),"")</f>
        <v/>
      </c>
      <c r="I4" s="70" t="str">
        <f>IF(I$2="Y",IF(MaGic_AVM_Land!I4=0,"",MaGic_AVM_Land!I4),"")</f>
        <v/>
      </c>
      <c r="J4" s="70" t="str">
        <f>IF(J$2="Y",IF(MaGic_AVM_Land!J4=0,"",MaGic_AVM_Land!J4),"")</f>
        <v/>
      </c>
      <c r="K4" s="70" t="str">
        <f>IF(K$2="Y",IF(MaGic_AVM_Land!K4=0,"",MaGic_AVM_Land!K4),"")</f>
        <v/>
      </c>
      <c r="L4" s="70" t="str">
        <f>IF(L$2="Y",IF(MaGic_AVM_Land!L4=0,"",MaGic_AVM_Land!L4),"")</f>
        <v/>
      </c>
      <c r="M4" s="70" t="str">
        <f>IF(M$2="Y",IF(MaGic_AVM_Land!M4=0,"",MaGic_AVM_Land!M4),"")</f>
        <v/>
      </c>
      <c r="N4" s="70" t="str">
        <f>IF(N$2="Y",IF(MaGic_AVM_Land!N4=0,"",MaGic_AVM_Land!N4),"")</f>
        <v/>
      </c>
      <c r="O4" s="70" t="str">
        <f>IF(O$2="Y",IF(MaGic_AVM_Land!O4=0,"",MaGic_AVM_Land!O4),"")</f>
        <v/>
      </c>
      <c r="P4" s="70" t="str">
        <f>IF(P$2="Y",IF(MaGic_AVM_Land!P4=0,"",MaGic_AVM_Land!P4),"")</f>
        <v/>
      </c>
      <c r="Q4" s="70" t="str">
        <f>IF(Q$2="Y",IF(MaGic_AVM_Land!Q4=0,"",MaGic_AVM_Land!Q4),"")</f>
        <v/>
      </c>
      <c r="R4" s="70" t="str">
        <f>IF(R$2="Y",IF(MaGic_AVM_Land!R4=0,"",MaGic_AVM_Land!R4),"")</f>
        <v/>
      </c>
      <c r="S4" s="70" t="str">
        <f>IF(S$2="Y",IF(MaGic_AVM_Land!S4=0,"",MaGic_AVM_Land!S4),"")</f>
        <v/>
      </c>
      <c r="T4" s="70" t="str">
        <f>IF(T$2="Y",IF(MaGic_AVM_Land!T4=0,"",MaGic_AVM_Land!T4),"")</f>
        <v/>
      </c>
      <c r="U4" s="70" t="str">
        <f>IF(U$2="Y",IF(MaGic_AVM_Land!U4=0,"",MaGic_AVM_Land!U4),"")</f>
        <v/>
      </c>
      <c r="V4" s="70" t="str">
        <f>IF(V$2="Y",IF(MaGic_AVM_Land!V4=0,"",MaGic_AVM_Land!V4),"")</f>
        <v/>
      </c>
      <c r="W4" s="70" t="str">
        <f>IF(W$2="Y",IF(MaGic_AVM_Land!W4=0,"",MaGic_AVM_Land!W4),"")</f>
        <v/>
      </c>
      <c r="X4" s="70" t="str">
        <f>IF(X$2="Y",IF(MaGic_AVM_Land!X4=0,"",MaGic_AVM_Land!X4),"")</f>
        <v/>
      </c>
      <c r="Y4" s="70" t="str">
        <f>IF(Y$2="Y",IF(MaGic_AVM_Land!Y4=0,"",MaGic_AVM_Land!Y4),"")</f>
        <v/>
      </c>
      <c r="Z4" s="70" t="str">
        <f>IF(Z$2="Y",IF(MaGic_AVM_Land!Z4=0,"",MaGic_AVM_Land!Z4),"")</f>
        <v/>
      </c>
      <c r="AA4" s="69" t="str">
        <f t="shared" si="0"/>
        <v/>
      </c>
      <c r="AB4" s="69" t="str" cm="1">
        <f t="array" ref="AB4">_xlfn.UNIQUE(C4:Z4,TRUE,FALSE)</f>
        <v/>
      </c>
    </row>
    <row r="5" spans="1:29">
      <c r="A5" s="70">
        <v>3</v>
      </c>
      <c r="B5" s="70" t="s">
        <v>52</v>
      </c>
      <c r="C5" s="70" t="str">
        <f>IF(C$2="Y",IF(MaGic_AVM_Land!C5=0,"",MaGic_AVM_Land!C5),"")</f>
        <v/>
      </c>
      <c r="D5" s="70" t="str">
        <f>IF(D$2="Y",IF(MaGic_AVM_Land!D5=0,"",MaGic_AVM_Land!D5),"")</f>
        <v/>
      </c>
      <c r="E5" s="70" t="str">
        <f>IF(E$2="Y",IF(MaGic_AVM_Land!E5=0,"",MaGic_AVM_Land!E5),"")</f>
        <v/>
      </c>
      <c r="F5" s="70" t="str">
        <f>IF(F$2="Y",IF(MaGic_AVM_Land!F5=0,"",MaGic_AVM_Land!F5),"")</f>
        <v/>
      </c>
      <c r="G5" s="70" t="str">
        <f>IF(G$2="Y",IF(MaGic_AVM_Land!G5=0,"",MaGic_AVM_Land!G5),"")</f>
        <v/>
      </c>
      <c r="H5" s="70" t="str">
        <f>IF(H$2="Y",IF(MaGic_AVM_Land!H5=0,"",MaGic_AVM_Land!H5),"")</f>
        <v/>
      </c>
      <c r="I5" s="70" t="str">
        <f>IF(I$2="Y",IF(MaGic_AVM_Land!I5=0,"",MaGic_AVM_Land!I5),"")</f>
        <v/>
      </c>
      <c r="J5" s="70" t="str">
        <f>IF(J$2="Y",IF(MaGic_AVM_Land!J5=0,"",MaGic_AVM_Land!J5),"")</f>
        <v/>
      </c>
      <c r="K5" s="70" t="str">
        <f>IF(K$2="Y",IF(MaGic_AVM_Land!K5=0,"",MaGic_AVM_Land!K5),"")</f>
        <v/>
      </c>
      <c r="L5" s="70" t="str">
        <f>IF(L$2="Y",IF(MaGic_AVM_Land!L5=0,"",MaGic_AVM_Land!L5),"")</f>
        <v/>
      </c>
      <c r="M5" s="70" t="str">
        <f>IF(M$2="Y",IF(MaGic_AVM_Land!M5=0,"",MaGic_AVM_Land!M5),"")</f>
        <v/>
      </c>
      <c r="N5" s="70" t="str">
        <f>IF(N$2="Y",IF(MaGic_AVM_Land!N5=0,"",MaGic_AVM_Land!N5),"")</f>
        <v/>
      </c>
      <c r="O5" s="70" t="str">
        <f>IF(O$2="Y",IF(MaGic_AVM_Land!O5=0,"",MaGic_AVM_Land!O5),"")</f>
        <v/>
      </c>
      <c r="P5" s="70" t="str">
        <f>IF(P$2="Y",IF(MaGic_AVM_Land!P5=0,"",MaGic_AVM_Land!P5),"")</f>
        <v/>
      </c>
      <c r="Q5" s="70" t="str">
        <f>IF(Q$2="Y",IF(MaGic_AVM_Land!Q5=0,"",MaGic_AVM_Land!Q5),"")</f>
        <v/>
      </c>
      <c r="R5" s="70" t="str">
        <f>IF(R$2="Y",IF(MaGic_AVM_Land!R5=0,"",MaGic_AVM_Land!R5),"")</f>
        <v/>
      </c>
      <c r="S5" s="70" t="str">
        <f>IF(S$2="Y",IF(MaGic_AVM_Land!S5=0,"",MaGic_AVM_Land!S5),"")</f>
        <v/>
      </c>
      <c r="T5" s="70" t="str">
        <f>IF(T$2="Y",IF(MaGic_AVM_Land!T5=0,"",MaGic_AVM_Land!T5),"")</f>
        <v/>
      </c>
      <c r="U5" s="70" t="str">
        <f>IF(U$2="Y",IF(MaGic_AVM_Land!U5=0,"",MaGic_AVM_Land!U5),"")</f>
        <v/>
      </c>
      <c r="V5" s="70" t="str">
        <f>IF(V$2="Y",IF(MaGic_AVM_Land!V5=0,"",MaGic_AVM_Land!V5),"")</f>
        <v/>
      </c>
      <c r="W5" s="70" t="str">
        <f>IF(W$2="Y",IF(MaGic_AVM_Land!W5=0,"",MaGic_AVM_Land!W5),"")</f>
        <v/>
      </c>
      <c r="X5" s="70" t="str">
        <f>IF(X$2="Y",IF(MaGic_AVM_Land!X5=0,"",MaGic_AVM_Land!X5),"")</f>
        <v/>
      </c>
      <c r="Y5" s="70" t="str">
        <f>IF(Y$2="Y",IF(MaGic_AVM_Land!Y5=0,"",MaGic_AVM_Land!Y5),"")</f>
        <v/>
      </c>
      <c r="Z5" s="70" t="str">
        <f>IF(Z$2="Y",IF(MaGic_AVM_Land!Z5=0,"",MaGic_AVM_Land!Z5),"")</f>
        <v/>
      </c>
      <c r="AA5" s="69" t="str">
        <f t="shared" si="0"/>
        <v/>
      </c>
      <c r="AB5" s="69" t="str" cm="1">
        <f t="array" ref="AB5">_xlfn.UNIQUE(C5:Z5,TRUE,FALSE)</f>
        <v/>
      </c>
    </row>
    <row r="6" spans="1:29">
      <c r="A6" s="70">
        <v>4</v>
      </c>
      <c r="B6" s="70" t="s">
        <v>1101</v>
      </c>
      <c r="C6" s="70" t="str">
        <f>IF(C$2="Y",IF(MaGic_AVM_Land!C6=0,"",MaGic_AVM_Land!C6),"")</f>
        <v/>
      </c>
      <c r="D6" s="70" t="str">
        <f>IF(D$2="Y",IF(MaGic_AVM_Land!D6=0,"",MaGic_AVM_Land!D6),"")</f>
        <v>Jayan</v>
      </c>
      <c r="E6" s="70" t="str">
        <f>IF(E$2="Y",IF(MaGic_AVM_Land!E6=0,"",MaGic_AVM_Land!E6),"")</f>
        <v/>
      </c>
      <c r="F6" s="70" t="str">
        <f>IF(F$2="Y",IF(MaGic_AVM_Land!F6=0,"",MaGic_AVM_Land!F6),"")</f>
        <v/>
      </c>
      <c r="G6" s="70" t="str">
        <f>IF(G$2="Y",IF(MaGic_AVM_Land!G6=0,"",MaGic_AVM_Land!G6),"")</f>
        <v/>
      </c>
      <c r="H6" s="70" t="str">
        <f>IF(H$2="Y",IF(MaGic_AVM_Land!H6=0,"",MaGic_AVM_Land!H6),"")</f>
        <v/>
      </c>
      <c r="I6" s="70" t="str">
        <f>IF(I$2="Y",IF(MaGic_AVM_Land!I6=0,"",MaGic_AVM_Land!I6),"")</f>
        <v/>
      </c>
      <c r="J6" s="70" t="str">
        <f>IF(J$2="Y",IF(MaGic_AVM_Land!J6=0,"",MaGic_AVM_Land!J6),"")</f>
        <v/>
      </c>
      <c r="K6" s="70" t="str">
        <f>IF(K$2="Y",IF(MaGic_AVM_Land!K6=0,"",MaGic_AVM_Land!K6),"")</f>
        <v/>
      </c>
      <c r="L6" s="70" t="str">
        <f>IF(L$2="Y",IF(MaGic_AVM_Land!L6=0,"",MaGic_AVM_Land!L6),"")</f>
        <v/>
      </c>
      <c r="M6" s="70" t="str">
        <f>IF(M$2="Y",IF(MaGic_AVM_Land!M6=0,"",MaGic_AVM_Land!M6),"")</f>
        <v/>
      </c>
      <c r="N6" s="70" t="str">
        <f>IF(N$2="Y",IF(MaGic_AVM_Land!N6=0,"",MaGic_AVM_Land!N6),"")</f>
        <v/>
      </c>
      <c r="O6" s="70" t="str">
        <f>IF(O$2="Y",IF(MaGic_AVM_Land!O6=0,"",MaGic_AVM_Land!O6),"")</f>
        <v/>
      </c>
      <c r="P6" s="70" t="str">
        <f>IF(P$2="Y",IF(MaGic_AVM_Land!P6=0,"",MaGic_AVM_Land!P6),"")</f>
        <v/>
      </c>
      <c r="Q6" s="70" t="str">
        <f>IF(Q$2="Y",IF(MaGic_AVM_Land!Q6=0,"",MaGic_AVM_Land!Q6),"")</f>
        <v/>
      </c>
      <c r="R6" s="70" t="str">
        <f>IF(R$2="Y",IF(MaGic_AVM_Land!R6=0,"",MaGic_AVM_Land!R6),"")</f>
        <v/>
      </c>
      <c r="S6" s="70" t="str">
        <f>IF(S$2="Y",IF(MaGic_AVM_Land!S6=0,"",MaGic_AVM_Land!S6),"")</f>
        <v/>
      </c>
      <c r="T6" s="70" t="str">
        <f>IF(T$2="Y",IF(MaGic_AVM_Land!T6=0,"",MaGic_AVM_Land!T6),"")</f>
        <v/>
      </c>
      <c r="U6" s="70" t="str">
        <f>IF(U$2="Y",IF(MaGic_AVM_Land!U6=0,"",MaGic_AVM_Land!U6),"")</f>
        <v/>
      </c>
      <c r="V6" s="70" t="str">
        <f>IF(V$2="Y",IF(MaGic_AVM_Land!V6=0,"",MaGic_AVM_Land!V6),"")</f>
        <v/>
      </c>
      <c r="W6" s="70" t="str">
        <f>IF(W$2="Y",IF(MaGic_AVM_Land!W6=0,"",MaGic_AVM_Land!W6),"")</f>
        <v/>
      </c>
      <c r="X6" s="70" t="str">
        <f>IF(X$2="Y",IF(MaGic_AVM_Land!X6=0,"",MaGic_AVM_Land!X6),"")</f>
        <v/>
      </c>
      <c r="Y6" s="70" t="str">
        <f>IF(Y$2="Y",IF(MaGic_AVM_Land!Y6=0,"",MaGic_AVM_Land!Y6),"")</f>
        <v/>
      </c>
      <c r="Z6" s="70" t="str">
        <f>IF(Z$2="Y",IF(MaGic_AVM_Land!Z6=0,"",MaGic_AVM_Land!Z6),"")</f>
        <v/>
      </c>
      <c r="AA6" s="69" t="str">
        <f t="shared" si="0"/>
        <v>Jayan</v>
      </c>
      <c r="AB6" s="69" t="str" cm="1">
        <f t="array" ref="AB6:AC6">_xlfn.UNIQUE(C6:Z6,TRUE,FALSE)</f>
        <v/>
      </c>
      <c r="AC6" s="69" t="str">
        <v>Jayan</v>
      </c>
    </row>
    <row r="7" spans="1:29">
      <c r="A7" s="70">
        <v>2</v>
      </c>
      <c r="B7" s="70" t="s">
        <v>1102</v>
      </c>
      <c r="C7" s="70" t="str">
        <f>IF(C$2="Y",IF(MaGic_AVM_Land!C7=0,"",MaGic_AVM_Land!C7),"")</f>
        <v/>
      </c>
      <c r="D7" s="70" t="str">
        <f>IF(D$2="Y",IF(MaGic_AVM_Land!D7=0,"",MaGic_AVM_Land!D7),"")</f>
        <v>Jobin</v>
      </c>
      <c r="E7" s="70" t="str">
        <f>IF(E$2="Y",IF(MaGic_AVM_Land!E7=0,"",MaGic_AVM_Land!E7),"")</f>
        <v/>
      </c>
      <c r="F7" s="70" t="str">
        <f>IF(F$2="Y",IF(MaGic_AVM_Land!F7=0,"",MaGic_AVM_Land!F7),"")</f>
        <v/>
      </c>
      <c r="G7" s="70" t="str">
        <f>IF(G$2="Y",IF(MaGic_AVM_Land!G7=0,"",MaGic_AVM_Land!G7),"")</f>
        <v/>
      </c>
      <c r="H7" s="70" t="str">
        <f>IF(H$2="Y",IF(MaGic_AVM_Land!H7=0,"",MaGic_AVM_Land!H7),"")</f>
        <v/>
      </c>
      <c r="I7" s="70" t="str">
        <f>IF(I$2="Y",IF(MaGic_AVM_Land!I7=0,"",MaGic_AVM_Land!I7),"")</f>
        <v/>
      </c>
      <c r="J7" s="70" t="str">
        <f>IF(J$2="Y",IF(MaGic_AVM_Land!J7=0,"",MaGic_AVM_Land!J7),"")</f>
        <v/>
      </c>
      <c r="K7" s="70" t="str">
        <f>IF(K$2="Y",IF(MaGic_AVM_Land!K7=0,"",MaGic_AVM_Land!K7),"")</f>
        <v/>
      </c>
      <c r="L7" s="70" t="str">
        <f>IF(L$2="Y",IF(MaGic_AVM_Land!L7=0,"",MaGic_AVM_Land!L7),"")</f>
        <v/>
      </c>
      <c r="M7" s="70" t="str">
        <f>IF(M$2="Y",IF(MaGic_AVM_Land!M7=0,"",MaGic_AVM_Land!M7),"")</f>
        <v/>
      </c>
      <c r="N7" s="70" t="str">
        <f>IF(N$2="Y",IF(MaGic_AVM_Land!N7=0,"",MaGic_AVM_Land!N7),"")</f>
        <v/>
      </c>
      <c r="O7" s="70" t="str">
        <f>IF(O$2="Y",IF(MaGic_AVM_Land!O7=0,"",MaGic_AVM_Land!O7),"")</f>
        <v/>
      </c>
      <c r="P7" s="70" t="str">
        <f>IF(P$2="Y",IF(MaGic_AVM_Land!P7=0,"",MaGic_AVM_Land!P7),"")</f>
        <v/>
      </c>
      <c r="Q7" s="70" t="str">
        <f>IF(Q$2="Y",IF(MaGic_AVM_Land!Q7=0,"",MaGic_AVM_Land!Q7),"")</f>
        <v/>
      </c>
      <c r="R7" s="70" t="str">
        <f>IF(R$2="Y",IF(MaGic_AVM_Land!R7=0,"",MaGic_AVM_Land!R7),"")</f>
        <v/>
      </c>
      <c r="S7" s="70" t="str">
        <f>IF(S$2="Y",IF(MaGic_AVM_Land!S7=0,"",MaGic_AVM_Land!S7),"")</f>
        <v/>
      </c>
      <c r="T7" s="70" t="str">
        <f>IF(T$2="Y",IF(MaGic_AVM_Land!T7=0,"",MaGic_AVM_Land!T7),"")</f>
        <v/>
      </c>
      <c r="U7" s="70" t="str">
        <f>IF(U$2="Y",IF(MaGic_AVM_Land!U7=0,"",MaGic_AVM_Land!U7),"")</f>
        <v/>
      </c>
      <c r="V7" s="70" t="str">
        <f>IF(V$2="Y",IF(MaGic_AVM_Land!V7=0,"",MaGic_AVM_Land!V7),"")</f>
        <v/>
      </c>
      <c r="W7" s="70" t="str">
        <f>IF(W$2="Y",IF(MaGic_AVM_Land!W7=0,"",MaGic_AVM_Land!W7),"")</f>
        <v/>
      </c>
      <c r="X7" s="70" t="str">
        <f>IF(X$2="Y",IF(MaGic_AVM_Land!X7=0,"",MaGic_AVM_Land!X7),"")</f>
        <v/>
      </c>
      <c r="Y7" s="70" t="str">
        <f>IF(Y$2="Y",IF(MaGic_AVM_Land!Y7=0,"",MaGic_AVM_Land!Y7),"")</f>
        <v/>
      </c>
      <c r="Z7" s="70" t="str">
        <f>IF(Z$2="Y",IF(MaGic_AVM_Land!Z7=0,"",MaGic_AVM_Land!Z7),"")</f>
        <v/>
      </c>
      <c r="AA7" s="69" t="str">
        <f t="shared" si="0"/>
        <v>Jobin</v>
      </c>
      <c r="AB7" s="69" t="str" cm="1">
        <f t="array" ref="AB7:AC7">_xlfn.UNIQUE(C7:Z7,TRUE,FALSE)</f>
        <v/>
      </c>
      <c r="AC7" s="69" t="str">
        <v>Jobin</v>
      </c>
    </row>
    <row r="8" spans="1:29">
      <c r="A8" s="70">
        <v>6</v>
      </c>
      <c r="B8" s="70" t="s">
        <v>31</v>
      </c>
      <c r="C8" s="70" t="str">
        <f>IF(C$2="Y",IF(MaGic_AVM_Land!C8=0,"",MaGic_AVM_Land!C8),"")</f>
        <v/>
      </c>
      <c r="D8" s="70" t="str">
        <f>IF(D$2="Y",IF(MaGic_AVM_Land!D8=0,"",MaGic_AVM_Land!D8),"")</f>
        <v/>
      </c>
      <c r="E8" s="70" t="str">
        <f>IF(E$2="Y",IF(MaGic_AVM_Land!E8=0,"",MaGic_AVM_Land!E8),"")</f>
        <v/>
      </c>
      <c r="F8" s="70" t="str">
        <f>IF(F$2="Y",IF(MaGic_AVM_Land!F8=0,"",MaGic_AVM_Land!F8),"")</f>
        <v/>
      </c>
      <c r="G8" s="70" t="str">
        <f>IF(G$2="Y",IF(MaGic_AVM_Land!G8=0,"",MaGic_AVM_Land!G8),"")</f>
        <v/>
      </c>
      <c r="H8" s="70" t="str">
        <f>IF(H$2="Y",IF(MaGic_AVM_Land!H8=0,"",MaGic_AVM_Land!H8),"")</f>
        <v/>
      </c>
      <c r="I8" s="70" t="str">
        <f>IF(I$2="Y",IF(MaGic_AVM_Land!I8=0,"",MaGic_AVM_Land!I8),"")</f>
        <v/>
      </c>
      <c r="J8" s="70" t="str">
        <f>IF(J$2="Y",IF(MaGic_AVM_Land!J8=0,"",MaGic_AVM_Land!J8),"")</f>
        <v/>
      </c>
      <c r="K8" s="70" t="str">
        <f>IF(K$2="Y",IF(MaGic_AVM_Land!K8=0,"",MaGic_AVM_Land!K8),"")</f>
        <v/>
      </c>
      <c r="L8" s="70" t="str">
        <f>IF(L$2="Y",IF(MaGic_AVM_Land!L8=0,"",MaGic_AVM_Land!L8),"")</f>
        <v/>
      </c>
      <c r="M8" s="70" t="str">
        <f>IF(M$2="Y",IF(MaGic_AVM_Land!M8=0,"",MaGic_AVM_Land!M8),"")</f>
        <v/>
      </c>
      <c r="N8" s="70" t="str">
        <f>IF(N$2="Y",IF(MaGic_AVM_Land!N8=0,"",MaGic_AVM_Land!N8),"")</f>
        <v/>
      </c>
      <c r="O8" s="70" t="str">
        <f>IF(O$2="Y",IF(MaGic_AVM_Land!O8=0,"",MaGic_AVM_Land!O8),"")</f>
        <v/>
      </c>
      <c r="P8" s="70" t="str">
        <f>IF(P$2="Y",IF(MaGic_AVM_Land!P8=0,"",MaGic_AVM_Land!P8),"")</f>
        <v/>
      </c>
      <c r="Q8" s="70" t="str">
        <f>IF(Q$2="Y",IF(MaGic_AVM_Land!Q8=0,"",MaGic_AVM_Land!Q8),"")</f>
        <v/>
      </c>
      <c r="R8" s="70" t="str">
        <f>IF(R$2="Y",IF(MaGic_AVM_Land!R8=0,"",MaGic_AVM_Land!R8),"")</f>
        <v/>
      </c>
      <c r="S8" s="70" t="str">
        <f>IF(S$2="Y",IF(MaGic_AVM_Land!S8=0,"",MaGic_AVM_Land!S8),"")</f>
        <v/>
      </c>
      <c r="T8" s="70" t="str">
        <f>IF(T$2="Y",IF(MaGic_AVM_Land!T8=0,"",MaGic_AVM_Land!T8),"")</f>
        <v/>
      </c>
      <c r="U8" s="70" t="str">
        <f>IF(U$2="Y",IF(MaGic_AVM_Land!U8=0,"",MaGic_AVM_Land!U8),"")</f>
        <v/>
      </c>
      <c r="V8" s="70" t="str">
        <f>IF(V$2="Y",IF(MaGic_AVM_Land!V8=0,"",MaGic_AVM_Land!V8),"")</f>
        <v/>
      </c>
      <c r="W8" s="70" t="str">
        <f>IF(W$2="Y",IF(MaGic_AVM_Land!W8=0,"",MaGic_AVM_Land!W8),"")</f>
        <v/>
      </c>
      <c r="X8" s="70" t="str">
        <f>IF(X$2="Y",IF(MaGic_AVM_Land!X8=0,"",MaGic_AVM_Land!X8),"")</f>
        <v/>
      </c>
      <c r="Y8" s="70" t="str">
        <f>IF(Y$2="Y",IF(MaGic_AVM_Land!Y8=0,"",MaGic_AVM_Land!Y8),"")</f>
        <v/>
      </c>
      <c r="Z8" s="70" t="str">
        <f>IF(Z$2="Y",IF(MaGic_AVM_Land!Z8=0,"",MaGic_AVM_Land!Z8),"")</f>
        <v/>
      </c>
      <c r="AA8" s="69" t="str">
        <f>CONCATENATE(IF(AB8="",AC8,AB8)," District")</f>
        <v>District</v>
      </c>
      <c r="AB8" s="69" t="str" cm="1">
        <f t="array" ref="AB8">_xlfn.UNIQUE(C8:Z8,TRUE,FALSE)</f>
        <v/>
      </c>
    </row>
    <row r="9" spans="1:29">
      <c r="A9" s="70">
        <v>7</v>
      </c>
      <c r="B9" s="70" t="s">
        <v>59</v>
      </c>
      <c r="C9" s="70" t="str">
        <f>IF(C$2="Y",IF(MaGic_AVM_Land!C9=0,"",MaGic_AVM_Land!C9),"")</f>
        <v/>
      </c>
      <c r="D9" s="70" t="str">
        <f>IF(D$2="Y",IF(MaGic_AVM_Land!D9=0,"",MaGic_AVM_Land!D9),"")</f>
        <v/>
      </c>
      <c r="E9" s="70" t="str">
        <f>IF(E$2="Y",IF(MaGic_AVM_Land!E9=0,"",MaGic_AVM_Land!E9),"")</f>
        <v/>
      </c>
      <c r="F9" s="70" t="str">
        <f>IF(F$2="Y",IF(MaGic_AVM_Land!F9=0,"",MaGic_AVM_Land!F9),"")</f>
        <v/>
      </c>
      <c r="G9" s="70" t="str">
        <f>IF(G$2="Y",IF(MaGic_AVM_Land!G9=0,"",MaGic_AVM_Land!G9),"")</f>
        <v/>
      </c>
      <c r="H9" s="70" t="str">
        <f>IF(H$2="Y",IF(MaGic_AVM_Land!H9=0,"",MaGic_AVM_Land!H9),"")</f>
        <v/>
      </c>
      <c r="I9" s="70" t="str">
        <f>IF(I$2="Y",IF(MaGic_AVM_Land!I9=0,"",MaGic_AVM_Land!I9),"")</f>
        <v/>
      </c>
      <c r="J9" s="70" t="str">
        <f>IF(J$2="Y",IF(MaGic_AVM_Land!J9=0,"",MaGic_AVM_Land!J9),"")</f>
        <v/>
      </c>
      <c r="K9" s="70" t="str">
        <f>IF(K$2="Y",IF(MaGic_AVM_Land!K9=0,"",MaGic_AVM_Land!K9),"")</f>
        <v/>
      </c>
      <c r="L9" s="70" t="str">
        <f>IF(L$2="Y",IF(MaGic_AVM_Land!L9=0,"",MaGic_AVM_Land!L9),"")</f>
        <v/>
      </c>
      <c r="M9" s="70" t="str">
        <f>IF(M$2="Y",IF(MaGic_AVM_Land!M9=0,"",MaGic_AVM_Land!M9),"")</f>
        <v/>
      </c>
      <c r="N9" s="70" t="str">
        <f>IF(N$2="Y",IF(MaGic_AVM_Land!N9=0,"",MaGic_AVM_Land!N9),"")</f>
        <v/>
      </c>
      <c r="O9" s="70" t="str">
        <f>IF(O$2="Y",IF(MaGic_AVM_Land!O9=0,"",MaGic_AVM_Land!O9),"")</f>
        <v/>
      </c>
      <c r="P9" s="70" t="str">
        <f>IF(P$2="Y",IF(MaGic_AVM_Land!P9=0,"",MaGic_AVM_Land!P9),"")</f>
        <v/>
      </c>
      <c r="Q9" s="70" t="str">
        <f>IF(Q$2="Y",IF(MaGic_AVM_Land!Q9=0,"",MaGic_AVM_Land!Q9),"")</f>
        <v/>
      </c>
      <c r="R9" s="70" t="str">
        <f>IF(R$2="Y",IF(MaGic_AVM_Land!R9=0,"",MaGic_AVM_Land!R9),"")</f>
        <v/>
      </c>
      <c r="S9" s="70" t="str">
        <f>IF(S$2="Y",IF(MaGic_AVM_Land!S9=0,"",MaGic_AVM_Land!S9),"")</f>
        <v/>
      </c>
      <c r="T9" s="70" t="str">
        <f>IF(T$2="Y",IF(MaGic_AVM_Land!T9=0,"",MaGic_AVM_Land!T9),"")</f>
        <v/>
      </c>
      <c r="U9" s="70" t="str">
        <f>IF(U$2="Y",IF(MaGic_AVM_Land!U9=0,"",MaGic_AVM_Land!U9),"")</f>
        <v/>
      </c>
      <c r="V9" s="70" t="str">
        <f>IF(V$2="Y",IF(MaGic_AVM_Land!V9=0,"",MaGic_AVM_Land!V9),"")</f>
        <v/>
      </c>
      <c r="W9" s="70" t="str">
        <f>IF(W$2="Y",IF(MaGic_AVM_Land!W9=0,"",MaGic_AVM_Land!W9),"")</f>
        <v/>
      </c>
      <c r="X9" s="70" t="str">
        <f>IF(X$2="Y",IF(MaGic_AVM_Land!X9=0,"",MaGic_AVM_Land!X9),"")</f>
        <v/>
      </c>
      <c r="Y9" s="70" t="str">
        <f>IF(Y$2="Y",IF(MaGic_AVM_Land!Y9=0,"",MaGic_AVM_Land!Y9),"")</f>
        <v/>
      </c>
      <c r="Z9" s="70" t="str">
        <f>IF(Z$2="Y",IF(MaGic_AVM_Land!Z9=0,"",MaGic_AVM_Land!Z9),"")</f>
        <v/>
      </c>
      <c r="AA9" s="69" t="str">
        <f>CONCATENATE(IF(AB9="",AC9,AB9)," SRO")</f>
        <v>SRO</v>
      </c>
      <c r="AB9" s="69" t="str" cm="1">
        <f t="array" ref="AB9">_xlfn.UNIQUE(C9:Z9,TRUE,FALSE)</f>
        <v/>
      </c>
    </row>
    <row r="10" spans="1:29">
      <c r="A10" s="70">
        <v>8</v>
      </c>
      <c r="B10" s="70" t="s">
        <v>61</v>
      </c>
      <c r="C10" s="70" t="str">
        <f>IF(C$2="Y",IF(MaGic_AVM_Land!C10=0,"",MaGic_AVM_Land!C10),"")</f>
        <v/>
      </c>
      <c r="D10" s="70" t="str">
        <f>IF(D$2="Y",IF(MaGic_AVM_Land!D10=0,"",MaGic_AVM_Land!D10),"")</f>
        <v/>
      </c>
      <c r="E10" s="70" t="str">
        <f>IF(E$2="Y",IF(MaGic_AVM_Land!E10=0,"",MaGic_AVM_Land!E10),"")</f>
        <v/>
      </c>
      <c r="F10" s="70" t="str">
        <f>IF(F$2="Y",IF(MaGic_AVM_Land!F10=0,"",MaGic_AVM_Land!F10),"")</f>
        <v/>
      </c>
      <c r="G10" s="70" t="str">
        <f>IF(G$2="Y",IF(MaGic_AVM_Land!G10=0,"",MaGic_AVM_Land!G10),"")</f>
        <v/>
      </c>
      <c r="H10" s="70" t="str">
        <f>IF(H$2="Y",IF(MaGic_AVM_Land!H10=0,"",MaGic_AVM_Land!H10),"")</f>
        <v/>
      </c>
      <c r="I10" s="70" t="str">
        <f>IF(I$2="Y",IF(MaGic_AVM_Land!I10=0,"",MaGic_AVM_Land!I10),"")</f>
        <v/>
      </c>
      <c r="J10" s="70" t="str">
        <f>IF(J$2="Y",IF(MaGic_AVM_Land!J10=0,"",MaGic_AVM_Land!J10),"")</f>
        <v/>
      </c>
      <c r="K10" s="70" t="str">
        <f>IF(K$2="Y",IF(MaGic_AVM_Land!K10=0,"",MaGic_AVM_Land!K10),"")</f>
        <v/>
      </c>
      <c r="L10" s="70" t="str">
        <f>IF(L$2="Y",IF(MaGic_AVM_Land!L10=0,"",MaGic_AVM_Land!L10),"")</f>
        <v/>
      </c>
      <c r="M10" s="70" t="str">
        <f>IF(M$2="Y",IF(MaGic_AVM_Land!M10=0,"",MaGic_AVM_Land!M10),"")</f>
        <v/>
      </c>
      <c r="N10" s="70" t="str">
        <f>IF(N$2="Y",IF(MaGic_AVM_Land!N10=0,"",MaGic_AVM_Land!N10),"")</f>
        <v/>
      </c>
      <c r="O10" s="70" t="str">
        <f>IF(O$2="Y",IF(MaGic_AVM_Land!O10=0,"",MaGic_AVM_Land!O10),"")</f>
        <v/>
      </c>
      <c r="P10" s="70" t="str">
        <f>IF(P$2="Y",IF(MaGic_AVM_Land!P10=0,"",MaGic_AVM_Land!P10),"")</f>
        <v/>
      </c>
      <c r="Q10" s="70" t="str">
        <f>IF(Q$2="Y",IF(MaGic_AVM_Land!Q10=0,"",MaGic_AVM_Land!Q10),"")</f>
        <v/>
      </c>
      <c r="R10" s="70" t="str">
        <f>IF(R$2="Y",IF(MaGic_AVM_Land!R10=0,"",MaGic_AVM_Land!R10),"")</f>
        <v/>
      </c>
      <c r="S10" s="70" t="str">
        <f>IF(S$2="Y",IF(MaGic_AVM_Land!S10=0,"",MaGic_AVM_Land!S10),"")</f>
        <v/>
      </c>
      <c r="T10" s="70" t="str">
        <f>IF(T$2="Y",IF(MaGic_AVM_Land!T10=0,"",MaGic_AVM_Land!T10),"")</f>
        <v/>
      </c>
      <c r="U10" s="70" t="str">
        <f>IF(U$2="Y",IF(MaGic_AVM_Land!U10=0,"",MaGic_AVM_Land!U10),"")</f>
        <v/>
      </c>
      <c r="V10" s="70" t="str">
        <f>IF(V$2="Y",IF(MaGic_AVM_Land!V10=0,"",MaGic_AVM_Land!V10),"")</f>
        <v/>
      </c>
      <c r="W10" s="70" t="str">
        <f>IF(W$2="Y",IF(MaGic_AVM_Land!W10=0,"",MaGic_AVM_Land!W10),"")</f>
        <v/>
      </c>
      <c r="X10" s="70" t="str">
        <f>IF(X$2="Y",IF(MaGic_AVM_Land!X10=0,"",MaGic_AVM_Land!X10),"")</f>
        <v/>
      </c>
      <c r="Y10" s="70" t="str">
        <f>IF(Y$2="Y",IF(MaGic_AVM_Land!Y10=0,"",MaGic_AVM_Land!Y10),"")</f>
        <v/>
      </c>
      <c r="Z10" s="70" t="str">
        <f>IF(Z$2="Y",IF(MaGic_AVM_Land!Z10=0,"",MaGic_AVM_Land!Z10),"")</f>
        <v/>
      </c>
      <c r="AA10" s="69" t="str">
        <f>CONCATENATE(IF(AB10="",AC10,AB10)," Taluk")</f>
        <v>Taluk</v>
      </c>
      <c r="AB10" s="69" t="str" cm="1">
        <f t="array" ref="AB10">_xlfn.UNIQUE(C10:Z10,TRUE,FALSE)</f>
        <v/>
      </c>
    </row>
    <row r="11" spans="1:29">
      <c r="A11" s="70">
        <v>9</v>
      </c>
      <c r="B11" s="70" t="s">
        <v>63</v>
      </c>
      <c r="C11" s="70" t="str">
        <f>IF(C$2="Y",IF(MaGic_AVM_Land!C11=0,"",MaGic_AVM_Land!C11),"")</f>
        <v/>
      </c>
      <c r="D11" s="70" t="str">
        <f>IF(D$2="Y",IF(MaGic_AVM_Land!D11=0,"",MaGic_AVM_Land!D11),"")</f>
        <v/>
      </c>
      <c r="E11" s="70" t="str">
        <f>IF(E$2="Y",IF(MaGic_AVM_Land!E11=0,"",MaGic_AVM_Land!E11),"")</f>
        <v/>
      </c>
      <c r="F11" s="70" t="str">
        <f>IF(F$2="Y",IF(MaGic_AVM_Land!F11=0,"",MaGic_AVM_Land!F11),"")</f>
        <v/>
      </c>
      <c r="G11" s="70" t="str">
        <f>IF(G$2="Y",IF(MaGic_AVM_Land!G11=0,"",MaGic_AVM_Land!G11),"")</f>
        <v/>
      </c>
      <c r="H11" s="70" t="str">
        <f>IF(H$2="Y",IF(MaGic_AVM_Land!H11=0,"",MaGic_AVM_Land!H11),"")</f>
        <v/>
      </c>
      <c r="I11" s="70" t="str">
        <f>IF(I$2="Y",IF(MaGic_AVM_Land!I11=0,"",MaGic_AVM_Land!I11),"")</f>
        <v/>
      </c>
      <c r="J11" s="70" t="str">
        <f>IF(J$2="Y",IF(MaGic_AVM_Land!J11=0,"",MaGic_AVM_Land!J11),"")</f>
        <v/>
      </c>
      <c r="K11" s="70" t="str">
        <f>IF(K$2="Y",IF(MaGic_AVM_Land!K11=0,"",MaGic_AVM_Land!K11),"")</f>
        <v/>
      </c>
      <c r="L11" s="70" t="str">
        <f>IF(L$2="Y",IF(MaGic_AVM_Land!L11=0,"",MaGic_AVM_Land!L11),"")</f>
        <v/>
      </c>
      <c r="M11" s="70" t="str">
        <f>IF(M$2="Y",IF(MaGic_AVM_Land!M11=0,"",MaGic_AVM_Land!M11),"")</f>
        <v/>
      </c>
      <c r="N11" s="70" t="str">
        <f>IF(N$2="Y",IF(MaGic_AVM_Land!N11=0,"",MaGic_AVM_Land!N11),"")</f>
        <v/>
      </c>
      <c r="O11" s="70" t="str">
        <f>IF(O$2="Y",IF(MaGic_AVM_Land!O11=0,"",MaGic_AVM_Land!O11),"")</f>
        <v/>
      </c>
      <c r="P11" s="70" t="str">
        <f>IF(P$2="Y",IF(MaGic_AVM_Land!P11=0,"",MaGic_AVM_Land!P11),"")</f>
        <v/>
      </c>
      <c r="Q11" s="70" t="str">
        <f>IF(Q$2="Y",IF(MaGic_AVM_Land!Q11=0,"",MaGic_AVM_Land!Q11),"")</f>
        <v/>
      </c>
      <c r="R11" s="70" t="str">
        <f>IF(R$2="Y",IF(MaGic_AVM_Land!R11=0,"",MaGic_AVM_Land!R11),"")</f>
        <v/>
      </c>
      <c r="S11" s="70" t="str">
        <f>IF(S$2="Y",IF(MaGic_AVM_Land!S11=0,"",MaGic_AVM_Land!S11),"")</f>
        <v/>
      </c>
      <c r="T11" s="70" t="str">
        <f>IF(T$2="Y",IF(MaGic_AVM_Land!T11=0,"",MaGic_AVM_Land!T11),"")</f>
        <v/>
      </c>
      <c r="U11" s="70" t="str">
        <f>IF(U$2="Y",IF(MaGic_AVM_Land!U11=0,"",MaGic_AVM_Land!U11),"")</f>
        <v/>
      </c>
      <c r="V11" s="70" t="str">
        <f>IF(V$2="Y",IF(MaGic_AVM_Land!V11=0,"",MaGic_AVM_Land!V11),"")</f>
        <v/>
      </c>
      <c r="W11" s="70" t="str">
        <f>IF(W$2="Y",IF(MaGic_AVM_Land!W11=0,"",MaGic_AVM_Land!W11),"")</f>
        <v/>
      </c>
      <c r="X11" s="70" t="str">
        <f>IF(X$2="Y",IF(MaGic_AVM_Land!X11=0,"",MaGic_AVM_Land!X11),"")</f>
        <v/>
      </c>
      <c r="Y11" s="70" t="str">
        <f>IF(Y$2="Y",IF(MaGic_AVM_Land!Y11=0,"",MaGic_AVM_Land!Y11),"")</f>
        <v/>
      </c>
      <c r="Z11" s="70" t="str">
        <f>IF(Z$2="Y",IF(MaGic_AVM_Land!Z11=0,"",MaGic_AVM_Land!Z11),"")</f>
        <v/>
      </c>
      <c r="AA11" s="69" t="str">
        <f>CONCATENATE(IF(AB11="",AC11,AB11)," Village")</f>
        <v>Village</v>
      </c>
      <c r="AB11" s="69" t="str" cm="1">
        <f t="array" ref="AB11">_xlfn.UNIQUE(C11:Z11,TRUE,FALSE)</f>
        <v/>
      </c>
    </row>
    <row r="12" spans="1:29">
      <c r="A12" s="70">
        <v>10</v>
      </c>
      <c r="B12" s="70" t="s">
        <v>65</v>
      </c>
      <c r="C12" s="70" t="str">
        <f>IF(C$2="Y",IF(MaGic_AVM_Land!C12=0,"",MaGic_AVM_Land!C12),"")</f>
        <v/>
      </c>
      <c r="D12" s="70" t="str">
        <f>IF(D$2="Y",IF(MaGic_AVM_Land!D12=0,"",MaGic_AVM_Land!D12),"")</f>
        <v/>
      </c>
      <c r="E12" s="70" t="str">
        <f>IF(E$2="Y",IF(MaGic_AVM_Land!E12=0,"",MaGic_AVM_Land!E12),"")</f>
        <v/>
      </c>
      <c r="F12" s="70" t="str">
        <f>IF(F$2="Y",IF(MaGic_AVM_Land!F12=0,"",MaGic_AVM_Land!F12),"")</f>
        <v/>
      </c>
      <c r="G12" s="70" t="str">
        <f>IF(G$2="Y",IF(MaGic_AVM_Land!G12=0,"",MaGic_AVM_Land!G12),"")</f>
        <v/>
      </c>
      <c r="H12" s="70" t="str">
        <f>IF(H$2="Y",IF(MaGic_AVM_Land!H12=0,"",MaGic_AVM_Land!H12),"")</f>
        <v/>
      </c>
      <c r="I12" s="70" t="str">
        <f>IF(I$2="Y",IF(MaGic_AVM_Land!I12=0,"",MaGic_AVM_Land!I12),"")</f>
        <v/>
      </c>
      <c r="J12" s="70" t="str">
        <f>IF(J$2="Y",IF(MaGic_AVM_Land!J12=0,"",MaGic_AVM_Land!J12),"")</f>
        <v/>
      </c>
      <c r="K12" s="70" t="str">
        <f>IF(K$2="Y",IF(MaGic_AVM_Land!K12=0,"",MaGic_AVM_Land!K12),"")</f>
        <v/>
      </c>
      <c r="L12" s="70" t="str">
        <f>IF(L$2="Y",IF(MaGic_AVM_Land!L12=0,"",MaGic_AVM_Land!L12),"")</f>
        <v/>
      </c>
      <c r="M12" s="70" t="str">
        <f>IF(M$2="Y",IF(MaGic_AVM_Land!M12=0,"",MaGic_AVM_Land!M12),"")</f>
        <v/>
      </c>
      <c r="N12" s="70" t="str">
        <f>IF(N$2="Y",IF(MaGic_AVM_Land!N12=0,"",MaGic_AVM_Land!N12),"")</f>
        <v/>
      </c>
      <c r="O12" s="70" t="str">
        <f>IF(O$2="Y",IF(MaGic_AVM_Land!O12=0,"",MaGic_AVM_Land!O12),"")</f>
        <v/>
      </c>
      <c r="P12" s="70" t="str">
        <f>IF(P$2="Y",IF(MaGic_AVM_Land!P12=0,"",MaGic_AVM_Land!P12),"")</f>
        <v/>
      </c>
      <c r="Q12" s="70" t="str">
        <f>IF(Q$2="Y",IF(MaGic_AVM_Land!Q12=0,"",MaGic_AVM_Land!Q12),"")</f>
        <v/>
      </c>
      <c r="R12" s="70" t="str">
        <f>IF(R$2="Y",IF(MaGic_AVM_Land!R12=0,"",MaGic_AVM_Land!R12),"")</f>
        <v/>
      </c>
      <c r="S12" s="70" t="str">
        <f>IF(S$2="Y",IF(MaGic_AVM_Land!S12=0,"",MaGic_AVM_Land!S12),"")</f>
        <v/>
      </c>
      <c r="T12" s="70" t="str">
        <f>IF(T$2="Y",IF(MaGic_AVM_Land!T12=0,"",MaGic_AVM_Land!T12),"")</f>
        <v/>
      </c>
      <c r="U12" s="70" t="str">
        <f>IF(U$2="Y",IF(MaGic_AVM_Land!U12=0,"",MaGic_AVM_Land!U12),"")</f>
        <v/>
      </c>
      <c r="V12" s="70" t="str">
        <f>IF(V$2="Y",IF(MaGic_AVM_Land!V12=0,"",MaGic_AVM_Land!V12),"")</f>
        <v/>
      </c>
      <c r="W12" s="70" t="str">
        <f>IF(W$2="Y",IF(MaGic_AVM_Land!W12=0,"",MaGic_AVM_Land!W12),"")</f>
        <v/>
      </c>
      <c r="X12" s="70" t="str">
        <f>IF(X$2="Y",IF(MaGic_AVM_Land!X12=0,"",MaGic_AVM_Land!X12),"")</f>
        <v/>
      </c>
      <c r="Y12" s="70" t="str">
        <f>IF(Y$2="Y",IF(MaGic_AVM_Land!Y12=0,"",MaGic_AVM_Land!Y12),"")</f>
        <v/>
      </c>
      <c r="Z12" s="70" t="str">
        <f>IF(Z$2="Y",IF(MaGic_AVM_Land!Z12=0,"",MaGic_AVM_Land!Z12),"")</f>
        <v/>
      </c>
      <c r="AA12" s="69" t="str">
        <f>CONCATENATE(IF(AB12="",AC12,AB12))</f>
        <v/>
      </c>
      <c r="AB12" s="69" t="str" cm="1">
        <f t="array" ref="AB12">_xlfn.UNIQUE(C12:Z12,TRUE,FALSE)</f>
        <v/>
      </c>
    </row>
    <row r="13" spans="1:29">
      <c r="A13" s="70">
        <v>11</v>
      </c>
      <c r="B13" s="70" t="s">
        <v>67</v>
      </c>
      <c r="C13" s="71" t="str">
        <f>IF(C$2="Y",IF(MaGic_AVM_Land!C13=0,"",MaGic_AVM_Land!C13),"")</f>
        <v/>
      </c>
      <c r="D13" s="71" t="str">
        <f>IF(D$2="Y",IF(MaGic_AVM_Land!D13=0,"",MaGic_AVM_Land!D13),"")</f>
        <v/>
      </c>
      <c r="E13" s="71" t="str">
        <f>IF(E$2="Y",IF(MaGic_AVM_Land!E13=0,"",MaGic_AVM_Land!E13),"")</f>
        <v/>
      </c>
      <c r="F13" s="71" t="str">
        <f>IF(F$2="Y",IF(MaGic_AVM_Land!F13=0,"",MaGic_AVM_Land!F13),"")</f>
        <v/>
      </c>
      <c r="G13" s="71" t="str">
        <f>IF(G$2="Y",IF(MaGic_AVM_Land!G13=0,"",MaGic_AVM_Land!G13),"")</f>
        <v/>
      </c>
      <c r="H13" s="71" t="str">
        <f>IF(H$2="Y",IF(MaGic_AVM_Land!H13=0,"",MaGic_AVM_Land!H13),"")</f>
        <v/>
      </c>
      <c r="I13" s="71" t="str">
        <f>IF(I$2="Y",IF(MaGic_AVM_Land!I13=0,"",MaGic_AVM_Land!I13),"")</f>
        <v/>
      </c>
      <c r="J13" s="71" t="str">
        <f>IF(J$2="Y",IF(MaGic_AVM_Land!J13=0,"",MaGic_AVM_Land!J13),"")</f>
        <v/>
      </c>
      <c r="K13" s="71" t="str">
        <f>IF(K$2="Y",IF(MaGic_AVM_Land!K13=0,"",MaGic_AVM_Land!K13),"")</f>
        <v/>
      </c>
      <c r="L13" s="71" t="str">
        <f>IF(L$2="Y",IF(MaGic_AVM_Land!L13=0,"",MaGic_AVM_Land!L13),"")</f>
        <v/>
      </c>
      <c r="M13" s="71" t="str">
        <f>IF(M$2="Y",IF(MaGic_AVM_Land!M13=0,"",MaGic_AVM_Land!M13),"")</f>
        <v/>
      </c>
      <c r="N13" s="71" t="str">
        <f>IF(N$2="Y",IF(MaGic_AVM_Land!N13=0,"",MaGic_AVM_Land!N13),"")</f>
        <v/>
      </c>
      <c r="O13" s="71" t="str">
        <f>IF(O$2="Y",IF(MaGic_AVM_Land!O13=0,"",MaGic_AVM_Land!O13),"")</f>
        <v/>
      </c>
      <c r="P13" s="71" t="str">
        <f>IF(P$2="Y",IF(MaGic_AVM_Land!P13=0,"",MaGic_AVM_Land!P13),"")</f>
        <v/>
      </c>
      <c r="Q13" s="71" t="str">
        <f>IF(Q$2="Y",IF(MaGic_AVM_Land!Q13=0,"",MaGic_AVM_Land!Q13),"")</f>
        <v/>
      </c>
      <c r="R13" s="71" t="str">
        <f>IF(R$2="Y",IF(MaGic_AVM_Land!R13=0,"",MaGic_AVM_Land!R13),"")</f>
        <v/>
      </c>
      <c r="S13" s="71" t="str">
        <f>IF(S$2="Y",IF(MaGic_AVM_Land!S13=0,"",MaGic_AVM_Land!S13),"")</f>
        <v/>
      </c>
      <c r="T13" s="71" t="str">
        <f>IF(T$2="Y",IF(MaGic_AVM_Land!T13=0,"",MaGic_AVM_Land!T13),"")</f>
        <v/>
      </c>
      <c r="U13" s="71" t="str">
        <f>IF(U$2="Y",IF(MaGic_AVM_Land!U13=0,"",MaGic_AVM_Land!U13),"")</f>
        <v/>
      </c>
      <c r="V13" s="71" t="str">
        <f>IF(V$2="Y",IF(MaGic_AVM_Land!V13=0,"",MaGic_AVM_Land!V13),"")</f>
        <v/>
      </c>
      <c r="W13" s="71" t="str">
        <f>IF(W$2="Y",IF(MaGic_AVM_Land!W13=0,"",MaGic_AVM_Land!W13),"")</f>
        <v/>
      </c>
      <c r="X13" s="71" t="str">
        <f>IF(X$2="Y",IF(MaGic_AVM_Land!X13=0,"",MaGic_AVM_Land!X13),"")</f>
        <v/>
      </c>
      <c r="Y13" s="71" t="str">
        <f>IF(Y$2="Y",IF(MaGic_AVM_Land!Y13=0,"",MaGic_AVM_Land!Y13),"")</f>
        <v/>
      </c>
      <c r="Z13" s="71" t="str">
        <f>IF(Z$2="Y",IF(MaGic_AVM_Land!Z13=0,"",MaGic_AVM_Land!Z13),"")</f>
        <v/>
      </c>
      <c r="AA13" s="69" t="str">
        <f>CONCATENATE(IF(AB13="",AC13,AB13)," ",AA12)</f>
        <v/>
      </c>
      <c r="AB13" s="69" t="str" cm="1">
        <f t="array" ref="AB13">_xlfn.UNIQUE(C13:Z13,TRUE,FALSE)</f>
        <v/>
      </c>
    </row>
    <row r="14" spans="1:29">
      <c r="A14" s="70">
        <v>12</v>
      </c>
      <c r="B14" s="70" t="s">
        <v>69</v>
      </c>
      <c r="C14" s="71" t="str">
        <f>IF(C$2="Y",IF(MaGic_AVM_Land!C14=0,"",MaGic_AVM_Land!C14),"")</f>
        <v/>
      </c>
      <c r="D14" s="71">
        <f>IF(D$2="Y",IF(MaGic_AVM_Land!D14=0,"",MaGic_AVM_Land!D14),"")</f>
        <v>3</v>
      </c>
      <c r="E14" s="71" t="str">
        <f>IF(E$2="Y",IF(MaGic_AVM_Land!E14=0,"",MaGic_AVM_Land!E14),"")</f>
        <v/>
      </c>
      <c r="F14" s="71" t="str">
        <f>IF(F$2="Y",IF(MaGic_AVM_Land!F14=0,"",MaGic_AVM_Land!F14),"")</f>
        <v/>
      </c>
      <c r="G14" s="71" t="str">
        <f>IF(G$2="Y",IF(MaGic_AVM_Land!G14=0,"",MaGic_AVM_Land!G14),"")</f>
        <v/>
      </c>
      <c r="H14" s="71" t="str">
        <f>IF(H$2="Y",IF(MaGic_AVM_Land!H14=0,"",MaGic_AVM_Land!H14),"")</f>
        <v/>
      </c>
      <c r="I14" s="71" t="str">
        <f>IF(I$2="Y",IF(MaGic_AVM_Land!I14=0,"",MaGic_AVM_Land!I14),"")</f>
        <v/>
      </c>
      <c r="J14" s="71" t="str">
        <f>IF(J$2="Y",IF(MaGic_AVM_Land!J14=0,"",MaGic_AVM_Land!J14),"")</f>
        <v/>
      </c>
      <c r="K14" s="71" t="str">
        <f>IF(K$2="Y",IF(MaGic_AVM_Land!K14=0,"",MaGic_AVM_Land!K14),"")</f>
        <v/>
      </c>
      <c r="L14" s="71" t="str">
        <f>IF(L$2="Y",IF(MaGic_AVM_Land!L14=0,"",MaGic_AVM_Land!L14),"")</f>
        <v/>
      </c>
      <c r="M14" s="71" t="str">
        <f>IF(M$2="Y",IF(MaGic_AVM_Land!M14=0,"",MaGic_AVM_Land!M14),"")</f>
        <v/>
      </c>
      <c r="N14" s="71" t="str">
        <f>IF(N$2="Y",IF(MaGic_AVM_Land!N14=0,"",MaGic_AVM_Land!N14),"")</f>
        <v/>
      </c>
      <c r="O14" s="71" t="str">
        <f>IF(O$2="Y",IF(MaGic_AVM_Land!O14=0,"",MaGic_AVM_Land!O14),"")</f>
        <v/>
      </c>
      <c r="P14" s="71" t="str">
        <f>IF(P$2="Y",IF(MaGic_AVM_Land!P14=0,"",MaGic_AVM_Land!P14),"")</f>
        <v/>
      </c>
      <c r="Q14" s="71" t="str">
        <f>IF(Q$2="Y",IF(MaGic_AVM_Land!Q14=0,"",MaGic_AVM_Land!Q14),"")</f>
        <v/>
      </c>
      <c r="R14" s="71" t="str">
        <f>IF(R$2="Y",IF(MaGic_AVM_Land!R14=0,"",MaGic_AVM_Land!R14),"")</f>
        <v/>
      </c>
      <c r="S14" s="71" t="str">
        <f>IF(S$2="Y",IF(MaGic_AVM_Land!S14=0,"",MaGic_AVM_Land!S14),"")</f>
        <v/>
      </c>
      <c r="T14" s="71" t="str">
        <f>IF(T$2="Y",IF(MaGic_AVM_Land!T14=0,"",MaGic_AVM_Land!T14),"")</f>
        <v/>
      </c>
      <c r="U14" s="71" t="str">
        <f>IF(U$2="Y",IF(MaGic_AVM_Land!U14=0,"",MaGic_AVM_Land!U14),"")</f>
        <v/>
      </c>
      <c r="V14" s="71" t="str">
        <f>IF(V$2="Y",IF(MaGic_AVM_Land!V14=0,"",MaGic_AVM_Land!V14),"")</f>
        <v/>
      </c>
      <c r="W14" s="71" t="str">
        <f>IF(W$2="Y",IF(MaGic_AVM_Land!W14=0,"",MaGic_AVM_Land!W14),"")</f>
        <v/>
      </c>
      <c r="X14" s="71" t="str">
        <f>IF(X$2="Y",IF(MaGic_AVM_Land!X14=0,"",MaGic_AVM_Land!X14),"")</f>
        <v/>
      </c>
      <c r="Y14" s="71" t="str">
        <f>IF(Y$2="Y",IF(MaGic_AVM_Land!Y14=0,"",MaGic_AVM_Land!Y14),"")</f>
        <v/>
      </c>
      <c r="Z14" s="71" t="str">
        <f>IF(Z$2="Y",IF(MaGic_AVM_Land!Z14=0,"",MaGic_AVM_Land!Z14),"")</f>
        <v/>
      </c>
      <c r="AA14" s="69" t="str">
        <f t="shared" ref="AA14:AA22" si="1">_xlfn.TEXTJOIN(",",TRUE,AB14:AZ14)</f>
        <v>3</v>
      </c>
      <c r="AB14" s="69" t="str" cm="1">
        <f t="array" ref="AB14:AC14">_xlfn.UNIQUE(C14:Z14,TRUE,FALSE)</f>
        <v/>
      </c>
      <c r="AC14" s="69">
        <v>3</v>
      </c>
    </row>
    <row r="15" spans="1:29">
      <c r="A15" s="70">
        <v>13</v>
      </c>
      <c r="B15" s="70" t="s">
        <v>70</v>
      </c>
      <c r="C15" s="71" t="str">
        <f>IF(C$2="Y",IF(MaGic_AVM_Land!C15=0,"",MaGic_AVM_Land!C15),"")</f>
        <v/>
      </c>
      <c r="D15" s="71">
        <f>IF(D$2="Y",IF(MaGic_AVM_Land!D15=0,"",MaGic_AVM_Land!D15),"")</f>
        <v>254</v>
      </c>
      <c r="E15" s="71" t="str">
        <f>IF(E$2="Y",IF(MaGic_AVM_Land!E15=0,"",MaGic_AVM_Land!E15),"")</f>
        <v/>
      </c>
      <c r="F15" s="71" t="str">
        <f>IF(F$2="Y",IF(MaGic_AVM_Land!F15=0,"",MaGic_AVM_Land!F15),"")</f>
        <v/>
      </c>
      <c r="G15" s="71" t="str">
        <f>IF(G$2="Y",IF(MaGic_AVM_Land!G15=0,"",MaGic_AVM_Land!G15),"")</f>
        <v/>
      </c>
      <c r="H15" s="71" t="str">
        <f>IF(H$2="Y",IF(MaGic_AVM_Land!H15=0,"",MaGic_AVM_Land!H15),"")</f>
        <v/>
      </c>
      <c r="I15" s="71" t="str">
        <f>IF(I$2="Y",IF(MaGic_AVM_Land!I15=0,"",MaGic_AVM_Land!I15),"")</f>
        <v/>
      </c>
      <c r="J15" s="71" t="str">
        <f>IF(J$2="Y",IF(MaGic_AVM_Land!J15=0,"",MaGic_AVM_Land!J15),"")</f>
        <v/>
      </c>
      <c r="K15" s="71" t="str">
        <f>IF(K$2="Y",IF(MaGic_AVM_Land!K15=0,"",MaGic_AVM_Land!K15),"")</f>
        <v/>
      </c>
      <c r="L15" s="71" t="str">
        <f>IF(L$2="Y",IF(MaGic_AVM_Land!L15=0,"",MaGic_AVM_Land!L15),"")</f>
        <v/>
      </c>
      <c r="M15" s="71" t="str">
        <f>IF(M$2="Y",IF(MaGic_AVM_Land!M15=0,"",MaGic_AVM_Land!M15),"")</f>
        <v/>
      </c>
      <c r="N15" s="71" t="str">
        <f>IF(N$2="Y",IF(MaGic_AVM_Land!N15=0,"",MaGic_AVM_Land!N15),"")</f>
        <v/>
      </c>
      <c r="O15" s="71" t="str">
        <f>IF(O$2="Y",IF(MaGic_AVM_Land!O15=0,"",MaGic_AVM_Land!O15),"")</f>
        <v/>
      </c>
      <c r="P15" s="71" t="str">
        <f>IF(P$2="Y",IF(MaGic_AVM_Land!P15=0,"",MaGic_AVM_Land!P15),"")</f>
        <v/>
      </c>
      <c r="Q15" s="71" t="str">
        <f>IF(Q$2="Y",IF(MaGic_AVM_Land!Q15=0,"",MaGic_AVM_Land!Q15),"")</f>
        <v/>
      </c>
      <c r="R15" s="71" t="str">
        <f>IF(R$2="Y",IF(MaGic_AVM_Land!R15=0,"",MaGic_AVM_Land!R15),"")</f>
        <v/>
      </c>
      <c r="S15" s="71" t="str">
        <f>IF(S$2="Y",IF(MaGic_AVM_Land!S15=0,"",MaGic_AVM_Land!S15),"")</f>
        <v/>
      </c>
      <c r="T15" s="71" t="str">
        <f>IF(T$2="Y",IF(MaGic_AVM_Land!T15=0,"",MaGic_AVM_Land!T15),"")</f>
        <v/>
      </c>
      <c r="U15" s="71" t="str">
        <f>IF(U$2="Y",IF(MaGic_AVM_Land!U15=0,"",MaGic_AVM_Land!U15),"")</f>
        <v/>
      </c>
      <c r="V15" s="71" t="str">
        <f>IF(V$2="Y",IF(MaGic_AVM_Land!V15=0,"",MaGic_AVM_Land!V15),"")</f>
        <v/>
      </c>
      <c r="W15" s="71" t="str">
        <f>IF(W$2="Y",IF(MaGic_AVM_Land!W15=0,"",MaGic_AVM_Land!W15),"")</f>
        <v/>
      </c>
      <c r="X15" s="71" t="str">
        <f>IF(X$2="Y",IF(MaGic_AVM_Land!X15=0,"",MaGic_AVM_Land!X15),"")</f>
        <v/>
      </c>
      <c r="Y15" s="71" t="str">
        <f>IF(Y$2="Y",IF(MaGic_AVM_Land!Y15=0,"",MaGic_AVM_Land!Y15),"")</f>
        <v/>
      </c>
      <c r="Z15" s="71" t="str">
        <f>IF(Z$2="Y",IF(MaGic_AVM_Land!Z15=0,"",MaGic_AVM_Land!Z15),"")</f>
        <v/>
      </c>
      <c r="AA15" s="69" t="str">
        <f t="shared" si="1"/>
        <v>254</v>
      </c>
      <c r="AB15" s="69" t="str" cm="1">
        <f t="array" ref="AB15:AC15">_xlfn.UNIQUE(C15:Z15,TRUE,FALSE)</f>
        <v/>
      </c>
      <c r="AC15" s="69">
        <v>254</v>
      </c>
    </row>
    <row r="16" spans="1:29">
      <c r="A16" s="70">
        <v>14</v>
      </c>
      <c r="B16" s="70" t="s">
        <v>71</v>
      </c>
      <c r="C16" s="71" t="str">
        <f>IF(C$2="Y",IF(MaGic_AVM_Land!C16=0,"",MaGic_AVM_Land!C16),"")</f>
        <v/>
      </c>
      <c r="D16" s="71" t="str">
        <f>IF(D$2="Y",IF(MaGic_AVM_Land!D16=0,"",MaGic_AVM_Land!D16),"")</f>
        <v>2-1</v>
      </c>
      <c r="E16" s="71" t="str">
        <f>IF(E$2="Y",IF(MaGic_AVM_Land!E16=0,"",MaGic_AVM_Land!E16),"")</f>
        <v/>
      </c>
      <c r="F16" s="71" t="str">
        <f>IF(F$2="Y",IF(MaGic_AVM_Land!F16=0,"",MaGic_AVM_Land!F16),"")</f>
        <v/>
      </c>
      <c r="G16" s="71" t="str">
        <f>IF(G$2="Y",IF(MaGic_AVM_Land!G16=0,"",MaGic_AVM_Land!G16),"")</f>
        <v/>
      </c>
      <c r="H16" s="71" t="str">
        <f>IF(H$2="Y",IF(MaGic_AVM_Land!H16=0,"",MaGic_AVM_Land!H16),"")</f>
        <v/>
      </c>
      <c r="I16" s="71" t="str">
        <f>IF(I$2="Y",IF(MaGic_AVM_Land!I16=0,"",MaGic_AVM_Land!I16),"")</f>
        <v/>
      </c>
      <c r="J16" s="71" t="str">
        <f>IF(J$2="Y",IF(MaGic_AVM_Land!J16=0,"",MaGic_AVM_Land!J16),"")</f>
        <v/>
      </c>
      <c r="K16" s="71" t="str">
        <f>IF(K$2="Y",IF(MaGic_AVM_Land!K16=0,"",MaGic_AVM_Land!K16),"")</f>
        <v/>
      </c>
      <c r="L16" s="71" t="str">
        <f>IF(L$2="Y",IF(MaGic_AVM_Land!L16=0,"",MaGic_AVM_Land!L16),"")</f>
        <v/>
      </c>
      <c r="M16" s="71" t="str">
        <f>IF(M$2="Y",IF(MaGic_AVM_Land!M16=0,"",MaGic_AVM_Land!M16),"")</f>
        <v/>
      </c>
      <c r="N16" s="71" t="str">
        <f>IF(N$2="Y",IF(MaGic_AVM_Land!N16=0,"",MaGic_AVM_Land!N16),"")</f>
        <v/>
      </c>
      <c r="O16" s="71" t="str">
        <f>IF(O$2="Y",IF(MaGic_AVM_Land!O16=0,"",MaGic_AVM_Land!O16),"")</f>
        <v/>
      </c>
      <c r="P16" s="71" t="str">
        <f>IF(P$2="Y",IF(MaGic_AVM_Land!P16=0,"",MaGic_AVM_Land!P16),"")</f>
        <v/>
      </c>
      <c r="Q16" s="71" t="str">
        <f>IF(Q$2="Y",IF(MaGic_AVM_Land!Q16=0,"",MaGic_AVM_Land!Q16),"")</f>
        <v/>
      </c>
      <c r="R16" s="71" t="str">
        <f>IF(R$2="Y",IF(MaGic_AVM_Land!R16=0,"",MaGic_AVM_Land!R16),"")</f>
        <v/>
      </c>
      <c r="S16" s="71" t="str">
        <f>IF(S$2="Y",IF(MaGic_AVM_Land!S16=0,"",MaGic_AVM_Land!S16),"")</f>
        <v/>
      </c>
      <c r="T16" s="71" t="str">
        <f>IF(T$2="Y",IF(MaGic_AVM_Land!T16=0,"",MaGic_AVM_Land!T16),"")</f>
        <v/>
      </c>
      <c r="U16" s="71" t="str">
        <f>IF(U$2="Y",IF(MaGic_AVM_Land!U16=0,"",MaGic_AVM_Land!U16),"")</f>
        <v/>
      </c>
      <c r="V16" s="71" t="str">
        <f>IF(V$2="Y",IF(MaGic_AVM_Land!V16=0,"",MaGic_AVM_Land!V16),"")</f>
        <v/>
      </c>
      <c r="W16" s="71" t="str">
        <f>IF(W$2="Y",IF(MaGic_AVM_Land!W16=0,"",MaGic_AVM_Land!W16),"")</f>
        <v/>
      </c>
      <c r="X16" s="71" t="str">
        <f>IF(X$2="Y",IF(MaGic_AVM_Land!X16=0,"",MaGic_AVM_Land!X16),"")</f>
        <v/>
      </c>
      <c r="Y16" s="71" t="str">
        <f>IF(Y$2="Y",IF(MaGic_AVM_Land!Y16=0,"",MaGic_AVM_Land!Y16),"")</f>
        <v/>
      </c>
      <c r="Z16" s="71" t="str">
        <f>IF(Z$2="Y",IF(MaGic_AVM_Land!Z16=0,"",MaGic_AVM_Land!Z16),"")</f>
        <v/>
      </c>
      <c r="AA16" s="69" t="str">
        <f t="shared" si="1"/>
        <v>2-1</v>
      </c>
      <c r="AB16" s="69" t="str" cm="1">
        <f t="array" ref="AB16:AC16">_xlfn.UNIQUE(C16:Z16,TRUE,FALSE)</f>
        <v/>
      </c>
      <c r="AC16" s="69" t="str">
        <v>2-1</v>
      </c>
    </row>
    <row r="17" spans="1:29">
      <c r="A17" s="70">
        <v>15</v>
      </c>
      <c r="B17" s="70" t="s">
        <v>77</v>
      </c>
      <c r="C17" s="71" t="str">
        <f>IF(C$2="Y",IF(MaGic_AVM_Land!C17=0,"",MaGic_AVM_Land!C17),"")</f>
        <v/>
      </c>
      <c r="D17" s="71" t="str">
        <f>IF(D$2="Y",IF(MaGic_AVM_Land!D17=0,"",MaGic_AVM_Land!D17),"")</f>
        <v/>
      </c>
      <c r="E17" s="71" t="str">
        <f>IF(E$2="Y",IF(MaGic_AVM_Land!E17=0,"",MaGic_AVM_Land!E17),"")</f>
        <v/>
      </c>
      <c r="F17" s="71" t="str">
        <f>IF(F$2="Y",IF(MaGic_AVM_Land!F17=0,"",MaGic_AVM_Land!F17),"")</f>
        <v/>
      </c>
      <c r="G17" s="71" t="str">
        <f>IF(G$2="Y",IF(MaGic_AVM_Land!G17=0,"",MaGic_AVM_Land!G17),"")</f>
        <v/>
      </c>
      <c r="H17" s="71" t="str">
        <f>IF(H$2="Y",IF(MaGic_AVM_Land!H17=0,"",MaGic_AVM_Land!H17),"")</f>
        <v/>
      </c>
      <c r="I17" s="71" t="str">
        <f>IF(I$2="Y",IF(MaGic_AVM_Land!I17=0,"",MaGic_AVM_Land!I17),"")</f>
        <v/>
      </c>
      <c r="J17" s="71" t="str">
        <f>IF(J$2="Y",IF(MaGic_AVM_Land!J17=0,"",MaGic_AVM_Land!J17),"")</f>
        <v/>
      </c>
      <c r="K17" s="71" t="str">
        <f>IF(K$2="Y",IF(MaGic_AVM_Land!K17=0,"",MaGic_AVM_Land!K17),"")</f>
        <v/>
      </c>
      <c r="L17" s="71" t="str">
        <f>IF(L$2="Y",IF(MaGic_AVM_Land!L17=0,"",MaGic_AVM_Land!L17),"")</f>
        <v/>
      </c>
      <c r="M17" s="71" t="str">
        <f>IF(M$2="Y",IF(MaGic_AVM_Land!M17=0,"",MaGic_AVM_Land!M17),"")</f>
        <v/>
      </c>
      <c r="N17" s="71" t="str">
        <f>IF(N$2="Y",IF(MaGic_AVM_Land!N17=0,"",MaGic_AVM_Land!N17),"")</f>
        <v/>
      </c>
      <c r="O17" s="71" t="str">
        <f>IF(O$2="Y",IF(MaGic_AVM_Land!O17=0,"",MaGic_AVM_Land!O17),"")</f>
        <v/>
      </c>
      <c r="P17" s="71" t="str">
        <f>IF(P$2="Y",IF(MaGic_AVM_Land!P17=0,"",MaGic_AVM_Land!P17),"")</f>
        <v/>
      </c>
      <c r="Q17" s="71" t="str">
        <f>IF(Q$2="Y",IF(MaGic_AVM_Land!Q17=0,"",MaGic_AVM_Land!Q17),"")</f>
        <v/>
      </c>
      <c r="R17" s="71" t="str">
        <f>IF(R$2="Y",IF(MaGic_AVM_Land!R17=0,"",MaGic_AVM_Land!R17),"")</f>
        <v/>
      </c>
      <c r="S17" s="71" t="str">
        <f>IF(S$2="Y",IF(MaGic_AVM_Land!S17=0,"",MaGic_AVM_Land!S17),"")</f>
        <v/>
      </c>
      <c r="T17" s="71" t="str">
        <f>IF(T$2="Y",IF(MaGic_AVM_Land!T17=0,"",MaGic_AVM_Land!T17),"")</f>
        <v/>
      </c>
      <c r="U17" s="71" t="str">
        <f>IF(U$2="Y",IF(MaGic_AVM_Land!U17=0,"",MaGic_AVM_Land!U17),"")</f>
        <v/>
      </c>
      <c r="V17" s="71" t="str">
        <f>IF(V$2="Y",IF(MaGic_AVM_Land!V17=0,"",MaGic_AVM_Land!V17),"")</f>
        <v/>
      </c>
      <c r="W17" s="71" t="str">
        <f>IF(W$2="Y",IF(MaGic_AVM_Land!W17=0,"",MaGic_AVM_Land!W17),"")</f>
        <v/>
      </c>
      <c r="X17" s="71" t="str">
        <f>IF(X$2="Y",IF(MaGic_AVM_Land!X17=0,"",MaGic_AVM_Land!X17),"")</f>
        <v/>
      </c>
      <c r="Y17" s="71" t="str">
        <f>IF(Y$2="Y",IF(MaGic_AVM_Land!Y17=0,"",MaGic_AVM_Land!Y17),"")</f>
        <v/>
      </c>
      <c r="Z17" s="71" t="str">
        <f>IF(Z$2="Y",IF(MaGic_AVM_Land!Z17=0,"",MaGic_AVM_Land!Z17),"")</f>
        <v/>
      </c>
      <c r="AA17" s="69" t="str">
        <f t="shared" si="1"/>
        <v/>
      </c>
      <c r="AB17" s="69" t="str" cm="1">
        <f t="array" ref="AB17">_xlfn.UNIQUE(C17:Z17,TRUE,FALSE)</f>
        <v/>
      </c>
    </row>
    <row r="18" spans="1:29">
      <c r="A18" s="70">
        <v>16</v>
      </c>
      <c r="B18" s="70" t="s">
        <v>78</v>
      </c>
      <c r="C18" s="71" t="str">
        <f>IF(C$2="Y",IF(MaGic_AVM_Land!C18=0,"",MaGic_AVM_Land!C18),"")</f>
        <v/>
      </c>
      <c r="D18" s="71" t="str">
        <f>IF(D$2="Y",IF(MaGic_AVM_Land!D18=0,"",MaGic_AVM_Land!D18),"")</f>
        <v/>
      </c>
      <c r="E18" s="71" t="str">
        <f>IF(E$2="Y",IF(MaGic_AVM_Land!E18=0,"",MaGic_AVM_Land!E18),"")</f>
        <v/>
      </c>
      <c r="F18" s="71" t="str">
        <f>IF(F$2="Y",IF(MaGic_AVM_Land!F18=0,"",MaGic_AVM_Land!F18),"")</f>
        <v/>
      </c>
      <c r="G18" s="71" t="str">
        <f>IF(G$2="Y",IF(MaGic_AVM_Land!G18=0,"",MaGic_AVM_Land!G18),"")</f>
        <v/>
      </c>
      <c r="H18" s="71" t="str">
        <f>IF(H$2="Y",IF(MaGic_AVM_Land!H18=0,"",MaGic_AVM_Land!H18),"")</f>
        <v/>
      </c>
      <c r="I18" s="71" t="str">
        <f>IF(I$2="Y",IF(MaGic_AVM_Land!I18=0,"",MaGic_AVM_Land!I18),"")</f>
        <v/>
      </c>
      <c r="J18" s="71" t="str">
        <f>IF(J$2="Y",IF(MaGic_AVM_Land!J18=0,"",MaGic_AVM_Land!J18),"")</f>
        <v/>
      </c>
      <c r="K18" s="71" t="str">
        <f>IF(K$2="Y",IF(MaGic_AVM_Land!K18=0,"",MaGic_AVM_Land!K18),"")</f>
        <v/>
      </c>
      <c r="L18" s="71" t="str">
        <f>IF(L$2="Y",IF(MaGic_AVM_Land!L18=0,"",MaGic_AVM_Land!L18),"")</f>
        <v/>
      </c>
      <c r="M18" s="71" t="str">
        <f>IF(M$2="Y",IF(MaGic_AVM_Land!M18=0,"",MaGic_AVM_Land!M18),"")</f>
        <v/>
      </c>
      <c r="N18" s="71" t="str">
        <f>IF(N$2="Y",IF(MaGic_AVM_Land!N18=0,"",MaGic_AVM_Land!N18),"")</f>
        <v/>
      </c>
      <c r="O18" s="71" t="str">
        <f>IF(O$2="Y",IF(MaGic_AVM_Land!O18=0,"",MaGic_AVM_Land!O18),"")</f>
        <v/>
      </c>
      <c r="P18" s="71" t="str">
        <f>IF(P$2="Y",IF(MaGic_AVM_Land!P18=0,"",MaGic_AVM_Land!P18),"")</f>
        <v/>
      </c>
      <c r="Q18" s="71" t="str">
        <f>IF(Q$2="Y",IF(MaGic_AVM_Land!Q18=0,"",MaGic_AVM_Land!Q18),"")</f>
        <v/>
      </c>
      <c r="R18" s="71" t="str">
        <f>IF(R$2="Y",IF(MaGic_AVM_Land!R18=0,"",MaGic_AVM_Land!R18),"")</f>
        <v/>
      </c>
      <c r="S18" s="71" t="str">
        <f>IF(S$2="Y",IF(MaGic_AVM_Land!S18=0,"",MaGic_AVM_Land!S18),"")</f>
        <v/>
      </c>
      <c r="T18" s="71" t="str">
        <f>IF(T$2="Y",IF(MaGic_AVM_Land!T18=0,"",MaGic_AVM_Land!T18),"")</f>
        <v/>
      </c>
      <c r="U18" s="71" t="str">
        <f>IF(U$2="Y",IF(MaGic_AVM_Land!U18=0,"",MaGic_AVM_Land!U18),"")</f>
        <v/>
      </c>
      <c r="V18" s="71" t="str">
        <f>IF(V$2="Y",IF(MaGic_AVM_Land!V18=0,"",MaGic_AVM_Land!V18),"")</f>
        <v/>
      </c>
      <c r="W18" s="71" t="str">
        <f>IF(W$2="Y",IF(MaGic_AVM_Land!W18=0,"",MaGic_AVM_Land!W18),"")</f>
        <v/>
      </c>
      <c r="X18" s="71" t="str">
        <f>IF(X$2="Y",IF(MaGic_AVM_Land!X18=0,"",MaGic_AVM_Land!X18),"")</f>
        <v/>
      </c>
      <c r="Y18" s="71" t="str">
        <f>IF(Y$2="Y",IF(MaGic_AVM_Land!Y18=0,"",MaGic_AVM_Land!Y18),"")</f>
        <v/>
      </c>
      <c r="Z18" s="71" t="str">
        <f>IF(Z$2="Y",IF(MaGic_AVM_Land!Z18=0,"",MaGic_AVM_Land!Z18),"")</f>
        <v/>
      </c>
      <c r="AA18" s="69" t="str">
        <f t="shared" si="1"/>
        <v/>
      </c>
      <c r="AB18" s="69" t="str" cm="1">
        <f t="array" ref="AB18">_xlfn.UNIQUE(C18:Z18,TRUE,FALSE)</f>
        <v/>
      </c>
    </row>
    <row r="19" spans="1:29">
      <c r="A19" s="70">
        <v>17</v>
      </c>
      <c r="B19" s="70" t="s">
        <v>79</v>
      </c>
      <c r="C19" s="71" t="str">
        <f>IF(C$2="Y",IF(MaGic_AVM_Land!C19=0,"",MaGic_AVM_Land!C19),"")</f>
        <v/>
      </c>
      <c r="D19" s="71" t="str">
        <f>IF(D$2="Y",IF(MaGic_AVM_Land!D19=0,"",MaGic_AVM_Land!D19),"")</f>
        <v/>
      </c>
      <c r="E19" s="71" t="str">
        <f>IF(E$2="Y",IF(MaGic_AVM_Land!E19=0,"",MaGic_AVM_Land!E19),"")</f>
        <v/>
      </c>
      <c r="F19" s="71" t="str">
        <f>IF(F$2="Y",IF(MaGic_AVM_Land!F19=0,"",MaGic_AVM_Land!F19),"")</f>
        <v/>
      </c>
      <c r="G19" s="71" t="str">
        <f>IF(G$2="Y",IF(MaGic_AVM_Land!G19=0,"",MaGic_AVM_Land!G19),"")</f>
        <v/>
      </c>
      <c r="H19" s="71" t="str">
        <f>IF(H$2="Y",IF(MaGic_AVM_Land!H19=0,"",MaGic_AVM_Land!H19),"")</f>
        <v/>
      </c>
      <c r="I19" s="71" t="str">
        <f>IF(I$2="Y",IF(MaGic_AVM_Land!I19=0,"",MaGic_AVM_Land!I19),"")</f>
        <v/>
      </c>
      <c r="J19" s="71" t="str">
        <f>IF(J$2="Y",IF(MaGic_AVM_Land!J19=0,"",MaGic_AVM_Land!J19),"")</f>
        <v/>
      </c>
      <c r="K19" s="71" t="str">
        <f>IF(K$2="Y",IF(MaGic_AVM_Land!K19=0,"",MaGic_AVM_Land!K19),"")</f>
        <v/>
      </c>
      <c r="L19" s="71" t="str">
        <f>IF(L$2="Y",IF(MaGic_AVM_Land!L19=0,"",MaGic_AVM_Land!L19),"")</f>
        <v/>
      </c>
      <c r="M19" s="71" t="str">
        <f>IF(M$2="Y",IF(MaGic_AVM_Land!M19=0,"",MaGic_AVM_Land!M19),"")</f>
        <v/>
      </c>
      <c r="N19" s="71" t="str">
        <f>IF(N$2="Y",IF(MaGic_AVM_Land!N19=0,"",MaGic_AVM_Land!N19),"")</f>
        <v/>
      </c>
      <c r="O19" s="71" t="str">
        <f>IF(O$2="Y",IF(MaGic_AVM_Land!O19=0,"",MaGic_AVM_Land!O19),"")</f>
        <v/>
      </c>
      <c r="P19" s="71" t="str">
        <f>IF(P$2="Y",IF(MaGic_AVM_Land!P19=0,"",MaGic_AVM_Land!P19),"")</f>
        <v/>
      </c>
      <c r="Q19" s="71" t="str">
        <f>IF(Q$2="Y",IF(MaGic_AVM_Land!Q19=0,"",MaGic_AVM_Land!Q19),"")</f>
        <v/>
      </c>
      <c r="R19" s="71" t="str">
        <f>IF(R$2="Y",IF(MaGic_AVM_Land!R19=0,"",MaGic_AVM_Land!R19),"")</f>
        <v/>
      </c>
      <c r="S19" s="71" t="str">
        <f>IF(S$2="Y",IF(MaGic_AVM_Land!S19=0,"",MaGic_AVM_Land!S19),"")</f>
        <v/>
      </c>
      <c r="T19" s="71" t="str">
        <f>IF(T$2="Y",IF(MaGic_AVM_Land!T19=0,"",MaGic_AVM_Land!T19),"")</f>
        <v/>
      </c>
      <c r="U19" s="71" t="str">
        <f>IF(U$2="Y",IF(MaGic_AVM_Land!U19=0,"",MaGic_AVM_Land!U19),"")</f>
        <v/>
      </c>
      <c r="V19" s="71" t="str">
        <f>IF(V$2="Y",IF(MaGic_AVM_Land!V19=0,"",MaGic_AVM_Land!V19),"")</f>
        <v/>
      </c>
      <c r="W19" s="71" t="str">
        <f>IF(W$2="Y",IF(MaGic_AVM_Land!W19=0,"",MaGic_AVM_Land!W19),"")</f>
        <v/>
      </c>
      <c r="X19" s="71" t="str">
        <f>IF(X$2="Y",IF(MaGic_AVM_Land!X19=0,"",MaGic_AVM_Land!X19),"")</f>
        <v/>
      </c>
      <c r="Y19" s="71" t="str">
        <f>IF(Y$2="Y",IF(MaGic_AVM_Land!Y19=0,"",MaGic_AVM_Land!Y19),"")</f>
        <v/>
      </c>
      <c r="Z19" s="71" t="str">
        <f>IF(Z$2="Y",IF(MaGic_AVM_Land!Z19=0,"",MaGic_AVM_Land!Z19),"")</f>
        <v/>
      </c>
      <c r="AA19" s="69" t="str">
        <f t="shared" si="1"/>
        <v/>
      </c>
      <c r="AB19" s="69" t="str" cm="1">
        <f t="array" ref="AB19">_xlfn.UNIQUE(C19:Z19,TRUE,FALSE)</f>
        <v/>
      </c>
    </row>
    <row r="20" spans="1:29">
      <c r="A20" s="70">
        <v>18</v>
      </c>
      <c r="B20" s="70" t="s">
        <v>80</v>
      </c>
      <c r="C20" s="71" t="str">
        <f>IF(C$2="Y",IF(MaGic_AVM_Land!C20=0,"",MaGic_AVM_Land!C20),"")</f>
        <v/>
      </c>
      <c r="D20" s="71" t="str">
        <f>IF(D$2="Y",IF(MaGic_AVM_Land!D20=0,"",MaGic_AVM_Land!D20),"")</f>
        <v/>
      </c>
      <c r="E20" s="71" t="str">
        <f>IF(E$2="Y",IF(MaGic_AVM_Land!E20=0,"",MaGic_AVM_Land!E20),"")</f>
        <v/>
      </c>
      <c r="F20" s="71" t="str">
        <f>IF(F$2="Y",IF(MaGic_AVM_Land!F20=0,"",MaGic_AVM_Land!F20),"")</f>
        <v/>
      </c>
      <c r="G20" s="71" t="str">
        <f>IF(G$2="Y",IF(MaGic_AVM_Land!G20=0,"",MaGic_AVM_Land!G20),"")</f>
        <v/>
      </c>
      <c r="H20" s="71" t="str">
        <f>IF(H$2="Y",IF(MaGic_AVM_Land!H20=0,"",MaGic_AVM_Land!H20),"")</f>
        <v/>
      </c>
      <c r="I20" s="71" t="str">
        <f>IF(I$2="Y",IF(MaGic_AVM_Land!I20=0,"",MaGic_AVM_Land!I20),"")</f>
        <v/>
      </c>
      <c r="J20" s="71" t="str">
        <f>IF(J$2="Y",IF(MaGic_AVM_Land!J20=0,"",MaGic_AVM_Land!J20),"")</f>
        <v/>
      </c>
      <c r="K20" s="71" t="str">
        <f>IF(K$2="Y",IF(MaGic_AVM_Land!K20=0,"",MaGic_AVM_Land!K20),"")</f>
        <v/>
      </c>
      <c r="L20" s="71" t="str">
        <f>IF(L$2="Y",IF(MaGic_AVM_Land!L20=0,"",MaGic_AVM_Land!L20),"")</f>
        <v/>
      </c>
      <c r="M20" s="71" t="str">
        <f>IF(M$2="Y",IF(MaGic_AVM_Land!M20=0,"",MaGic_AVM_Land!M20),"")</f>
        <v/>
      </c>
      <c r="N20" s="71" t="str">
        <f>IF(N$2="Y",IF(MaGic_AVM_Land!N20=0,"",MaGic_AVM_Land!N20),"")</f>
        <v/>
      </c>
      <c r="O20" s="71" t="str">
        <f>IF(O$2="Y",IF(MaGic_AVM_Land!O20=0,"",MaGic_AVM_Land!O20),"")</f>
        <v/>
      </c>
      <c r="P20" s="71" t="str">
        <f>IF(P$2="Y",IF(MaGic_AVM_Land!P20=0,"",MaGic_AVM_Land!P20),"")</f>
        <v/>
      </c>
      <c r="Q20" s="71" t="str">
        <f>IF(Q$2="Y",IF(MaGic_AVM_Land!Q20=0,"",MaGic_AVM_Land!Q20),"")</f>
        <v/>
      </c>
      <c r="R20" s="71" t="str">
        <f>IF(R$2="Y",IF(MaGic_AVM_Land!R20=0,"",MaGic_AVM_Land!R20),"")</f>
        <v/>
      </c>
      <c r="S20" s="71" t="str">
        <f>IF(S$2="Y",IF(MaGic_AVM_Land!S20=0,"",MaGic_AVM_Land!S20),"")</f>
        <v/>
      </c>
      <c r="T20" s="71" t="str">
        <f>IF(T$2="Y",IF(MaGic_AVM_Land!T20=0,"",MaGic_AVM_Land!T20),"")</f>
        <v/>
      </c>
      <c r="U20" s="71" t="str">
        <f>IF(U$2="Y",IF(MaGic_AVM_Land!U20=0,"",MaGic_AVM_Land!U20),"")</f>
        <v/>
      </c>
      <c r="V20" s="71" t="str">
        <f>IF(V$2="Y",IF(MaGic_AVM_Land!V20=0,"",MaGic_AVM_Land!V20),"")</f>
        <v/>
      </c>
      <c r="W20" s="71" t="str">
        <f>IF(W$2="Y",IF(MaGic_AVM_Land!W20=0,"",MaGic_AVM_Land!W20),"")</f>
        <v/>
      </c>
      <c r="X20" s="71" t="str">
        <f>IF(X$2="Y",IF(MaGic_AVM_Land!X20=0,"",MaGic_AVM_Land!X20),"")</f>
        <v/>
      </c>
      <c r="Y20" s="71" t="str">
        <f>IF(Y$2="Y",IF(MaGic_AVM_Land!Y20=0,"",MaGic_AVM_Land!Y20),"")</f>
        <v/>
      </c>
      <c r="Z20" s="71" t="str">
        <f>IF(Z$2="Y",IF(MaGic_AVM_Land!Z20=0,"",MaGic_AVM_Land!Z20),"")</f>
        <v/>
      </c>
      <c r="AA20" s="69" t="str">
        <f t="shared" si="1"/>
        <v/>
      </c>
      <c r="AB20" s="69" t="str" cm="1">
        <f t="array" ref="AB20">_xlfn.UNIQUE(C20:Z20,TRUE,FALSE)</f>
        <v/>
      </c>
    </row>
    <row r="21" spans="1:29">
      <c r="A21" s="70">
        <v>19</v>
      </c>
      <c r="B21" s="70" t="s">
        <v>81</v>
      </c>
      <c r="C21" s="71" t="str">
        <f>IF(C$2="Y",IF(MaGic_AVM_Land!C21=0,"",MaGic_AVM_Land!C21),"")</f>
        <v/>
      </c>
      <c r="D21" s="71" t="str">
        <f>IF(D$2="Y",IF(MaGic_AVM_Land!D21=0,"",MaGic_AVM_Land!D21),"")</f>
        <v/>
      </c>
      <c r="E21" s="71" t="str">
        <f>IF(E$2="Y",IF(MaGic_AVM_Land!E21=0,"",MaGic_AVM_Land!E21),"")</f>
        <v/>
      </c>
      <c r="F21" s="71" t="str">
        <f>IF(F$2="Y",IF(MaGic_AVM_Land!F21=0,"",MaGic_AVM_Land!F21),"")</f>
        <v/>
      </c>
      <c r="G21" s="71" t="str">
        <f>IF(G$2="Y",IF(MaGic_AVM_Land!G21=0,"",MaGic_AVM_Land!G21),"")</f>
        <v/>
      </c>
      <c r="H21" s="71" t="str">
        <f>IF(H$2="Y",IF(MaGic_AVM_Land!H21=0,"",MaGic_AVM_Land!H21),"")</f>
        <v/>
      </c>
      <c r="I21" s="71" t="str">
        <f>IF(I$2="Y",IF(MaGic_AVM_Land!I21=0,"",MaGic_AVM_Land!I21),"")</f>
        <v/>
      </c>
      <c r="J21" s="71" t="str">
        <f>IF(J$2="Y",IF(MaGic_AVM_Land!J21=0,"",MaGic_AVM_Land!J21),"")</f>
        <v/>
      </c>
      <c r="K21" s="71" t="str">
        <f>IF(K$2="Y",IF(MaGic_AVM_Land!K21=0,"",MaGic_AVM_Land!K21),"")</f>
        <v/>
      </c>
      <c r="L21" s="71" t="str">
        <f>IF(L$2="Y",IF(MaGic_AVM_Land!L21=0,"",MaGic_AVM_Land!L21),"")</f>
        <v/>
      </c>
      <c r="M21" s="71" t="str">
        <f>IF(M$2="Y",IF(MaGic_AVM_Land!M21=0,"",MaGic_AVM_Land!M21),"")</f>
        <v/>
      </c>
      <c r="N21" s="71" t="str">
        <f>IF(N$2="Y",IF(MaGic_AVM_Land!N21=0,"",MaGic_AVM_Land!N21),"")</f>
        <v/>
      </c>
      <c r="O21" s="71" t="str">
        <f>IF(O$2="Y",IF(MaGic_AVM_Land!O21=0,"",MaGic_AVM_Land!O21),"")</f>
        <v/>
      </c>
      <c r="P21" s="71" t="str">
        <f>IF(P$2="Y",IF(MaGic_AVM_Land!P21=0,"",MaGic_AVM_Land!P21),"")</f>
        <v/>
      </c>
      <c r="Q21" s="71" t="str">
        <f>IF(Q$2="Y",IF(MaGic_AVM_Land!Q21=0,"",MaGic_AVM_Land!Q21),"")</f>
        <v/>
      </c>
      <c r="R21" s="71" t="str">
        <f>IF(R$2="Y",IF(MaGic_AVM_Land!R21=0,"",MaGic_AVM_Land!R21),"")</f>
        <v/>
      </c>
      <c r="S21" s="71" t="str">
        <f>IF(S$2="Y",IF(MaGic_AVM_Land!S21=0,"",MaGic_AVM_Land!S21),"")</f>
        <v/>
      </c>
      <c r="T21" s="71" t="str">
        <f>IF(T$2="Y",IF(MaGic_AVM_Land!T21=0,"",MaGic_AVM_Land!T21),"")</f>
        <v/>
      </c>
      <c r="U21" s="71" t="str">
        <f>IF(U$2="Y",IF(MaGic_AVM_Land!U21=0,"",MaGic_AVM_Land!U21),"")</f>
        <v/>
      </c>
      <c r="V21" s="71" t="str">
        <f>IF(V$2="Y",IF(MaGic_AVM_Land!V21=0,"",MaGic_AVM_Land!V21),"")</f>
        <v/>
      </c>
      <c r="W21" s="71" t="str">
        <f>IF(W$2="Y",IF(MaGic_AVM_Land!W21=0,"",MaGic_AVM_Land!W21),"")</f>
        <v/>
      </c>
      <c r="X21" s="71" t="str">
        <f>IF(X$2="Y",IF(MaGic_AVM_Land!X21=0,"",MaGic_AVM_Land!X21),"")</f>
        <v/>
      </c>
      <c r="Y21" s="71" t="str">
        <f>IF(Y$2="Y",IF(MaGic_AVM_Land!Y21=0,"",MaGic_AVM_Land!Y21),"")</f>
        <v/>
      </c>
      <c r="Z21" s="71" t="str">
        <f>IF(Z$2="Y",IF(MaGic_AVM_Land!Z21=0,"",MaGic_AVM_Land!Z21),"")</f>
        <v/>
      </c>
      <c r="AA21" s="69" t="str">
        <f t="shared" si="1"/>
        <v/>
      </c>
      <c r="AB21" s="69" t="str" cm="1">
        <f t="array" ref="AB21">_xlfn.UNIQUE(C21:Z21,TRUE,FALSE)</f>
        <v/>
      </c>
    </row>
    <row r="22" spans="1:29">
      <c r="A22" s="70">
        <v>20</v>
      </c>
      <c r="B22" s="70" t="s">
        <v>82</v>
      </c>
      <c r="C22" s="71" t="str">
        <f>IF(C$2="Y",IF(MaGic_AVM_Land!C22=0,"",MaGic_AVM_Land!C22),"")</f>
        <v/>
      </c>
      <c r="D22" s="71" t="str">
        <f>IF(D$2="Y",IF(MaGic_AVM_Land!D22=0,"",MaGic_AVM_Land!D22),"")</f>
        <v/>
      </c>
      <c r="E22" s="71" t="str">
        <f>IF(E$2="Y",IF(MaGic_AVM_Land!E22=0,"",MaGic_AVM_Land!E22),"")</f>
        <v/>
      </c>
      <c r="F22" s="71" t="str">
        <f>IF(F$2="Y",IF(MaGic_AVM_Land!F22=0,"",MaGic_AVM_Land!F22),"")</f>
        <v/>
      </c>
      <c r="G22" s="71" t="str">
        <f>IF(G$2="Y",IF(MaGic_AVM_Land!G22=0,"",MaGic_AVM_Land!G22),"")</f>
        <v/>
      </c>
      <c r="H22" s="71" t="str">
        <f>IF(H$2="Y",IF(MaGic_AVM_Land!H22=0,"",MaGic_AVM_Land!H22),"")</f>
        <v/>
      </c>
      <c r="I22" s="71" t="str">
        <f>IF(I$2="Y",IF(MaGic_AVM_Land!I22=0,"",MaGic_AVM_Land!I22),"")</f>
        <v/>
      </c>
      <c r="J22" s="71" t="str">
        <f>IF(J$2="Y",IF(MaGic_AVM_Land!J22=0,"",MaGic_AVM_Land!J22),"")</f>
        <v/>
      </c>
      <c r="K22" s="71" t="str">
        <f>IF(K$2="Y",IF(MaGic_AVM_Land!K22=0,"",MaGic_AVM_Land!K22),"")</f>
        <v/>
      </c>
      <c r="L22" s="71" t="str">
        <f>IF(L$2="Y",IF(MaGic_AVM_Land!L22=0,"",MaGic_AVM_Land!L22),"")</f>
        <v/>
      </c>
      <c r="M22" s="71" t="str">
        <f>IF(M$2="Y",IF(MaGic_AVM_Land!M22=0,"",MaGic_AVM_Land!M22),"")</f>
        <v/>
      </c>
      <c r="N22" s="71" t="str">
        <f>IF(N$2="Y",IF(MaGic_AVM_Land!N22=0,"",MaGic_AVM_Land!N22),"")</f>
        <v/>
      </c>
      <c r="O22" s="71" t="str">
        <f>IF(O$2="Y",IF(MaGic_AVM_Land!O22=0,"",MaGic_AVM_Land!O22),"")</f>
        <v/>
      </c>
      <c r="P22" s="71" t="str">
        <f>IF(P$2="Y",IF(MaGic_AVM_Land!P22=0,"",MaGic_AVM_Land!P22),"")</f>
        <v/>
      </c>
      <c r="Q22" s="71" t="str">
        <f>IF(Q$2="Y",IF(MaGic_AVM_Land!Q22=0,"",MaGic_AVM_Land!Q22),"")</f>
        <v/>
      </c>
      <c r="R22" s="71" t="str">
        <f>IF(R$2="Y",IF(MaGic_AVM_Land!R22=0,"",MaGic_AVM_Land!R22),"")</f>
        <v/>
      </c>
      <c r="S22" s="71" t="str">
        <f>IF(S$2="Y",IF(MaGic_AVM_Land!S22=0,"",MaGic_AVM_Land!S22),"")</f>
        <v/>
      </c>
      <c r="T22" s="71" t="str">
        <f>IF(T$2="Y",IF(MaGic_AVM_Land!T22=0,"",MaGic_AVM_Land!T22),"")</f>
        <v/>
      </c>
      <c r="U22" s="71" t="str">
        <f>IF(U$2="Y",IF(MaGic_AVM_Land!U22=0,"",MaGic_AVM_Land!U22),"")</f>
        <v/>
      </c>
      <c r="V22" s="71" t="str">
        <f>IF(V$2="Y",IF(MaGic_AVM_Land!V22=0,"",MaGic_AVM_Land!V22),"")</f>
        <v/>
      </c>
      <c r="W22" s="71" t="str">
        <f>IF(W$2="Y",IF(MaGic_AVM_Land!W22=0,"",MaGic_AVM_Land!W22),"")</f>
        <v/>
      </c>
      <c r="X22" s="71" t="str">
        <f>IF(X$2="Y",IF(MaGic_AVM_Land!X22=0,"",MaGic_AVM_Land!X22),"")</f>
        <v/>
      </c>
      <c r="Y22" s="71" t="str">
        <f>IF(Y$2="Y",IF(MaGic_AVM_Land!Y22=0,"",MaGic_AVM_Land!Y22),"")</f>
        <v/>
      </c>
      <c r="Z22" s="71" t="str">
        <f>IF(Z$2="Y",IF(MaGic_AVM_Land!Z22=0,"",MaGic_AVM_Land!Z22),"")</f>
        <v/>
      </c>
      <c r="AA22" s="69" t="str">
        <f t="shared" si="1"/>
        <v/>
      </c>
      <c r="AB22" s="69" t="str" cm="1">
        <f t="array" ref="AB22">_xlfn.UNIQUE(C22:Z22,TRUE,FALSE)</f>
        <v/>
      </c>
    </row>
    <row r="23" spans="1:29">
      <c r="A23" s="70">
        <v>21</v>
      </c>
      <c r="B23" s="70" t="s">
        <v>83</v>
      </c>
      <c r="C23" s="70" t="str">
        <f>IF(C$2="Y",IF(MaGic_AVM_Land!C23=0,"",MaGic_AVM_Land!C23),"")</f>
        <v/>
      </c>
      <c r="D23" s="70">
        <f>IF(D$2="Y",IF(MaGic_AVM_Land!D23=0,"",MaGic_AVM_Land!D23),"")</f>
        <v>2.1</v>
      </c>
      <c r="E23" s="70" t="str">
        <f>IF(E$2="Y",IF(MaGic_AVM_Land!E23=0,"",MaGic_AVM_Land!E23),"")</f>
        <v/>
      </c>
      <c r="F23" s="70" t="str">
        <f>IF(F$2="Y",IF(MaGic_AVM_Land!F23=0,"",MaGic_AVM_Land!F23),"")</f>
        <v/>
      </c>
      <c r="G23" s="70" t="str">
        <f>IF(G$2="Y",IF(MaGic_AVM_Land!G23=0,"",MaGic_AVM_Land!G23),"")</f>
        <v/>
      </c>
      <c r="H23" s="70" t="str">
        <f>IF(H$2="Y",IF(MaGic_AVM_Land!H23=0,"",MaGic_AVM_Land!H23),"")</f>
        <v/>
      </c>
      <c r="I23" s="70" t="str">
        <f>IF(I$2="Y",IF(MaGic_AVM_Land!I23=0,"",MaGic_AVM_Land!I23),"")</f>
        <v/>
      </c>
      <c r="J23" s="70" t="str">
        <f>IF(J$2="Y",IF(MaGic_AVM_Land!J23=0,"",MaGic_AVM_Land!J23),"")</f>
        <v/>
      </c>
      <c r="K23" s="70" t="str">
        <f>IF(K$2="Y",IF(MaGic_AVM_Land!K23=0,"",MaGic_AVM_Land!K23),"")</f>
        <v/>
      </c>
      <c r="L23" s="70" t="str">
        <f>IF(L$2="Y",IF(MaGic_AVM_Land!L23=0,"",MaGic_AVM_Land!L23),"")</f>
        <v/>
      </c>
      <c r="M23" s="70" t="str">
        <f>IF(M$2="Y",IF(MaGic_AVM_Land!M23=0,"",MaGic_AVM_Land!M23),"")</f>
        <v/>
      </c>
      <c r="N23" s="70" t="str">
        <f>IF(N$2="Y",IF(MaGic_AVM_Land!N23=0,"",MaGic_AVM_Land!N23),"")</f>
        <v/>
      </c>
      <c r="O23" s="70" t="str">
        <f>IF(O$2="Y",IF(MaGic_AVM_Land!O23=0,"",MaGic_AVM_Land!O23),"")</f>
        <v/>
      </c>
      <c r="P23" s="70" t="str">
        <f>IF(P$2="Y",IF(MaGic_AVM_Land!P23=0,"",MaGic_AVM_Land!P23),"")</f>
        <v/>
      </c>
      <c r="Q23" s="70" t="str">
        <f>IF(Q$2="Y",IF(MaGic_AVM_Land!Q23=0,"",MaGic_AVM_Land!Q23),"")</f>
        <v/>
      </c>
      <c r="R23" s="70" t="str">
        <f>IF(R$2="Y",IF(MaGic_AVM_Land!R23=0,"",MaGic_AVM_Land!R23),"")</f>
        <v/>
      </c>
      <c r="S23" s="70" t="str">
        <f>IF(S$2="Y",IF(MaGic_AVM_Land!S23=0,"",MaGic_AVM_Land!S23),"")</f>
        <v/>
      </c>
      <c r="T23" s="70" t="str">
        <f>IF(T$2="Y",IF(MaGic_AVM_Land!T23=0,"",MaGic_AVM_Land!T23),"")</f>
        <v/>
      </c>
      <c r="U23" s="70" t="str">
        <f>IF(U$2="Y",IF(MaGic_AVM_Land!U23=0,"",MaGic_AVM_Land!U23),"")</f>
        <v/>
      </c>
      <c r="V23" s="70" t="str">
        <f>IF(V$2="Y",IF(MaGic_AVM_Land!V23=0,"",MaGic_AVM_Land!V23),"")</f>
        <v/>
      </c>
      <c r="W23" s="70" t="str">
        <f>IF(W$2="Y",IF(MaGic_AVM_Land!W23=0,"",MaGic_AVM_Land!W23),"")</f>
        <v/>
      </c>
      <c r="X23" s="70" t="str">
        <f>IF(X$2="Y",IF(MaGic_AVM_Land!X23=0,"",MaGic_AVM_Land!X23),"")</f>
        <v/>
      </c>
      <c r="Y23" s="70" t="str">
        <f>IF(Y$2="Y",IF(MaGic_AVM_Land!Y23=0,"",MaGic_AVM_Land!Y23),"")</f>
        <v/>
      </c>
      <c r="Z23" s="70" t="str">
        <f>IF(Z$2="Y",IF(MaGic_AVM_Land!Z23=0,"",MaGic_AVM_Land!Z23),"")</f>
        <v/>
      </c>
      <c r="AA23" s="69">
        <f>SUM(C23:Z23)</f>
        <v>2.1</v>
      </c>
      <c r="AB23" s="69" t="str" cm="1">
        <f t="array" ref="AB23:AC23">_xlfn.UNIQUE(C23:Z23,TRUE,FALSE)</f>
        <v/>
      </c>
      <c r="AC23" s="69">
        <v>2.1</v>
      </c>
    </row>
    <row r="24" spans="1:29">
      <c r="A24" s="70">
        <v>22</v>
      </c>
      <c r="B24" s="70" t="s">
        <v>84</v>
      </c>
      <c r="C24" s="70" t="str">
        <f>IF(C$2="Y",IF(MaGic_AVM_Land!C24=0,"",MaGic_AVM_Land!C24),"")</f>
        <v/>
      </c>
      <c r="D24" s="70" t="str">
        <f>IF(D$2="Y",IF(MaGic_AVM_Land!D24=0,"",MaGic_AVM_Land!D24),"")</f>
        <v/>
      </c>
      <c r="E24" s="70" t="str">
        <f>IF(E$2="Y",IF(MaGic_AVM_Land!E24=0,"",MaGic_AVM_Land!E24),"")</f>
        <v/>
      </c>
      <c r="F24" s="70" t="str">
        <f>IF(F$2="Y",IF(MaGic_AVM_Land!F24=0,"",MaGic_AVM_Land!F24),"")</f>
        <v/>
      </c>
      <c r="G24" s="70" t="str">
        <f>IF(G$2="Y",IF(MaGic_AVM_Land!G24=0,"",MaGic_AVM_Land!G24),"")</f>
        <v/>
      </c>
      <c r="H24" s="70" t="str">
        <f>IF(H$2="Y",IF(MaGic_AVM_Land!H24=0,"",MaGic_AVM_Land!H24),"")</f>
        <v/>
      </c>
      <c r="I24" s="70" t="str">
        <f>IF(I$2="Y",IF(MaGic_AVM_Land!I24=0,"",MaGic_AVM_Land!I24),"")</f>
        <v/>
      </c>
      <c r="J24" s="70" t="str">
        <f>IF(J$2="Y",IF(MaGic_AVM_Land!J24=0,"",MaGic_AVM_Land!J24),"")</f>
        <v/>
      </c>
      <c r="K24" s="70" t="str">
        <f>IF(K$2="Y",IF(MaGic_AVM_Land!K24=0,"",MaGic_AVM_Land!K24),"")</f>
        <v/>
      </c>
      <c r="L24" s="70" t="str">
        <f>IF(L$2="Y",IF(MaGic_AVM_Land!L24=0,"",MaGic_AVM_Land!L24),"")</f>
        <v/>
      </c>
      <c r="M24" s="70" t="str">
        <f>IF(M$2="Y",IF(MaGic_AVM_Land!M24=0,"",MaGic_AVM_Land!M24),"")</f>
        <v/>
      </c>
      <c r="N24" s="70" t="str">
        <f>IF(N$2="Y",IF(MaGic_AVM_Land!N24=0,"",MaGic_AVM_Land!N24),"")</f>
        <v/>
      </c>
      <c r="O24" s="70" t="str">
        <f>IF(O$2="Y",IF(MaGic_AVM_Land!O24=0,"",MaGic_AVM_Land!O24),"")</f>
        <v/>
      </c>
      <c r="P24" s="70" t="str">
        <f>IF(P$2="Y",IF(MaGic_AVM_Land!P24=0,"",MaGic_AVM_Land!P24),"")</f>
        <v/>
      </c>
      <c r="Q24" s="70" t="str">
        <f>IF(Q$2="Y",IF(MaGic_AVM_Land!Q24=0,"",MaGic_AVM_Land!Q24),"")</f>
        <v/>
      </c>
      <c r="R24" s="70" t="str">
        <f>IF(R$2="Y",IF(MaGic_AVM_Land!R24=0,"",MaGic_AVM_Land!R24),"")</f>
        <v/>
      </c>
      <c r="S24" s="70" t="str">
        <f>IF(S$2="Y",IF(MaGic_AVM_Land!S24=0,"",MaGic_AVM_Land!S24),"")</f>
        <v/>
      </c>
      <c r="T24" s="70" t="str">
        <f>IF(T$2="Y",IF(MaGic_AVM_Land!T24=0,"",MaGic_AVM_Land!T24),"")</f>
        <v/>
      </c>
      <c r="U24" s="70" t="str">
        <f>IF(U$2="Y",IF(MaGic_AVM_Land!U24=0,"",MaGic_AVM_Land!U24),"")</f>
        <v/>
      </c>
      <c r="V24" s="70" t="str">
        <f>IF(V$2="Y",IF(MaGic_AVM_Land!V24=0,"",MaGic_AVM_Land!V24),"")</f>
        <v/>
      </c>
      <c r="W24" s="70" t="str">
        <f>IF(W$2="Y",IF(MaGic_AVM_Land!W24=0,"",MaGic_AVM_Land!W24),"")</f>
        <v/>
      </c>
      <c r="X24" s="70" t="str">
        <f>IF(X$2="Y",IF(MaGic_AVM_Land!X24=0,"",MaGic_AVM_Land!X24),"")</f>
        <v/>
      </c>
      <c r="Y24" s="70" t="str">
        <f>IF(Y$2="Y",IF(MaGic_AVM_Land!Y24=0,"",MaGic_AVM_Land!Y24),"")</f>
        <v/>
      </c>
      <c r="Z24" s="70" t="str">
        <f>IF(Z$2="Y",IF(MaGic_AVM_Land!Z24=0,"",MaGic_AVM_Land!Z24),"")</f>
        <v/>
      </c>
      <c r="AA24" s="69" t="str">
        <f>_xlfn.TEXTJOIN(", ",TRUE,AB24:AZ24)</f>
        <v/>
      </c>
      <c r="AB24" s="69" t="str" cm="1">
        <f t="array" ref="AB24">_xlfn.UNIQUE(C24:Z24,TRUE,FALSE)</f>
        <v/>
      </c>
    </row>
    <row r="25" spans="1:29">
      <c r="A25" s="70"/>
      <c r="B25" s="70" t="s">
        <v>168</v>
      </c>
      <c r="C25" s="70" t="str">
        <f>IF(C$2="Y",IF(MaGic_AVM_Land!C25=0,"",MaGic_AVM_Land!C25),"")</f>
        <v/>
      </c>
      <c r="D25" s="70" t="str">
        <f>IF(D$2="Y",IF(MaGic_AVM_Land!D25=0,"",MaGic_AVM_Land!D25),"")</f>
        <v/>
      </c>
      <c r="E25" s="70" t="str">
        <f>IF(E$2="Y",IF(MaGic_AVM_Land!E25=0,"",MaGic_AVM_Land!E25),"")</f>
        <v/>
      </c>
      <c r="F25" s="70" t="str">
        <f>IF(F$2="Y",IF(MaGic_AVM_Land!F25=0,"",MaGic_AVM_Land!F25),"")</f>
        <v/>
      </c>
      <c r="G25" s="70" t="str">
        <f>IF(G$2="Y",IF(MaGic_AVM_Land!G25=0,"",MaGic_AVM_Land!G25),"")</f>
        <v/>
      </c>
      <c r="H25" s="70" t="str">
        <f>IF(H$2="Y",IF(MaGic_AVM_Land!H25=0,"",MaGic_AVM_Land!H25),"")</f>
        <v/>
      </c>
      <c r="I25" s="70" t="str">
        <f>IF(I$2="Y",IF(MaGic_AVM_Land!I25=0,"",MaGic_AVM_Land!I25),"")</f>
        <v/>
      </c>
      <c r="J25" s="70" t="str">
        <f>IF(J$2="Y",IF(MaGic_AVM_Land!J25=0,"",MaGic_AVM_Land!J25),"")</f>
        <v/>
      </c>
      <c r="K25" s="70" t="str">
        <f>IF(K$2="Y",IF(MaGic_AVM_Land!K25=0,"",MaGic_AVM_Land!K25),"")</f>
        <v/>
      </c>
      <c r="L25" s="70" t="str">
        <f>IF(L$2="Y",IF(MaGic_AVM_Land!L25=0,"",MaGic_AVM_Land!L25),"")</f>
        <v/>
      </c>
      <c r="M25" s="70" t="str">
        <f>IF(M$2="Y",IF(MaGic_AVM_Land!M25=0,"",MaGic_AVM_Land!M25),"")</f>
        <v/>
      </c>
      <c r="N25" s="70" t="str">
        <f>IF(N$2="Y",IF(MaGic_AVM_Land!N25=0,"",MaGic_AVM_Land!N25),"")</f>
        <v/>
      </c>
      <c r="O25" s="70" t="str">
        <f>IF(O$2="Y",IF(MaGic_AVM_Land!O25=0,"",MaGic_AVM_Land!O25),"")</f>
        <v/>
      </c>
      <c r="P25" s="70" t="str">
        <f>IF(P$2="Y",IF(MaGic_AVM_Land!P25=0,"",MaGic_AVM_Land!P25),"")</f>
        <v/>
      </c>
      <c r="Q25" s="70" t="str">
        <f>IF(Q$2="Y",IF(MaGic_AVM_Land!Q25=0,"",MaGic_AVM_Land!Q25),"")</f>
        <v/>
      </c>
      <c r="R25" s="70" t="str">
        <f>IF(R$2="Y",IF(MaGic_AVM_Land!R25=0,"",MaGic_AVM_Land!R25),"")</f>
        <v/>
      </c>
      <c r="S25" s="70" t="str">
        <f>IF(S$2="Y",IF(MaGic_AVM_Land!S25=0,"",MaGic_AVM_Land!S25),"")</f>
        <v/>
      </c>
      <c r="T25" s="70" t="str">
        <f>IF(T$2="Y",IF(MaGic_AVM_Land!T25=0,"",MaGic_AVM_Land!T25),"")</f>
        <v/>
      </c>
      <c r="U25" s="70" t="str">
        <f>IF(U$2="Y",IF(MaGic_AVM_Land!U25=0,"",MaGic_AVM_Land!U25),"")</f>
        <v/>
      </c>
      <c r="V25" s="70" t="str">
        <f>IF(V$2="Y",IF(MaGic_AVM_Land!V25=0,"",MaGic_AVM_Land!V25),"")</f>
        <v/>
      </c>
      <c r="W25" s="70" t="str">
        <f>IF(W$2="Y",IF(MaGic_AVM_Land!W25=0,"",MaGic_AVM_Land!W25),"")</f>
        <v/>
      </c>
      <c r="X25" s="70" t="str">
        <f>IF(X$2="Y",IF(MaGic_AVM_Land!X25=0,"",MaGic_AVM_Land!X25),"")</f>
        <v/>
      </c>
      <c r="Y25" s="70" t="str">
        <f>IF(Y$2="Y",IF(MaGic_AVM_Land!Y25=0,"",MaGic_AVM_Land!Y25),"")</f>
        <v/>
      </c>
      <c r="Z25" s="70" t="str">
        <f>IF(Z$2="Y",IF(MaGic_AVM_Land!Z25=0,"",MaGic_AVM_Land!Z25),"")</f>
        <v/>
      </c>
      <c r="AB25" s="69" t="str" cm="1">
        <f t="array" ref="AB25">_xlfn.UNIQUE(C25:Z25,TRUE,FALSE)</f>
        <v/>
      </c>
    </row>
    <row r="26" spans="1:29" s="68" customFormat="1">
      <c r="A26" s="72">
        <v>24</v>
      </c>
      <c r="B26" s="72" t="s">
        <v>91</v>
      </c>
      <c r="C26" s="72" t="str">
        <f>IF(C$2="Y",IF(MaGic_AVM_Land!C26=0,"",MaGic_AVM_Land!C26),"")</f>
        <v/>
      </c>
      <c r="D26" s="72" t="str">
        <f>IF(D$2="Y",IF(MaGic_AVM_Land!D26=0,"",MaGic_AVM_Land!D26),"")</f>
        <v/>
      </c>
      <c r="E26" s="72" t="str">
        <f>IF(E$2="Y",IF(MaGic_AVM_Land!E26=0,"",MaGic_AVM_Land!E26),"")</f>
        <v/>
      </c>
      <c r="F26" s="72" t="str">
        <f>IF(F$2="Y",IF(MaGic_AVM_Land!F26=0,"",MaGic_AVM_Land!F26),"")</f>
        <v/>
      </c>
      <c r="G26" s="72" t="str">
        <f>IF(G$2="Y",IF(MaGic_AVM_Land!G26=0,"",MaGic_AVM_Land!G26),"")</f>
        <v/>
      </c>
      <c r="H26" s="72" t="str">
        <f>IF(H$2="Y",IF(MaGic_AVM_Land!H26=0,"",MaGic_AVM_Land!H26),"")</f>
        <v/>
      </c>
      <c r="I26" s="72" t="str">
        <f>IF(I$2="Y",IF(MaGic_AVM_Land!I26=0,"",MaGic_AVM_Land!I26),"")</f>
        <v/>
      </c>
      <c r="J26" s="72" t="str">
        <f>IF(J$2="Y",IF(MaGic_AVM_Land!J26=0,"",MaGic_AVM_Land!J26),"")</f>
        <v/>
      </c>
      <c r="K26" s="72" t="str">
        <f>IF(K$2="Y",IF(MaGic_AVM_Land!K26=0,"",MaGic_AVM_Land!K26),"")</f>
        <v/>
      </c>
      <c r="L26" s="72" t="str">
        <f>IF(L$2="Y",IF(MaGic_AVM_Land!L26=0,"",MaGic_AVM_Land!L26),"")</f>
        <v/>
      </c>
      <c r="M26" s="72" t="str">
        <f>IF(M$2="Y",IF(MaGic_AVM_Land!M26=0,"",MaGic_AVM_Land!M26),"")</f>
        <v/>
      </c>
      <c r="N26" s="72" t="str">
        <f>IF(N$2="Y",IF(MaGic_AVM_Land!N26=0,"",MaGic_AVM_Land!N26),"")</f>
        <v/>
      </c>
      <c r="O26" s="72" t="str">
        <f>IF(O$2="Y",IF(MaGic_AVM_Land!O26=0,"",MaGic_AVM_Land!O26),"")</f>
        <v/>
      </c>
      <c r="P26" s="72" t="str">
        <f>IF(P$2="Y",IF(MaGic_AVM_Land!P26=0,"",MaGic_AVM_Land!P26),"")</f>
        <v/>
      </c>
      <c r="Q26" s="72" t="str">
        <f>IF(Q$2="Y",IF(MaGic_AVM_Land!Q26=0,"",MaGic_AVM_Land!Q26),"")</f>
        <v/>
      </c>
      <c r="R26" s="72" t="str">
        <f>IF(R$2="Y",IF(MaGic_AVM_Land!R26=0,"",MaGic_AVM_Land!R26),"")</f>
        <v/>
      </c>
      <c r="S26" s="72" t="str">
        <f>IF(S$2="Y",IF(MaGic_AVM_Land!S26=0,"",MaGic_AVM_Land!S26),"")</f>
        <v/>
      </c>
      <c r="T26" s="72" t="str">
        <f>IF(T$2="Y",IF(MaGic_AVM_Land!T26=0,"",MaGic_AVM_Land!T26),"")</f>
        <v/>
      </c>
      <c r="U26" s="72" t="str">
        <f>IF(U$2="Y",IF(MaGic_AVM_Land!U26=0,"",MaGic_AVM_Land!U26),"")</f>
        <v/>
      </c>
      <c r="V26" s="72" t="str">
        <f>IF(V$2="Y",IF(MaGic_AVM_Land!V26=0,"",MaGic_AVM_Land!V26),"")</f>
        <v/>
      </c>
      <c r="W26" s="72" t="str">
        <f>IF(W$2="Y",IF(MaGic_AVM_Land!W26=0,"",MaGic_AVM_Land!W26),"")</f>
        <v/>
      </c>
      <c r="X26" s="72" t="str">
        <f>IF(X$2="Y",IF(MaGic_AVM_Land!X26=0,"",MaGic_AVM_Land!X26),"")</f>
        <v/>
      </c>
      <c r="Y26" s="72" t="str">
        <f>IF(Y$2="Y",IF(MaGic_AVM_Land!Y26=0,"",MaGic_AVM_Land!Y26),"")</f>
        <v/>
      </c>
      <c r="Z26" s="72" t="str">
        <f>IF(Z$2="Y",IF(MaGic_AVM_Land!Z26=0,"",MaGic_AVM_Land!Z26),"")</f>
        <v/>
      </c>
      <c r="AA26" s="68" t="str">
        <f>_xlfn.TEXTJOIN(" ,",TRUE,AB26:AZ26)</f>
        <v/>
      </c>
      <c r="AB26" s="68" t="str" cm="1">
        <f t="array" ref="AB26">_xlfn.UNIQUE(C26:Z26,TRUE,FALSE)</f>
        <v/>
      </c>
    </row>
    <row r="27" spans="1:29" s="68" customFormat="1">
      <c r="A27" s="72">
        <v>25</v>
      </c>
      <c r="B27" s="72" t="s">
        <v>94</v>
      </c>
      <c r="C27" s="72" t="str">
        <f>IF(C$2="Y",IF(MaGic_AVM_Land!C27=0,"",MaGic_AVM_Land!C27),"")</f>
        <v/>
      </c>
      <c r="D27" s="72" t="str">
        <f>IF(D$2="Y",IF(MaGic_AVM_Land!D27=0,"",MaGic_AVM_Land!D27),"")</f>
        <v/>
      </c>
      <c r="E27" s="72" t="str">
        <f>IF(E$2="Y",IF(MaGic_AVM_Land!E27=0,"",MaGic_AVM_Land!E27),"")</f>
        <v/>
      </c>
      <c r="F27" s="72" t="str">
        <f>IF(F$2="Y",IF(MaGic_AVM_Land!F27=0,"",MaGic_AVM_Land!F27),"")</f>
        <v/>
      </c>
      <c r="G27" s="72" t="str">
        <f>IF(G$2="Y",IF(MaGic_AVM_Land!G27=0,"",MaGic_AVM_Land!G27),"")</f>
        <v/>
      </c>
      <c r="H27" s="72" t="str">
        <f>IF(H$2="Y",IF(MaGic_AVM_Land!H27=0,"",MaGic_AVM_Land!H27),"")</f>
        <v/>
      </c>
      <c r="I27" s="72" t="str">
        <f>IF(I$2="Y",IF(MaGic_AVM_Land!I27=0,"",MaGic_AVM_Land!I27),"")</f>
        <v/>
      </c>
      <c r="J27" s="72" t="str">
        <f>IF(J$2="Y",IF(MaGic_AVM_Land!J27=0,"",MaGic_AVM_Land!J27),"")</f>
        <v/>
      </c>
      <c r="K27" s="72" t="str">
        <f>IF(K$2="Y",IF(MaGic_AVM_Land!K27=0,"",MaGic_AVM_Land!K27),"")</f>
        <v/>
      </c>
      <c r="L27" s="72" t="str">
        <f>IF(L$2="Y",IF(MaGic_AVM_Land!L27=0,"",MaGic_AVM_Land!L27),"")</f>
        <v/>
      </c>
      <c r="M27" s="72" t="str">
        <f>IF(M$2="Y",IF(MaGic_AVM_Land!M27=0,"",MaGic_AVM_Land!M27),"")</f>
        <v/>
      </c>
      <c r="N27" s="72" t="str">
        <f>IF(N$2="Y",IF(MaGic_AVM_Land!N27=0,"",MaGic_AVM_Land!N27),"")</f>
        <v/>
      </c>
      <c r="O27" s="72" t="str">
        <f>IF(O$2="Y",IF(MaGic_AVM_Land!O27=0,"",MaGic_AVM_Land!O27),"")</f>
        <v/>
      </c>
      <c r="P27" s="72" t="str">
        <f>IF(P$2="Y",IF(MaGic_AVM_Land!P27=0,"",MaGic_AVM_Land!P27),"")</f>
        <v/>
      </c>
      <c r="Q27" s="72" t="str">
        <f>IF(Q$2="Y",IF(MaGic_AVM_Land!Q27=0,"",MaGic_AVM_Land!Q27),"")</f>
        <v/>
      </c>
      <c r="R27" s="72" t="str">
        <f>IF(R$2="Y",IF(MaGic_AVM_Land!R27=0,"",MaGic_AVM_Land!R27),"")</f>
        <v/>
      </c>
      <c r="S27" s="72" t="str">
        <f>IF(S$2="Y",IF(MaGic_AVM_Land!S27=0,"",MaGic_AVM_Land!S27),"")</f>
        <v/>
      </c>
      <c r="T27" s="72" t="str">
        <f>IF(T$2="Y",IF(MaGic_AVM_Land!T27=0,"",MaGic_AVM_Land!T27),"")</f>
        <v/>
      </c>
      <c r="U27" s="72" t="str">
        <f>IF(U$2="Y",IF(MaGic_AVM_Land!U27=0,"",MaGic_AVM_Land!U27),"")</f>
        <v/>
      </c>
      <c r="V27" s="72" t="str">
        <f>IF(V$2="Y",IF(MaGic_AVM_Land!V27=0,"",MaGic_AVM_Land!V27),"")</f>
        <v/>
      </c>
      <c r="W27" s="72" t="str">
        <f>IF(W$2="Y",IF(MaGic_AVM_Land!W27=0,"",MaGic_AVM_Land!W27),"")</f>
        <v/>
      </c>
      <c r="X27" s="72" t="str">
        <f>IF(X$2="Y",IF(MaGic_AVM_Land!X27=0,"",MaGic_AVM_Land!X27),"")</f>
        <v/>
      </c>
      <c r="Y27" s="72" t="str">
        <f>IF(Y$2="Y",IF(MaGic_AVM_Land!Y27=0,"",MaGic_AVM_Land!Y27),"")</f>
        <v/>
      </c>
      <c r="Z27" s="72" t="str">
        <f>IF(Z$2="Y",IF(MaGic_AVM_Land!Z27=0,"",MaGic_AVM_Land!Z27),"")</f>
        <v/>
      </c>
      <c r="AA27" s="68" t="str">
        <f t="shared" ref="AA27:AA37" si="2">_xlfn.TEXTJOIN(" ,",TRUE,AB27:AZ27)</f>
        <v/>
      </c>
      <c r="AB27" s="68" t="str" cm="1">
        <f t="array" ref="AB27">_xlfn.UNIQUE(C27:Z27,TRUE,FALSE)</f>
        <v/>
      </c>
    </row>
    <row r="28" spans="1:29" s="68" customFormat="1">
      <c r="A28" s="72">
        <v>26</v>
      </c>
      <c r="B28" s="72" t="s">
        <v>97</v>
      </c>
      <c r="C28" s="72" t="str">
        <f>IF(C$2="Y",IF(MaGic_AVM_Land!C28=0,"",MaGic_AVM_Land!C28),"")</f>
        <v/>
      </c>
      <c r="D28" s="72" t="str">
        <f>IF(D$2="Y",IF(MaGic_AVM_Land!D28=0,"",MaGic_AVM_Land!D28),"")</f>
        <v/>
      </c>
      <c r="E28" s="72" t="str">
        <f>IF(E$2="Y",IF(MaGic_AVM_Land!E28=0,"",MaGic_AVM_Land!E28),"")</f>
        <v/>
      </c>
      <c r="F28" s="72" t="str">
        <f>IF(F$2="Y",IF(MaGic_AVM_Land!F28=0,"",MaGic_AVM_Land!F28),"")</f>
        <v/>
      </c>
      <c r="G28" s="72" t="str">
        <f>IF(G$2="Y",IF(MaGic_AVM_Land!G28=0,"",MaGic_AVM_Land!G28),"")</f>
        <v/>
      </c>
      <c r="H28" s="72" t="str">
        <f>IF(H$2="Y",IF(MaGic_AVM_Land!H28=0,"",MaGic_AVM_Land!H28),"")</f>
        <v/>
      </c>
      <c r="I28" s="72" t="str">
        <f>IF(I$2="Y",IF(MaGic_AVM_Land!I28=0,"",MaGic_AVM_Land!I28),"")</f>
        <v/>
      </c>
      <c r="J28" s="72" t="str">
        <f>IF(J$2="Y",IF(MaGic_AVM_Land!J28=0,"",MaGic_AVM_Land!J28),"")</f>
        <v/>
      </c>
      <c r="K28" s="72" t="str">
        <f>IF(K$2="Y",IF(MaGic_AVM_Land!K28=0,"",MaGic_AVM_Land!K28),"")</f>
        <v/>
      </c>
      <c r="L28" s="72" t="str">
        <f>IF(L$2="Y",IF(MaGic_AVM_Land!L28=0,"",MaGic_AVM_Land!L28),"")</f>
        <v/>
      </c>
      <c r="M28" s="72" t="str">
        <f>IF(M$2="Y",IF(MaGic_AVM_Land!M28=0,"",MaGic_AVM_Land!M28),"")</f>
        <v/>
      </c>
      <c r="N28" s="72" t="str">
        <f>IF(N$2="Y",IF(MaGic_AVM_Land!N28=0,"",MaGic_AVM_Land!N28),"")</f>
        <v/>
      </c>
      <c r="O28" s="72" t="str">
        <f>IF(O$2="Y",IF(MaGic_AVM_Land!O28=0,"",MaGic_AVM_Land!O28),"")</f>
        <v/>
      </c>
      <c r="P28" s="72" t="str">
        <f>IF(P$2="Y",IF(MaGic_AVM_Land!P28=0,"",MaGic_AVM_Land!P28),"")</f>
        <v/>
      </c>
      <c r="Q28" s="72" t="str">
        <f>IF(Q$2="Y",IF(MaGic_AVM_Land!Q28=0,"",MaGic_AVM_Land!Q28),"")</f>
        <v/>
      </c>
      <c r="R28" s="72" t="str">
        <f>IF(R$2="Y",IF(MaGic_AVM_Land!R28=0,"",MaGic_AVM_Land!R28),"")</f>
        <v/>
      </c>
      <c r="S28" s="72" t="str">
        <f>IF(S$2="Y",IF(MaGic_AVM_Land!S28=0,"",MaGic_AVM_Land!S28),"")</f>
        <v/>
      </c>
      <c r="T28" s="72" t="str">
        <f>IF(T$2="Y",IF(MaGic_AVM_Land!T28=0,"",MaGic_AVM_Land!T28),"")</f>
        <v/>
      </c>
      <c r="U28" s="72" t="str">
        <f>IF(U$2="Y",IF(MaGic_AVM_Land!U28=0,"",MaGic_AVM_Land!U28),"")</f>
        <v/>
      </c>
      <c r="V28" s="72" t="str">
        <f>IF(V$2="Y",IF(MaGic_AVM_Land!V28=0,"",MaGic_AVM_Land!V28),"")</f>
        <v/>
      </c>
      <c r="W28" s="72" t="str">
        <f>IF(W$2="Y",IF(MaGic_AVM_Land!W28=0,"",MaGic_AVM_Land!W28),"")</f>
        <v/>
      </c>
      <c r="X28" s="72" t="str">
        <f>IF(X$2="Y",IF(MaGic_AVM_Land!X28=0,"",MaGic_AVM_Land!X28),"")</f>
        <v/>
      </c>
      <c r="Y28" s="72" t="str">
        <f>IF(Y$2="Y",IF(MaGic_AVM_Land!Y28=0,"",MaGic_AVM_Land!Y28),"")</f>
        <v/>
      </c>
      <c r="Z28" s="72" t="str">
        <f>IF(Z$2="Y",IF(MaGic_AVM_Land!Z28=0,"",MaGic_AVM_Land!Z28),"")</f>
        <v/>
      </c>
      <c r="AA28" s="68" t="str">
        <f t="shared" si="2"/>
        <v/>
      </c>
      <c r="AB28" s="68" t="str" cm="1">
        <f t="array" ref="AB28">_xlfn.UNIQUE(C28:Z28,TRUE,FALSE)</f>
        <v/>
      </c>
    </row>
    <row r="29" spans="1:29" s="68" customFormat="1">
      <c r="A29" s="72">
        <v>27</v>
      </c>
      <c r="B29" s="72" t="s">
        <v>100</v>
      </c>
      <c r="C29" s="72" t="str">
        <f>IF(C$2="Y",IF(MaGic_AVM_Land!C29=0,"",MaGic_AVM_Land!C29),"")</f>
        <v/>
      </c>
      <c r="D29" s="72" t="str">
        <f>IF(D$2="Y",IF(MaGic_AVM_Land!D29=0,"",MaGic_AVM_Land!D29),"")</f>
        <v/>
      </c>
      <c r="E29" s="72" t="str">
        <f>IF(E$2="Y",IF(MaGic_AVM_Land!E29=0,"",MaGic_AVM_Land!E29),"")</f>
        <v/>
      </c>
      <c r="F29" s="72" t="str">
        <f>IF(F$2="Y",IF(MaGic_AVM_Land!F29=0,"",MaGic_AVM_Land!F29),"")</f>
        <v/>
      </c>
      <c r="G29" s="72" t="str">
        <f>IF(G$2="Y",IF(MaGic_AVM_Land!G29=0,"",MaGic_AVM_Land!G29),"")</f>
        <v/>
      </c>
      <c r="H29" s="72" t="str">
        <f>IF(H$2="Y",IF(MaGic_AVM_Land!H29=0,"",MaGic_AVM_Land!H29),"")</f>
        <v/>
      </c>
      <c r="I29" s="72" t="str">
        <f>IF(I$2="Y",IF(MaGic_AVM_Land!I29=0,"",MaGic_AVM_Land!I29),"")</f>
        <v/>
      </c>
      <c r="J29" s="72" t="str">
        <f>IF(J$2="Y",IF(MaGic_AVM_Land!J29=0,"",MaGic_AVM_Land!J29),"")</f>
        <v/>
      </c>
      <c r="K29" s="72" t="str">
        <f>IF(K$2="Y",IF(MaGic_AVM_Land!K29=0,"",MaGic_AVM_Land!K29),"")</f>
        <v/>
      </c>
      <c r="L29" s="72" t="str">
        <f>IF(L$2="Y",IF(MaGic_AVM_Land!L29=0,"",MaGic_AVM_Land!L29),"")</f>
        <v/>
      </c>
      <c r="M29" s="72" t="str">
        <f>IF(M$2="Y",IF(MaGic_AVM_Land!M29=0,"",MaGic_AVM_Land!M29),"")</f>
        <v/>
      </c>
      <c r="N29" s="72" t="str">
        <f>IF(N$2="Y",IF(MaGic_AVM_Land!N29=0,"",MaGic_AVM_Land!N29),"")</f>
        <v/>
      </c>
      <c r="O29" s="72" t="str">
        <f>IF(O$2="Y",IF(MaGic_AVM_Land!O29=0,"",MaGic_AVM_Land!O29),"")</f>
        <v/>
      </c>
      <c r="P29" s="72" t="str">
        <f>IF(P$2="Y",IF(MaGic_AVM_Land!P29=0,"",MaGic_AVM_Land!P29),"")</f>
        <v/>
      </c>
      <c r="Q29" s="72" t="str">
        <f>IF(Q$2="Y",IF(MaGic_AVM_Land!Q29=0,"",MaGic_AVM_Land!Q29),"")</f>
        <v/>
      </c>
      <c r="R29" s="72" t="str">
        <f>IF(R$2="Y",IF(MaGic_AVM_Land!R29=0,"",MaGic_AVM_Land!R29),"")</f>
        <v/>
      </c>
      <c r="S29" s="72" t="str">
        <f>IF(S$2="Y",IF(MaGic_AVM_Land!S29=0,"",MaGic_AVM_Land!S29),"")</f>
        <v/>
      </c>
      <c r="T29" s="72" t="str">
        <f>IF(T$2="Y",IF(MaGic_AVM_Land!T29=0,"",MaGic_AVM_Land!T29),"")</f>
        <v/>
      </c>
      <c r="U29" s="72" t="str">
        <f>IF(U$2="Y",IF(MaGic_AVM_Land!U29=0,"",MaGic_AVM_Land!U29),"")</f>
        <v/>
      </c>
      <c r="V29" s="72" t="str">
        <f>IF(V$2="Y",IF(MaGic_AVM_Land!V29=0,"",MaGic_AVM_Land!V29),"")</f>
        <v/>
      </c>
      <c r="W29" s="72" t="str">
        <f>IF(W$2="Y",IF(MaGic_AVM_Land!W29=0,"",MaGic_AVM_Land!W29),"")</f>
        <v/>
      </c>
      <c r="X29" s="72" t="str">
        <f>IF(X$2="Y",IF(MaGic_AVM_Land!X29=0,"",MaGic_AVM_Land!X29),"")</f>
        <v/>
      </c>
      <c r="Y29" s="72" t="str">
        <f>IF(Y$2="Y",IF(MaGic_AVM_Land!Y29=0,"",MaGic_AVM_Land!Y29),"")</f>
        <v/>
      </c>
      <c r="Z29" s="72" t="str">
        <f>IF(Z$2="Y",IF(MaGic_AVM_Land!Z29=0,"",MaGic_AVM_Land!Z29),"")</f>
        <v/>
      </c>
      <c r="AA29" s="68" t="str">
        <f t="shared" si="2"/>
        <v/>
      </c>
      <c r="AB29" s="68" t="str" cm="1">
        <f t="array" ref="AB29">_xlfn.UNIQUE(C29:Z29,TRUE,FALSE)</f>
        <v/>
      </c>
    </row>
    <row r="30" spans="1:29">
      <c r="A30" s="70">
        <v>28</v>
      </c>
      <c r="B30" s="70" t="s">
        <v>175</v>
      </c>
      <c r="C30" s="70" t="str">
        <f>IF(C$2="Y",IF(MaGic_AVM_Land!C30=0,"",MaGic_AVM_Land!C30),"")</f>
        <v/>
      </c>
      <c r="D30" s="70" t="str">
        <f>IF(D$2="Y",IF(MaGic_AVM_Land!D30=0,"",MaGic_AVM_Land!D30),"")</f>
        <v/>
      </c>
      <c r="E30" s="70" t="str">
        <f>IF(E$2="Y",IF(MaGic_AVM_Land!E30=0,"",MaGic_AVM_Land!E30),"")</f>
        <v/>
      </c>
      <c r="F30" s="70" t="str">
        <f>IF(F$2="Y",IF(MaGic_AVM_Land!F30=0,"",MaGic_AVM_Land!F30),"")</f>
        <v/>
      </c>
      <c r="G30" s="70" t="str">
        <f>IF(G$2="Y",IF(MaGic_AVM_Land!G30=0,"",MaGic_AVM_Land!G30),"")</f>
        <v/>
      </c>
      <c r="H30" s="70" t="str">
        <f>IF(H$2="Y",IF(MaGic_AVM_Land!H30=0,"",MaGic_AVM_Land!H30),"")</f>
        <v/>
      </c>
      <c r="I30" s="70" t="str">
        <f>IF(I$2="Y",IF(MaGic_AVM_Land!I30=0,"",MaGic_AVM_Land!I30),"")</f>
        <v/>
      </c>
      <c r="J30" s="70" t="str">
        <f>IF(J$2="Y",IF(MaGic_AVM_Land!J30=0,"",MaGic_AVM_Land!J30),"")</f>
        <v/>
      </c>
      <c r="K30" s="70" t="str">
        <f>IF(K$2="Y",IF(MaGic_AVM_Land!K30=0,"",MaGic_AVM_Land!K30),"")</f>
        <v/>
      </c>
      <c r="L30" s="70" t="str">
        <f>IF(L$2="Y",IF(MaGic_AVM_Land!L30=0,"",MaGic_AVM_Land!L30),"")</f>
        <v/>
      </c>
      <c r="M30" s="70" t="str">
        <f>IF(M$2="Y",IF(MaGic_AVM_Land!M30=0,"",MaGic_AVM_Land!M30),"")</f>
        <v/>
      </c>
      <c r="N30" s="70" t="str">
        <f>IF(N$2="Y",IF(MaGic_AVM_Land!N30=0,"",MaGic_AVM_Land!N30),"")</f>
        <v/>
      </c>
      <c r="O30" s="70" t="str">
        <f>IF(O$2="Y",IF(MaGic_AVM_Land!O30=0,"",MaGic_AVM_Land!O30),"")</f>
        <v/>
      </c>
      <c r="P30" s="70" t="str">
        <f>IF(P$2="Y",IF(MaGic_AVM_Land!P30=0,"",MaGic_AVM_Land!P30),"")</f>
        <v/>
      </c>
      <c r="Q30" s="70" t="str">
        <f>IF(Q$2="Y",IF(MaGic_AVM_Land!Q30=0,"",MaGic_AVM_Land!Q30),"")</f>
        <v/>
      </c>
      <c r="R30" s="70" t="str">
        <f>IF(R$2="Y",IF(MaGic_AVM_Land!R30=0,"",MaGic_AVM_Land!R30),"")</f>
        <v/>
      </c>
      <c r="S30" s="70" t="str">
        <f>IF(S$2="Y",IF(MaGic_AVM_Land!S30=0,"",MaGic_AVM_Land!S30),"")</f>
        <v/>
      </c>
      <c r="T30" s="70" t="str">
        <f>IF(T$2="Y",IF(MaGic_AVM_Land!T30=0,"",MaGic_AVM_Land!T30),"")</f>
        <v/>
      </c>
      <c r="U30" s="70" t="str">
        <f>IF(U$2="Y",IF(MaGic_AVM_Land!U30=0,"",MaGic_AVM_Land!U30),"")</f>
        <v/>
      </c>
      <c r="V30" s="70" t="str">
        <f>IF(V$2="Y",IF(MaGic_AVM_Land!V30=0,"",MaGic_AVM_Land!V30),"")</f>
        <v/>
      </c>
      <c r="W30" s="70" t="str">
        <f>IF(W$2="Y",IF(MaGic_AVM_Land!W30=0,"",MaGic_AVM_Land!W30),"")</f>
        <v/>
      </c>
      <c r="X30" s="70" t="str">
        <f>IF(X$2="Y",IF(MaGic_AVM_Land!X30=0,"",MaGic_AVM_Land!X30),"")</f>
        <v/>
      </c>
      <c r="Y30" s="70" t="str">
        <f>IF(Y$2="Y",IF(MaGic_AVM_Land!Y30=0,"",MaGic_AVM_Land!Y30),"")</f>
        <v/>
      </c>
      <c r="Z30" s="70" t="str">
        <f>IF(Z$2="Y",IF(MaGic_AVM_Land!Z30=0,"",MaGic_AVM_Land!Z30),"")</f>
        <v/>
      </c>
      <c r="AA30" s="68" t="str">
        <f t="shared" si="2"/>
        <v/>
      </c>
      <c r="AB30" s="69" t="str" cm="1">
        <f t="array" ref="AB30">_xlfn.UNIQUE(C30:Z30,TRUE,FALSE)</f>
        <v/>
      </c>
    </row>
    <row r="31" spans="1:29">
      <c r="A31" s="70">
        <v>29</v>
      </c>
      <c r="B31" s="70" t="s">
        <v>1103</v>
      </c>
      <c r="C31" s="70" t="str">
        <f>IF(C$2="Y",IF(MaGic_AVM_Land!C31=0,"",MaGic_AVM_Land!C31),"")</f>
        <v/>
      </c>
      <c r="D31" s="70" t="str">
        <f>IF(D$2="Y",IF(MaGic_AVM_Land!D31=0,"",MaGic_AVM_Land!D31),"")</f>
        <v/>
      </c>
      <c r="E31" s="70" t="str">
        <f>IF(E$2="Y",IF(MaGic_AVM_Land!E31=0,"",MaGic_AVM_Land!E31),"")</f>
        <v/>
      </c>
      <c r="F31" s="70" t="str">
        <f>IF(F$2="Y",IF(MaGic_AVM_Land!F31=0,"",MaGic_AVM_Land!F31),"")</f>
        <v/>
      </c>
      <c r="G31" s="70" t="str">
        <f>IF(G$2="Y",IF(MaGic_AVM_Land!G31=0,"",MaGic_AVM_Land!G31),"")</f>
        <v/>
      </c>
      <c r="H31" s="70" t="str">
        <f>IF(H$2="Y",IF(MaGic_AVM_Land!H31=0,"",MaGic_AVM_Land!H31),"")</f>
        <v/>
      </c>
      <c r="I31" s="70" t="str">
        <f>IF(I$2="Y",IF(MaGic_AVM_Land!I31=0,"",MaGic_AVM_Land!I31),"")</f>
        <v/>
      </c>
      <c r="J31" s="70" t="str">
        <f>IF(J$2="Y",IF(MaGic_AVM_Land!J31=0,"",MaGic_AVM_Land!J31),"")</f>
        <v/>
      </c>
      <c r="K31" s="70" t="str">
        <f>IF(K$2="Y",IF(MaGic_AVM_Land!K31=0,"",MaGic_AVM_Land!K31),"")</f>
        <v/>
      </c>
      <c r="L31" s="70" t="str">
        <f>IF(L$2="Y",IF(MaGic_AVM_Land!L31=0,"",MaGic_AVM_Land!L31),"")</f>
        <v/>
      </c>
      <c r="M31" s="70" t="str">
        <f>IF(M$2="Y",IF(MaGic_AVM_Land!M31=0,"",MaGic_AVM_Land!M31),"")</f>
        <v/>
      </c>
      <c r="N31" s="70" t="str">
        <f>IF(N$2="Y",IF(MaGic_AVM_Land!N31=0,"",MaGic_AVM_Land!N31),"")</f>
        <v/>
      </c>
      <c r="O31" s="70" t="str">
        <f>IF(O$2="Y",IF(MaGic_AVM_Land!O31=0,"",MaGic_AVM_Land!O31),"")</f>
        <v/>
      </c>
      <c r="P31" s="70" t="str">
        <f>IF(P$2="Y",IF(MaGic_AVM_Land!P31=0,"",MaGic_AVM_Land!P31),"")</f>
        <v/>
      </c>
      <c r="Q31" s="70" t="str">
        <f>IF(Q$2="Y",IF(MaGic_AVM_Land!Q31=0,"",MaGic_AVM_Land!Q31),"")</f>
        <v/>
      </c>
      <c r="R31" s="70" t="str">
        <f>IF(R$2="Y",IF(MaGic_AVM_Land!R31=0,"",MaGic_AVM_Land!R31),"")</f>
        <v/>
      </c>
      <c r="S31" s="70" t="str">
        <f>IF(S$2="Y",IF(MaGic_AVM_Land!S31=0,"",MaGic_AVM_Land!S31),"")</f>
        <v/>
      </c>
      <c r="T31" s="70" t="str">
        <f>IF(T$2="Y",IF(MaGic_AVM_Land!T31=0,"",MaGic_AVM_Land!T31),"")</f>
        <v/>
      </c>
      <c r="U31" s="70" t="str">
        <f>IF(U$2="Y",IF(MaGic_AVM_Land!U31=0,"",MaGic_AVM_Land!U31),"")</f>
        <v/>
      </c>
      <c r="V31" s="70" t="str">
        <f>IF(V$2="Y",IF(MaGic_AVM_Land!V31=0,"",MaGic_AVM_Land!V31),"")</f>
        <v/>
      </c>
      <c r="W31" s="70" t="str">
        <f>IF(W$2="Y",IF(MaGic_AVM_Land!W31=0,"",MaGic_AVM_Land!W31),"")</f>
        <v/>
      </c>
      <c r="X31" s="70" t="str">
        <f>IF(X$2="Y",IF(MaGic_AVM_Land!X31=0,"",MaGic_AVM_Land!X31),"")</f>
        <v/>
      </c>
      <c r="Y31" s="70" t="str">
        <f>IF(Y$2="Y",IF(MaGic_AVM_Land!Y31=0,"",MaGic_AVM_Land!Y31),"")</f>
        <v/>
      </c>
      <c r="Z31" s="70" t="str">
        <f>IF(Z$2="Y",IF(MaGic_AVM_Land!Z31=0,"",MaGic_AVM_Land!Z31),"")</f>
        <v/>
      </c>
      <c r="AA31" s="68" t="str">
        <f t="shared" si="2"/>
        <v/>
      </c>
      <c r="AB31" s="69" t="str" cm="1">
        <f t="array" ref="AB31">_xlfn.UNIQUE(C31:Z31,TRUE,FALSE)</f>
        <v/>
      </c>
    </row>
    <row r="32" spans="1:29">
      <c r="A32" s="70">
        <v>30</v>
      </c>
      <c r="B32" s="70" t="s">
        <v>1104</v>
      </c>
      <c r="C32" s="70" t="str">
        <f>IF(C$2="Y",IF(MaGic_AVM_Land!C32=0,"",MaGic_AVM_Land!C32),"")</f>
        <v/>
      </c>
      <c r="D32" s="70" t="str">
        <f>IF(D$2="Y",IF(MaGic_AVM_Land!D32=0,"",MaGic_AVM_Land!D32),"")</f>
        <v/>
      </c>
      <c r="E32" s="70" t="str">
        <f>IF(E$2="Y",IF(MaGic_AVM_Land!E32=0,"",MaGic_AVM_Land!E32),"")</f>
        <v/>
      </c>
      <c r="F32" s="70" t="str">
        <f>IF(F$2="Y",IF(MaGic_AVM_Land!F32=0,"",MaGic_AVM_Land!F32),"")</f>
        <v/>
      </c>
      <c r="G32" s="70" t="str">
        <f>IF(G$2="Y",IF(MaGic_AVM_Land!G32=0,"",MaGic_AVM_Land!G32),"")</f>
        <v/>
      </c>
      <c r="H32" s="70" t="str">
        <f>IF(H$2="Y",IF(MaGic_AVM_Land!H32=0,"",MaGic_AVM_Land!H32),"")</f>
        <v/>
      </c>
      <c r="I32" s="70" t="str">
        <f>IF(I$2="Y",IF(MaGic_AVM_Land!I32=0,"",MaGic_AVM_Land!I32),"")</f>
        <v/>
      </c>
      <c r="J32" s="70" t="str">
        <f>IF(J$2="Y",IF(MaGic_AVM_Land!J32=0,"",MaGic_AVM_Land!J32),"")</f>
        <v/>
      </c>
      <c r="K32" s="70" t="str">
        <f>IF(K$2="Y",IF(MaGic_AVM_Land!K32=0,"",MaGic_AVM_Land!K32),"")</f>
        <v/>
      </c>
      <c r="L32" s="70" t="str">
        <f>IF(L$2="Y",IF(MaGic_AVM_Land!L32=0,"",MaGic_AVM_Land!L32),"")</f>
        <v/>
      </c>
      <c r="M32" s="70" t="str">
        <f>IF(M$2="Y",IF(MaGic_AVM_Land!M32=0,"",MaGic_AVM_Land!M32),"")</f>
        <v/>
      </c>
      <c r="N32" s="70" t="str">
        <f>IF(N$2="Y",IF(MaGic_AVM_Land!N32=0,"",MaGic_AVM_Land!N32),"")</f>
        <v/>
      </c>
      <c r="O32" s="70" t="str">
        <f>IF(O$2="Y",IF(MaGic_AVM_Land!O32=0,"",MaGic_AVM_Land!O32),"")</f>
        <v/>
      </c>
      <c r="P32" s="70" t="str">
        <f>IF(P$2="Y",IF(MaGic_AVM_Land!P32=0,"",MaGic_AVM_Land!P32),"")</f>
        <v/>
      </c>
      <c r="Q32" s="70" t="str">
        <f>IF(Q$2="Y",IF(MaGic_AVM_Land!Q32=0,"",MaGic_AVM_Land!Q32),"")</f>
        <v/>
      </c>
      <c r="R32" s="70" t="str">
        <f>IF(R$2="Y",IF(MaGic_AVM_Land!R32=0,"",MaGic_AVM_Land!R32),"")</f>
        <v/>
      </c>
      <c r="S32" s="70" t="str">
        <f>IF(S$2="Y",IF(MaGic_AVM_Land!S32=0,"",MaGic_AVM_Land!S32),"")</f>
        <v/>
      </c>
      <c r="T32" s="70" t="str">
        <f>IF(T$2="Y",IF(MaGic_AVM_Land!T32=0,"",MaGic_AVM_Land!T32),"")</f>
        <v/>
      </c>
      <c r="U32" s="70" t="str">
        <f>IF(U$2="Y",IF(MaGic_AVM_Land!U32=0,"",MaGic_AVM_Land!U32),"")</f>
        <v/>
      </c>
      <c r="V32" s="70" t="str">
        <f>IF(V$2="Y",IF(MaGic_AVM_Land!V32=0,"",MaGic_AVM_Land!V32),"")</f>
        <v/>
      </c>
      <c r="W32" s="70" t="str">
        <f>IF(W$2="Y",IF(MaGic_AVM_Land!W32=0,"",MaGic_AVM_Land!W32),"")</f>
        <v/>
      </c>
      <c r="X32" s="70" t="str">
        <f>IF(X$2="Y",IF(MaGic_AVM_Land!X32=0,"",MaGic_AVM_Land!X32),"")</f>
        <v/>
      </c>
      <c r="Y32" s="70" t="str">
        <f>IF(Y$2="Y",IF(MaGic_AVM_Land!Y32=0,"",MaGic_AVM_Land!Y32),"")</f>
        <v/>
      </c>
      <c r="Z32" s="70" t="str">
        <f>IF(Z$2="Y",IF(MaGic_AVM_Land!Z32=0,"",MaGic_AVM_Land!Z32),"")</f>
        <v/>
      </c>
      <c r="AA32" s="73">
        <f>MIN(AB32:AZ32)</f>
        <v>0</v>
      </c>
      <c r="AB32" s="69" t="str" cm="1">
        <f t="array" ref="AB32">_xlfn.UNIQUE(C32:Z32,TRUE,FALSE)</f>
        <v/>
      </c>
    </row>
    <row r="33" spans="1:28">
      <c r="A33" s="70">
        <v>31</v>
      </c>
      <c r="B33" s="70" t="s">
        <v>1105</v>
      </c>
      <c r="C33" s="70" t="str">
        <f>IF(C$2="Y",IF(MaGic_AVM_Land!C33=0,"",MaGic_AVM_Land!C33),"")</f>
        <v/>
      </c>
      <c r="D33" s="70" t="str">
        <f>IF(D$2="Y",IF(MaGic_AVM_Land!D33=0,"",MaGic_AVM_Land!D33),"")</f>
        <v/>
      </c>
      <c r="E33" s="70" t="str">
        <f>IF(E$2="Y",IF(MaGic_AVM_Land!E33=0,"",MaGic_AVM_Land!E33),"")</f>
        <v/>
      </c>
      <c r="F33" s="70" t="str">
        <f>IF(F$2="Y",IF(MaGic_AVM_Land!F33=0,"",MaGic_AVM_Land!F33),"")</f>
        <v/>
      </c>
      <c r="G33" s="70" t="str">
        <f>IF(G$2="Y",IF(MaGic_AVM_Land!G33=0,"",MaGic_AVM_Land!G33),"")</f>
        <v/>
      </c>
      <c r="H33" s="70" t="str">
        <f>IF(H$2="Y",IF(MaGic_AVM_Land!H33=0,"",MaGic_AVM_Land!H33),"")</f>
        <v/>
      </c>
      <c r="I33" s="70" t="str">
        <f>IF(I$2="Y",IF(MaGic_AVM_Land!I33=0,"",MaGic_AVM_Land!I33),"")</f>
        <v/>
      </c>
      <c r="J33" s="70" t="str">
        <f>IF(J$2="Y",IF(MaGic_AVM_Land!J33=0,"",MaGic_AVM_Land!J33),"")</f>
        <v/>
      </c>
      <c r="K33" s="70" t="str">
        <f>IF(K$2="Y",IF(MaGic_AVM_Land!K33=0,"",MaGic_AVM_Land!K33),"")</f>
        <v/>
      </c>
      <c r="L33" s="70" t="str">
        <f>IF(L$2="Y",IF(MaGic_AVM_Land!L33=0,"",MaGic_AVM_Land!L33),"")</f>
        <v/>
      </c>
      <c r="M33" s="70" t="str">
        <f>IF(M$2="Y",IF(MaGic_AVM_Land!M33=0,"",MaGic_AVM_Land!M33),"")</f>
        <v/>
      </c>
      <c r="N33" s="70" t="str">
        <f>IF(N$2="Y",IF(MaGic_AVM_Land!N33=0,"",MaGic_AVM_Land!N33),"")</f>
        <v/>
      </c>
      <c r="O33" s="70" t="str">
        <f>IF(O$2="Y",IF(MaGic_AVM_Land!O33=0,"",MaGic_AVM_Land!O33),"")</f>
        <v/>
      </c>
      <c r="P33" s="70" t="str">
        <f>IF(P$2="Y",IF(MaGic_AVM_Land!P33=0,"",MaGic_AVM_Land!P33),"")</f>
        <v/>
      </c>
      <c r="Q33" s="70" t="str">
        <f>IF(Q$2="Y",IF(MaGic_AVM_Land!Q33=0,"",MaGic_AVM_Land!Q33),"")</f>
        <v/>
      </c>
      <c r="R33" s="70" t="str">
        <f>IF(R$2="Y",IF(MaGic_AVM_Land!R33=0,"",MaGic_AVM_Land!R33),"")</f>
        <v/>
      </c>
      <c r="S33" s="70" t="str">
        <f>IF(S$2="Y",IF(MaGic_AVM_Land!S33=0,"",MaGic_AVM_Land!S33),"")</f>
        <v/>
      </c>
      <c r="T33" s="70" t="str">
        <f>IF(T$2="Y",IF(MaGic_AVM_Land!T33=0,"",MaGic_AVM_Land!T33),"")</f>
        <v/>
      </c>
      <c r="U33" s="70" t="str">
        <f>IF(U$2="Y",IF(MaGic_AVM_Land!U33=0,"",MaGic_AVM_Land!U33),"")</f>
        <v/>
      </c>
      <c r="V33" s="70" t="str">
        <f>IF(V$2="Y",IF(MaGic_AVM_Land!V33=0,"",MaGic_AVM_Land!V33),"")</f>
        <v/>
      </c>
      <c r="W33" s="70" t="str">
        <f>IF(W$2="Y",IF(MaGic_AVM_Land!W33=0,"",MaGic_AVM_Land!W33),"")</f>
        <v/>
      </c>
      <c r="X33" s="70" t="str">
        <f>IF(X$2="Y",IF(MaGic_AVM_Land!X33=0,"",MaGic_AVM_Land!X33),"")</f>
        <v/>
      </c>
      <c r="Y33" s="70" t="str">
        <f>IF(Y$2="Y",IF(MaGic_AVM_Land!Y33=0,"",MaGic_AVM_Land!Y33),"")</f>
        <v/>
      </c>
      <c r="Z33" s="70" t="str">
        <f>IF(Z$2="Y",IF(MaGic_AVM_Land!Z33=0,"",MaGic_AVM_Land!Z33),"")</f>
        <v/>
      </c>
      <c r="AA33" s="68" t="str">
        <f t="shared" si="2"/>
        <v/>
      </c>
      <c r="AB33" s="69" t="str" cm="1">
        <f t="array" ref="AB33">_xlfn.UNIQUE(C33:Z33,TRUE,FALSE)</f>
        <v/>
      </c>
    </row>
    <row r="34" spans="1:28">
      <c r="A34" s="70"/>
      <c r="B34" s="70" t="s">
        <v>110</v>
      </c>
      <c r="C34" s="70" t="str">
        <f>IF(C$2="Y",IF(MaGic_AVM_Land!C34=0,"",MaGic_AVM_Land!C34),"")</f>
        <v/>
      </c>
      <c r="D34" s="70" t="str">
        <f>IF(D$2="Y",IF(MaGic_AVM_Land!D34=0,"",MaGic_AVM_Land!D34),"")</f>
        <v/>
      </c>
      <c r="E34" s="70" t="str">
        <f>IF(E$2="Y",IF(MaGic_AVM_Land!E34=0,"",MaGic_AVM_Land!E34),"")</f>
        <v/>
      </c>
      <c r="F34" s="70" t="str">
        <f>IF(F$2="Y",IF(MaGic_AVM_Land!F34=0,"",MaGic_AVM_Land!F34),"")</f>
        <v/>
      </c>
      <c r="G34" s="70" t="str">
        <f>IF(G$2="Y",IF(MaGic_AVM_Land!G34=0,"",MaGic_AVM_Land!G34),"")</f>
        <v/>
      </c>
      <c r="H34" s="70" t="str">
        <f>IF(H$2="Y",IF(MaGic_AVM_Land!H34=0,"",MaGic_AVM_Land!H34),"")</f>
        <v/>
      </c>
      <c r="I34" s="70" t="str">
        <f>IF(I$2="Y",IF(MaGic_AVM_Land!I34=0,"",MaGic_AVM_Land!I34),"")</f>
        <v/>
      </c>
      <c r="J34" s="70" t="str">
        <f>IF(J$2="Y",IF(MaGic_AVM_Land!J34=0,"",MaGic_AVM_Land!J34),"")</f>
        <v/>
      </c>
      <c r="K34" s="70" t="str">
        <f>IF(K$2="Y",IF(MaGic_AVM_Land!K34=0,"",MaGic_AVM_Land!K34),"")</f>
        <v/>
      </c>
      <c r="L34" s="70" t="str">
        <f>IF(L$2="Y",IF(MaGic_AVM_Land!L34=0,"",MaGic_AVM_Land!L34),"")</f>
        <v/>
      </c>
      <c r="M34" s="70" t="str">
        <f>IF(M$2="Y",IF(MaGic_AVM_Land!M34=0,"",MaGic_AVM_Land!M34),"")</f>
        <v/>
      </c>
      <c r="N34" s="70" t="str">
        <f>IF(N$2="Y",IF(MaGic_AVM_Land!N34=0,"",MaGic_AVM_Land!N34),"")</f>
        <v/>
      </c>
      <c r="O34" s="70" t="str">
        <f>IF(O$2="Y",IF(MaGic_AVM_Land!O34=0,"",MaGic_AVM_Land!O34),"")</f>
        <v/>
      </c>
      <c r="P34" s="70" t="str">
        <f>IF(P$2="Y",IF(MaGic_AVM_Land!P34=0,"",MaGic_AVM_Land!P34),"")</f>
        <v/>
      </c>
      <c r="Q34" s="70" t="str">
        <f>IF(Q$2="Y",IF(MaGic_AVM_Land!Q34=0,"",MaGic_AVM_Land!Q34),"")</f>
        <v/>
      </c>
      <c r="R34" s="70" t="str">
        <f>IF(R$2="Y",IF(MaGic_AVM_Land!R34=0,"",MaGic_AVM_Land!R34),"")</f>
        <v/>
      </c>
      <c r="S34" s="70" t="str">
        <f>IF(S$2="Y",IF(MaGic_AVM_Land!S34=0,"",MaGic_AVM_Land!S34),"")</f>
        <v/>
      </c>
      <c r="T34" s="70" t="str">
        <f>IF(T$2="Y",IF(MaGic_AVM_Land!T34=0,"",MaGic_AVM_Land!T34),"")</f>
        <v/>
      </c>
      <c r="U34" s="70" t="str">
        <f>IF(U$2="Y",IF(MaGic_AVM_Land!U34=0,"",MaGic_AVM_Land!U34),"")</f>
        <v/>
      </c>
      <c r="V34" s="70" t="str">
        <f>IF(V$2="Y",IF(MaGic_AVM_Land!V34=0,"",MaGic_AVM_Land!V34),"")</f>
        <v/>
      </c>
      <c r="W34" s="70" t="str">
        <f>IF(W$2="Y",IF(MaGic_AVM_Land!W34=0,"",MaGic_AVM_Land!W34),"")</f>
        <v/>
      </c>
      <c r="X34" s="70" t="str">
        <f>IF(X$2="Y",IF(MaGic_AVM_Land!X34=0,"",MaGic_AVM_Land!X34),"")</f>
        <v/>
      </c>
      <c r="Y34" s="70" t="str">
        <f>IF(Y$2="Y",IF(MaGic_AVM_Land!Y34=0,"",MaGic_AVM_Land!Y34),"")</f>
        <v/>
      </c>
      <c r="Z34" s="70" t="str">
        <f>IF(Z$2="Y",IF(MaGic_AVM_Land!Z34=0,"",MaGic_AVM_Land!Z34),"")</f>
        <v/>
      </c>
      <c r="AA34" s="68" t="str">
        <f t="shared" si="2"/>
        <v/>
      </c>
      <c r="AB34" s="69" t="str" cm="1">
        <f t="array" ref="AB34">_xlfn.UNIQUE(C34:Z34,TRUE,FALSE)</f>
        <v/>
      </c>
    </row>
    <row r="35" spans="1:28">
      <c r="A35" s="70">
        <v>1</v>
      </c>
      <c r="B35" s="70" t="s">
        <v>1106</v>
      </c>
      <c r="C35" s="70" t="str">
        <f>IF(C$2="Y",IF(MaGic_AVM_Land!C35=0,"",MaGic_AVM_Land!C35),"")</f>
        <v/>
      </c>
      <c r="D35" s="70" t="str">
        <f>IF(D$2="Y",IF(MaGic_AVM_Land!D35=0,"",MaGic_AVM_Land!D35),"")</f>
        <v/>
      </c>
      <c r="E35" s="70" t="str">
        <f>IF(E$2="Y",IF(MaGic_AVM_Land!E35=0,"",MaGic_AVM_Land!E35),"")</f>
        <v/>
      </c>
      <c r="F35" s="70" t="str">
        <f>IF(F$2="Y",IF(MaGic_AVM_Land!F35=0,"",MaGic_AVM_Land!F35),"")</f>
        <v/>
      </c>
      <c r="G35" s="70" t="str">
        <f>IF(G$2="Y",IF(MaGic_AVM_Land!G35=0,"",MaGic_AVM_Land!G35),"")</f>
        <v/>
      </c>
      <c r="H35" s="70" t="str">
        <f>IF(H$2="Y",IF(MaGic_AVM_Land!H35=0,"",MaGic_AVM_Land!H35),"")</f>
        <v/>
      </c>
      <c r="I35" s="70" t="str">
        <f>IF(I$2="Y",IF(MaGic_AVM_Land!I35=0,"",MaGic_AVM_Land!I35),"")</f>
        <v/>
      </c>
      <c r="J35" s="70" t="str">
        <f>IF(J$2="Y",IF(MaGic_AVM_Land!J35=0,"",MaGic_AVM_Land!J35),"")</f>
        <v/>
      </c>
      <c r="K35" s="70" t="str">
        <f>IF(K$2="Y",IF(MaGic_AVM_Land!K35=0,"",MaGic_AVM_Land!K35),"")</f>
        <v/>
      </c>
      <c r="L35" s="70" t="str">
        <f>IF(L$2="Y",IF(MaGic_AVM_Land!L35=0,"",MaGic_AVM_Land!L35),"")</f>
        <v/>
      </c>
      <c r="M35" s="70" t="str">
        <f>IF(M$2="Y",IF(MaGic_AVM_Land!M35=0,"",MaGic_AVM_Land!M35),"")</f>
        <v/>
      </c>
      <c r="N35" s="70" t="str">
        <f>IF(N$2="Y",IF(MaGic_AVM_Land!N35=0,"",MaGic_AVM_Land!N35),"")</f>
        <v/>
      </c>
      <c r="O35" s="70" t="str">
        <f>IF(O$2="Y",IF(MaGic_AVM_Land!O35=0,"",MaGic_AVM_Land!O35),"")</f>
        <v/>
      </c>
      <c r="P35" s="70" t="str">
        <f>IF(P$2="Y",IF(MaGic_AVM_Land!P35=0,"",MaGic_AVM_Land!P35),"")</f>
        <v/>
      </c>
      <c r="Q35" s="70" t="str">
        <f>IF(Q$2="Y",IF(MaGic_AVM_Land!Q35=0,"",MaGic_AVM_Land!Q35),"")</f>
        <v/>
      </c>
      <c r="R35" s="70" t="str">
        <f>IF(R$2="Y",IF(MaGic_AVM_Land!R35=0,"",MaGic_AVM_Land!R35),"")</f>
        <v/>
      </c>
      <c r="S35" s="70" t="str">
        <f>IF(S$2="Y",IF(MaGic_AVM_Land!S35=0,"",MaGic_AVM_Land!S35),"")</f>
        <v/>
      </c>
      <c r="T35" s="70" t="str">
        <f>IF(T$2="Y",IF(MaGic_AVM_Land!T35=0,"",MaGic_AVM_Land!T35),"")</f>
        <v/>
      </c>
      <c r="U35" s="70" t="str">
        <f>IF(U$2="Y",IF(MaGic_AVM_Land!U35=0,"",MaGic_AVM_Land!U35),"")</f>
        <v/>
      </c>
      <c r="V35" s="70" t="str">
        <f>IF(V$2="Y",IF(MaGic_AVM_Land!V35=0,"",MaGic_AVM_Land!V35),"")</f>
        <v/>
      </c>
      <c r="W35" s="70" t="str">
        <f>IF(W$2="Y",IF(MaGic_AVM_Land!W35=0,"",MaGic_AVM_Land!W35),"")</f>
        <v/>
      </c>
      <c r="X35" s="70" t="str">
        <f>IF(X$2="Y",IF(MaGic_AVM_Land!X35=0,"",MaGic_AVM_Land!X35),"")</f>
        <v/>
      </c>
      <c r="Y35" s="70" t="str">
        <f>IF(Y$2="Y",IF(MaGic_AVM_Land!Y35=0,"",MaGic_AVM_Land!Y35),"")</f>
        <v/>
      </c>
      <c r="Z35" s="70" t="str">
        <f>IF(Z$2="Y",IF(MaGic_AVM_Land!Z35=0,"",MaGic_AVM_Land!Z35),"")</f>
        <v/>
      </c>
      <c r="AA35" s="68" t="str">
        <f t="shared" si="2"/>
        <v/>
      </c>
      <c r="AB35" s="69" t="str" cm="1">
        <f t="array" ref="AB35">_xlfn.UNIQUE(C35:Z35,TRUE,FALSE)</f>
        <v/>
      </c>
    </row>
    <row r="36" spans="1:28">
      <c r="A36" s="70">
        <v>2</v>
      </c>
      <c r="B36" s="70" t="s">
        <v>112</v>
      </c>
      <c r="C36" s="70" t="str">
        <f>IF(C$2="Y",IF(MaGic_AVM_Land!C36=0,"",MaGic_AVM_Land!C36),"")</f>
        <v/>
      </c>
      <c r="D36" s="70" t="str">
        <f>IF(D$2="Y",IF(MaGic_AVM_Land!D36=0,"",MaGic_AVM_Land!D36),"")</f>
        <v/>
      </c>
      <c r="E36" s="70" t="str">
        <f>IF(E$2="Y",IF(MaGic_AVM_Land!E36=0,"",MaGic_AVM_Land!E36),"")</f>
        <v/>
      </c>
      <c r="F36" s="70" t="str">
        <f>IF(F$2="Y",IF(MaGic_AVM_Land!F36=0,"",MaGic_AVM_Land!F36),"")</f>
        <v/>
      </c>
      <c r="G36" s="70" t="str">
        <f>IF(G$2="Y",IF(MaGic_AVM_Land!G36=0,"",MaGic_AVM_Land!G36),"")</f>
        <v/>
      </c>
      <c r="H36" s="70" t="str">
        <f>IF(H$2="Y",IF(MaGic_AVM_Land!H36=0,"",MaGic_AVM_Land!H36),"")</f>
        <v/>
      </c>
      <c r="I36" s="70" t="str">
        <f>IF(I$2="Y",IF(MaGic_AVM_Land!I36=0,"",MaGic_AVM_Land!I36),"")</f>
        <v/>
      </c>
      <c r="J36" s="70" t="str">
        <f>IF(J$2="Y",IF(MaGic_AVM_Land!J36=0,"",MaGic_AVM_Land!J36),"")</f>
        <v/>
      </c>
      <c r="K36" s="70" t="str">
        <f>IF(K$2="Y",IF(MaGic_AVM_Land!K36=0,"",MaGic_AVM_Land!K36),"")</f>
        <v/>
      </c>
      <c r="L36" s="70" t="str">
        <f>IF(L$2="Y",IF(MaGic_AVM_Land!L36=0,"",MaGic_AVM_Land!L36),"")</f>
        <v/>
      </c>
      <c r="M36" s="70" t="str">
        <f>IF(M$2="Y",IF(MaGic_AVM_Land!M36=0,"",MaGic_AVM_Land!M36),"")</f>
        <v/>
      </c>
      <c r="N36" s="70" t="str">
        <f>IF(N$2="Y",IF(MaGic_AVM_Land!N36=0,"",MaGic_AVM_Land!N36),"")</f>
        <v/>
      </c>
      <c r="O36" s="70" t="str">
        <f>IF(O$2="Y",IF(MaGic_AVM_Land!O36=0,"",MaGic_AVM_Land!O36),"")</f>
        <v/>
      </c>
      <c r="P36" s="70" t="str">
        <f>IF(P$2="Y",IF(MaGic_AVM_Land!P36=0,"",MaGic_AVM_Land!P36),"")</f>
        <v/>
      </c>
      <c r="Q36" s="70" t="str">
        <f>IF(Q$2="Y",IF(MaGic_AVM_Land!Q36=0,"",MaGic_AVM_Land!Q36),"")</f>
        <v/>
      </c>
      <c r="R36" s="70" t="str">
        <f>IF(R$2="Y",IF(MaGic_AVM_Land!R36=0,"",MaGic_AVM_Land!R36),"")</f>
        <v/>
      </c>
      <c r="S36" s="70" t="str">
        <f>IF(S$2="Y",IF(MaGic_AVM_Land!S36=0,"",MaGic_AVM_Land!S36),"")</f>
        <v/>
      </c>
      <c r="T36" s="70" t="str">
        <f>IF(T$2="Y",IF(MaGic_AVM_Land!T36=0,"",MaGic_AVM_Land!T36),"")</f>
        <v/>
      </c>
      <c r="U36" s="70" t="str">
        <f>IF(U$2="Y",IF(MaGic_AVM_Land!U36=0,"",MaGic_AVM_Land!U36),"")</f>
        <v/>
      </c>
      <c r="V36" s="70" t="str">
        <f>IF(V$2="Y",IF(MaGic_AVM_Land!V36=0,"",MaGic_AVM_Land!V36),"")</f>
        <v/>
      </c>
      <c r="W36" s="70" t="str">
        <f>IF(W$2="Y",IF(MaGic_AVM_Land!W36=0,"",MaGic_AVM_Land!W36),"")</f>
        <v/>
      </c>
      <c r="X36" s="70" t="str">
        <f>IF(X$2="Y",IF(MaGic_AVM_Land!X36=0,"",MaGic_AVM_Land!X36),"")</f>
        <v/>
      </c>
      <c r="Y36" s="70" t="str">
        <f>IF(Y$2="Y",IF(MaGic_AVM_Land!Y36=0,"",MaGic_AVM_Land!Y36),"")</f>
        <v/>
      </c>
      <c r="Z36" s="70" t="str">
        <f>IF(Z$2="Y",IF(MaGic_AVM_Land!Z36=0,"",MaGic_AVM_Land!Z36),"")</f>
        <v/>
      </c>
      <c r="AA36" s="68" t="str">
        <f t="shared" si="2"/>
        <v/>
      </c>
      <c r="AB36" s="69" t="str" cm="1">
        <f t="array" ref="AB36">_xlfn.UNIQUE(C36:Z36,TRUE,FALSE)</f>
        <v/>
      </c>
    </row>
    <row r="37" spans="1:28">
      <c r="A37" s="70">
        <v>3</v>
      </c>
      <c r="B37" s="70" t="s">
        <v>113</v>
      </c>
      <c r="C37" s="70" t="str">
        <f>IF(C$2="Y",IF(MaGic_AVM_Land!C37=0,"",MaGic_AVM_Land!C37),"")</f>
        <v/>
      </c>
      <c r="D37" s="70" t="str">
        <f>IF(D$2="Y",IF(MaGic_AVM_Land!D37=0,"",MaGic_AVM_Land!D37),"")</f>
        <v/>
      </c>
      <c r="E37" s="70" t="str">
        <f>IF(E$2="Y",IF(MaGic_AVM_Land!E37=0,"",MaGic_AVM_Land!E37),"")</f>
        <v/>
      </c>
      <c r="F37" s="70" t="str">
        <f>IF(F$2="Y",IF(MaGic_AVM_Land!F37=0,"",MaGic_AVM_Land!F37),"")</f>
        <v/>
      </c>
      <c r="G37" s="70" t="str">
        <f>IF(G$2="Y",IF(MaGic_AVM_Land!G37=0,"",MaGic_AVM_Land!G37),"")</f>
        <v/>
      </c>
      <c r="H37" s="70" t="str">
        <f>IF(H$2="Y",IF(MaGic_AVM_Land!H37=0,"",MaGic_AVM_Land!H37),"")</f>
        <v/>
      </c>
      <c r="I37" s="70" t="str">
        <f>IF(I$2="Y",IF(MaGic_AVM_Land!I37=0,"",MaGic_AVM_Land!I37),"")</f>
        <v/>
      </c>
      <c r="J37" s="70" t="str">
        <f>IF(J$2="Y",IF(MaGic_AVM_Land!J37=0,"",MaGic_AVM_Land!J37),"")</f>
        <v/>
      </c>
      <c r="K37" s="70" t="str">
        <f>IF(K$2="Y",IF(MaGic_AVM_Land!K37=0,"",MaGic_AVM_Land!K37),"")</f>
        <v/>
      </c>
      <c r="L37" s="70" t="str">
        <f>IF(L$2="Y",IF(MaGic_AVM_Land!L37=0,"",MaGic_AVM_Land!L37),"")</f>
        <v/>
      </c>
      <c r="M37" s="70" t="str">
        <f>IF(M$2="Y",IF(MaGic_AVM_Land!M37=0,"",MaGic_AVM_Land!M37),"")</f>
        <v/>
      </c>
      <c r="N37" s="70" t="str">
        <f>IF(N$2="Y",IF(MaGic_AVM_Land!N37=0,"",MaGic_AVM_Land!N37),"")</f>
        <v/>
      </c>
      <c r="O37" s="70" t="str">
        <f>IF(O$2="Y",IF(MaGic_AVM_Land!O37=0,"",MaGic_AVM_Land!O37),"")</f>
        <v/>
      </c>
      <c r="P37" s="70" t="str">
        <f>IF(P$2="Y",IF(MaGic_AVM_Land!P37=0,"",MaGic_AVM_Land!P37),"")</f>
        <v/>
      </c>
      <c r="Q37" s="70" t="str">
        <f>IF(Q$2="Y",IF(MaGic_AVM_Land!Q37=0,"",MaGic_AVM_Land!Q37),"")</f>
        <v/>
      </c>
      <c r="R37" s="70" t="str">
        <f>IF(R$2="Y",IF(MaGic_AVM_Land!R37=0,"",MaGic_AVM_Land!R37),"")</f>
        <v/>
      </c>
      <c r="S37" s="70" t="str">
        <f>IF(S$2="Y",IF(MaGic_AVM_Land!S37=0,"",MaGic_AVM_Land!S37),"")</f>
        <v/>
      </c>
      <c r="T37" s="70" t="str">
        <f>IF(T$2="Y",IF(MaGic_AVM_Land!T37=0,"",MaGic_AVM_Land!T37),"")</f>
        <v/>
      </c>
      <c r="U37" s="70" t="str">
        <f>IF(U$2="Y",IF(MaGic_AVM_Land!U37=0,"",MaGic_AVM_Land!U37),"")</f>
        <v/>
      </c>
      <c r="V37" s="70" t="str">
        <f>IF(V$2="Y",IF(MaGic_AVM_Land!V37=0,"",MaGic_AVM_Land!V37),"")</f>
        <v/>
      </c>
      <c r="W37" s="70" t="str">
        <f>IF(W$2="Y",IF(MaGic_AVM_Land!W37=0,"",MaGic_AVM_Land!W37),"")</f>
        <v/>
      </c>
      <c r="X37" s="70" t="str">
        <f>IF(X$2="Y",IF(MaGic_AVM_Land!X37=0,"",MaGic_AVM_Land!X37),"")</f>
        <v/>
      </c>
      <c r="Y37" s="70" t="str">
        <f>IF(Y$2="Y",IF(MaGic_AVM_Land!Y37=0,"",MaGic_AVM_Land!Y37),"")</f>
        <v/>
      </c>
      <c r="Z37" s="70" t="str">
        <f>IF(Z$2="Y",IF(MaGic_AVM_Land!Z37=0,"",MaGic_AVM_Land!Z37),"")</f>
        <v/>
      </c>
      <c r="AA37" s="68" t="str">
        <f t="shared" si="2"/>
        <v/>
      </c>
      <c r="AB37" s="69" t="str" cm="1">
        <f t="array" ref="AB37">_xlfn.UNIQUE(C37:Z37,TRUE,FALSE)</f>
        <v/>
      </c>
    </row>
    <row r="38" spans="1:28">
      <c r="A38" s="70">
        <v>4</v>
      </c>
      <c r="B38" s="70" t="s">
        <v>114</v>
      </c>
      <c r="C38" s="70"/>
      <c r="D38" s="70"/>
      <c r="E38" s="70"/>
      <c r="F38" s="70"/>
      <c r="G38" s="70"/>
      <c r="H38" s="70"/>
      <c r="I38" s="70"/>
      <c r="J38" s="70"/>
      <c r="K38" s="70"/>
      <c r="L38" s="70"/>
      <c r="M38" s="70"/>
      <c r="N38" s="70"/>
      <c r="O38" s="70"/>
      <c r="P38" s="70"/>
      <c r="Q38" s="70"/>
      <c r="R38" s="70"/>
      <c r="S38" s="70"/>
      <c r="T38" s="70"/>
      <c r="U38" s="70"/>
      <c r="V38" s="70"/>
      <c r="W38" s="70"/>
      <c r="X38" s="70"/>
      <c r="Y38" s="70"/>
      <c r="Z38" s="70"/>
      <c r="AB38" s="69" cm="1">
        <f t="array" ref="AB38">_xlfn.UNIQUE(C38:Z38,TRUE,FALSE)</f>
        <v>0</v>
      </c>
    </row>
    <row r="39" spans="1:28">
      <c r="A39" s="70">
        <v>5</v>
      </c>
      <c r="B39" s="70" t="s">
        <v>115</v>
      </c>
      <c r="C39" s="70"/>
      <c r="D39" s="70"/>
      <c r="E39" s="70"/>
      <c r="F39" s="70"/>
      <c r="G39" s="70"/>
      <c r="H39" s="70"/>
      <c r="I39" s="70"/>
      <c r="J39" s="70"/>
      <c r="K39" s="70"/>
      <c r="L39" s="70"/>
      <c r="M39" s="70"/>
      <c r="N39" s="70"/>
      <c r="O39" s="70"/>
      <c r="P39" s="70"/>
      <c r="Q39" s="70"/>
      <c r="R39" s="70"/>
      <c r="S39" s="70"/>
      <c r="T39" s="70"/>
      <c r="U39" s="70"/>
      <c r="V39" s="70"/>
      <c r="W39" s="70"/>
      <c r="X39" s="70"/>
      <c r="Y39" s="70"/>
      <c r="Z39" s="70"/>
      <c r="AB39" s="69" cm="1">
        <f t="array" ref="AB39">_xlfn.UNIQUE(C39:Z39,TRUE,FALSE)</f>
        <v>0</v>
      </c>
    </row>
    <row r="40" spans="1:28">
      <c r="A40" s="70">
        <v>6</v>
      </c>
      <c r="B40" s="70" t="s">
        <v>116</v>
      </c>
      <c r="C40" s="70"/>
      <c r="D40" s="70"/>
      <c r="E40" s="70"/>
      <c r="F40" s="70"/>
      <c r="G40" s="70"/>
      <c r="H40" s="70"/>
      <c r="I40" s="70"/>
      <c r="J40" s="70"/>
      <c r="K40" s="70"/>
      <c r="L40" s="70"/>
      <c r="M40" s="70"/>
      <c r="N40" s="70"/>
      <c r="O40" s="70"/>
      <c r="P40" s="70"/>
      <c r="Q40" s="70"/>
      <c r="R40" s="70"/>
      <c r="S40" s="70"/>
      <c r="T40" s="70"/>
      <c r="U40" s="70"/>
      <c r="V40" s="70"/>
      <c r="W40" s="70"/>
      <c r="X40" s="70"/>
      <c r="Y40" s="70"/>
      <c r="Z40" s="70"/>
      <c r="AB40" s="69" cm="1">
        <f t="array" ref="AB40">_xlfn.UNIQUE(C40:Z40,TRUE,FALSE)</f>
        <v>0</v>
      </c>
    </row>
    <row r="41" spans="1:28">
      <c r="A41" s="70"/>
      <c r="B41" s="70" t="s">
        <v>117</v>
      </c>
      <c r="C41" s="70"/>
      <c r="D41" s="70"/>
      <c r="E41" s="70"/>
      <c r="F41" s="70"/>
      <c r="G41" s="70"/>
      <c r="H41" s="70"/>
      <c r="I41" s="70"/>
      <c r="J41" s="70"/>
      <c r="K41" s="70"/>
      <c r="L41" s="70"/>
      <c r="M41" s="70"/>
      <c r="N41" s="70"/>
      <c r="O41" s="70"/>
      <c r="P41" s="70"/>
      <c r="Q41" s="70"/>
      <c r="R41" s="70"/>
      <c r="S41" s="70"/>
      <c r="T41" s="70"/>
      <c r="U41" s="70"/>
      <c r="V41" s="70"/>
      <c r="W41" s="70"/>
      <c r="X41" s="70"/>
      <c r="Y41" s="70"/>
      <c r="Z41" s="70"/>
      <c r="AB41" s="69" cm="1">
        <f t="array" ref="AB41">_xlfn.UNIQUE(C41:Z41,TRUE,FALSE)</f>
        <v>0</v>
      </c>
    </row>
    <row r="42" spans="1:28">
      <c r="A42" s="70">
        <v>1</v>
      </c>
      <c r="B42" s="70" t="s">
        <v>118</v>
      </c>
      <c r="C42" s="70"/>
      <c r="D42" s="70"/>
      <c r="E42" s="70"/>
      <c r="F42" s="70"/>
      <c r="G42" s="70"/>
      <c r="H42" s="70"/>
      <c r="I42" s="70"/>
      <c r="J42" s="70"/>
      <c r="K42" s="70"/>
      <c r="L42" s="70"/>
      <c r="M42" s="70"/>
      <c r="N42" s="70"/>
      <c r="O42" s="70"/>
      <c r="P42" s="70"/>
      <c r="Q42" s="70"/>
      <c r="R42" s="70"/>
      <c r="S42" s="70"/>
      <c r="T42" s="70"/>
      <c r="U42" s="70"/>
      <c r="V42" s="70"/>
      <c r="W42" s="70"/>
      <c r="X42" s="70"/>
      <c r="Y42" s="70"/>
      <c r="Z42" s="70"/>
      <c r="AB42" s="69" cm="1">
        <f t="array" ref="AB42">_xlfn.UNIQUE(C42:Z42,TRUE,FALSE)</f>
        <v>0</v>
      </c>
    </row>
    <row r="43" spans="1:28">
      <c r="A43" s="70">
        <v>2</v>
      </c>
      <c r="B43" s="70" t="s">
        <v>119</v>
      </c>
      <c r="C43" s="70"/>
      <c r="D43" s="70"/>
      <c r="E43" s="70"/>
      <c r="F43" s="70"/>
      <c r="G43" s="70"/>
      <c r="H43" s="70"/>
      <c r="I43" s="70"/>
      <c r="J43" s="70"/>
      <c r="K43" s="70"/>
      <c r="L43" s="70"/>
      <c r="M43" s="70"/>
      <c r="N43" s="70"/>
      <c r="O43" s="70"/>
      <c r="P43" s="70"/>
      <c r="Q43" s="70"/>
      <c r="R43" s="70"/>
      <c r="S43" s="70"/>
      <c r="T43" s="70"/>
      <c r="U43" s="70"/>
      <c r="V43" s="70"/>
      <c r="W43" s="70"/>
      <c r="X43" s="70"/>
      <c r="Y43" s="70"/>
      <c r="Z43" s="70"/>
      <c r="AB43" s="69" cm="1">
        <f t="array" ref="AB43">_xlfn.UNIQUE(C43:Z43,TRUE,FALSE)</f>
        <v>0</v>
      </c>
    </row>
    <row r="44" spans="1:28">
      <c r="A44" s="70">
        <v>3</v>
      </c>
      <c r="B44" s="70" t="s">
        <v>120</v>
      </c>
      <c r="C44" s="70"/>
      <c r="D44" s="70"/>
      <c r="E44" s="70"/>
      <c r="F44" s="70"/>
      <c r="G44" s="70"/>
      <c r="H44" s="70"/>
      <c r="I44" s="70"/>
      <c r="J44" s="70"/>
      <c r="K44" s="70"/>
      <c r="L44" s="70"/>
      <c r="M44" s="70"/>
      <c r="N44" s="70"/>
      <c r="O44" s="70"/>
      <c r="P44" s="70"/>
      <c r="Q44" s="70"/>
      <c r="R44" s="70"/>
      <c r="S44" s="70"/>
      <c r="T44" s="70"/>
      <c r="U44" s="70"/>
      <c r="V44" s="70"/>
      <c r="W44" s="70"/>
      <c r="X44" s="70"/>
      <c r="Y44" s="70"/>
      <c r="Z44" s="70"/>
      <c r="AB44" s="69" cm="1">
        <f t="array" ref="AB44">_xlfn.UNIQUE(C44:Z44,TRUE,FALSE)</f>
        <v>0</v>
      </c>
    </row>
    <row r="45" spans="1:28">
      <c r="A45" s="70">
        <v>4</v>
      </c>
      <c r="B45" s="70" t="s">
        <v>121</v>
      </c>
      <c r="C45" s="70"/>
      <c r="D45" s="70"/>
      <c r="E45" s="70"/>
      <c r="F45" s="70"/>
      <c r="G45" s="70"/>
      <c r="H45" s="70"/>
      <c r="I45" s="70"/>
      <c r="J45" s="70"/>
      <c r="K45" s="70"/>
      <c r="L45" s="70"/>
      <c r="M45" s="70"/>
      <c r="N45" s="70"/>
      <c r="O45" s="70"/>
      <c r="P45" s="70"/>
      <c r="Q45" s="70"/>
      <c r="R45" s="70"/>
      <c r="S45" s="70"/>
      <c r="T45" s="70"/>
      <c r="U45" s="70"/>
      <c r="V45" s="70"/>
      <c r="W45" s="70"/>
      <c r="X45" s="70"/>
      <c r="Y45" s="70"/>
      <c r="Z45" s="70"/>
      <c r="AB45" s="69" cm="1">
        <f t="array" ref="AB45">_xlfn.UNIQUE(C45:Z45,TRUE,FALSE)</f>
        <v>0</v>
      </c>
    </row>
    <row r="46" spans="1:28" ht="48" customHeight="1"/>
    <row r="47" spans="1:28" hidden="1"/>
    <row r="48" spans="1:2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spans="3:30" hidden="1"/>
    <row r="98" spans="3:30" hidden="1"/>
    <row r="99" spans="3:30" hidden="1"/>
    <row r="100" spans="3:30" hidden="1"/>
    <row r="101" spans="3:30" ht="170.25" customHeight="1">
      <c r="C101" s="19" t="str">
        <f>IF(C23="","",CONCATENATE(C23," Ares of land in ",IF(C20="","",CONCATENATE($B$20,C20,", ")),IF(C21="","",CONCATENATE($B$21,C21,", ")),IF(C22="","",CONCATENATE($B$22,C22,", ")),IF(C17="","",CONCATENATE($B$17,C17,", ")),IF(C18="","",CONCATENATE($B$18,C18,", ")),IF(C19="","",CONCATENATE($B$19,C19,", ")),IF(C14="","",CONCATENATE($B$14,C14,", ")),IF(C15="","",CONCATENATE($B$15,C15,", ")),IF(C16="","",CONCATENATE($B$16,C16))))</f>
        <v/>
      </c>
      <c r="D101" s="19" t="str">
        <f>IF(D23="","",CONCATENATE(D23," Ares of land in ",IF(D20="","",CONCATENATE($B$20,D20,", ")),IF(D21="","",CONCATENATE($B$21,D21,", ")),IF(D22="","",CONCATENATE($B$22,D22,", ")),IF(D17="","",CONCATENATE($B$17,D17,", ")),IF(D18="","",CONCATENATE($B$18,D18,", ")),IF(D19="","",CONCATENATE($B$19,D19,", ")),IF(D14="","",CONCATENATE($B$14,D14,", ")),IF(D15="","",CONCATENATE($B$15,D15,", ")),IF(D16="","",CONCATENATE($B$16,D16))))</f>
        <v>2.1 Ares of land in Re-Sy Block No.3, Re-Sy No.254, Re-Sy Sub-Div No.2-1</v>
      </c>
      <c r="E101" s="19" t="str">
        <f t="shared" ref="E101:Z101" si="3">IF(E23="","",CONCATENATE(E23," Ares of land in ",IF(E20="","",CONCATENATE($B$20,E20,", ")),IF(E21="","",CONCATENATE($B$21,E21,", ")),IF(E22="","",CONCATENATE($B$22,E22,", ")),IF(E17="","",CONCATENATE($B$17,E17,", ")),IF(E18="","",CONCATENATE($B$18,E18,", ")),IF(E19="","",CONCATENATE($B$19,E19,", ")),IF(E14="","",CONCATENATE($B$14,E14,", ")),IF(E15="","",CONCATENATE($B$15,E15,", ")),IF(E16="","",CONCATENATE($B$16,E16))))</f>
        <v/>
      </c>
      <c r="F101" s="19" t="str">
        <f t="shared" si="3"/>
        <v/>
      </c>
      <c r="G101" s="19" t="str">
        <f t="shared" si="3"/>
        <v/>
      </c>
      <c r="H101" s="19" t="str">
        <f t="shared" si="3"/>
        <v/>
      </c>
      <c r="I101" s="19" t="str">
        <f t="shared" si="3"/>
        <v/>
      </c>
      <c r="J101" s="19" t="str">
        <f t="shared" si="3"/>
        <v/>
      </c>
      <c r="K101" s="19" t="str">
        <f t="shared" si="3"/>
        <v/>
      </c>
      <c r="L101" s="19" t="str">
        <f t="shared" si="3"/>
        <v/>
      </c>
      <c r="M101" s="19" t="str">
        <f t="shared" si="3"/>
        <v/>
      </c>
      <c r="N101" s="19" t="str">
        <f t="shared" si="3"/>
        <v/>
      </c>
      <c r="O101" s="19" t="str">
        <f t="shared" si="3"/>
        <v/>
      </c>
      <c r="P101" s="19" t="str">
        <f t="shared" si="3"/>
        <v/>
      </c>
      <c r="Q101" s="19" t="str">
        <f t="shared" si="3"/>
        <v/>
      </c>
      <c r="R101" s="19" t="str">
        <f t="shared" si="3"/>
        <v/>
      </c>
      <c r="S101" s="19" t="str">
        <f t="shared" si="3"/>
        <v/>
      </c>
      <c r="T101" s="19" t="str">
        <f t="shared" si="3"/>
        <v/>
      </c>
      <c r="U101" s="19" t="str">
        <f t="shared" si="3"/>
        <v/>
      </c>
      <c r="V101" s="19" t="str">
        <f t="shared" si="3"/>
        <v/>
      </c>
      <c r="W101" s="19" t="str">
        <f t="shared" si="3"/>
        <v/>
      </c>
      <c r="X101" s="19" t="str">
        <f t="shared" si="3"/>
        <v/>
      </c>
      <c r="Y101" s="19" t="str">
        <f t="shared" si="3"/>
        <v/>
      </c>
      <c r="Z101" s="19" t="str">
        <f t="shared" si="3"/>
        <v/>
      </c>
      <c r="AA101" s="19" t="str">
        <f>_xlfn.TEXTJOIN(" and ",TRUE,C101:Z101)</f>
        <v>2.1 Ares of land in Re-Sy Block No.3, Re-Sy No.254, Re-Sy Sub-Div No.2-1</v>
      </c>
    </row>
    <row r="102" spans="3:30">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v>0</v>
      </c>
      <c r="AA102" s="19" t="s">
        <v>212</v>
      </c>
    </row>
    <row r="103" spans="3:30" ht="29">
      <c r="Z103" s="19">
        <v>1</v>
      </c>
      <c r="AA103" s="19" t="str">
        <f>CONCATENATE(AA101," located in ",AA11,", ",AA10,", ",AA8,". ")</f>
        <v>2.1 Ares of land in Re-Sy Block No.3, Re-Sy No.254, Re-Sy Sub-Div No.2-1 located in  Village,  Taluk,  District.</v>
      </c>
    </row>
    <row r="104" spans="3:30" ht="146.25" customHeight="1">
      <c r="Z104" s="69">
        <v>2</v>
      </c>
      <c r="AA104" s="19" t="str">
        <f>CONCATENATE("A total of ",AA23," ares of land, comprising ",AA101," located in ",AA11,", ",AA10,", ",AA8,". ")</f>
        <v>A total of 2.1 ares of land, comprising 2.1 Ares of land in Re-Sy Block No.3, Re-Sy No.254, Re-Sy Sub-Div No.2-1 located in  Village,  Taluk,  District.</v>
      </c>
    </row>
    <row r="105" spans="3:30" ht="84.65" customHeight="1">
      <c r="Y105" s="477" t="s">
        <v>1107</v>
      </c>
      <c r="Z105" s="477"/>
      <c r="AA105" s="19" t="str">
        <f>IF(AA2&gt;2,AA104,VLOOKUP(AA2,Z102:AA104,2,FALSE))</f>
        <v>2.1 Ares of land in Re-Sy Block No.3, Re-Sy No.254, Re-Sy Sub-Div No.2-1 located in  Village,  Taluk,  District.</v>
      </c>
    </row>
    <row r="106" spans="3:30" ht="102" customHeight="1">
      <c r="T106" s="69">
        <v>2</v>
      </c>
      <c r="Y106" s="74" t="s">
        <v>1109</v>
      </c>
      <c r="Z106" s="74"/>
      <c r="AA106" s="66" t="s">
        <v>1110</v>
      </c>
    </row>
    <row r="107" spans="3:30" ht="79.150000000000006" customHeight="1">
      <c r="D107" s="69">
        <v>0</v>
      </c>
      <c r="W107" s="69" t="s">
        <v>102</v>
      </c>
      <c r="X107" s="69">
        <v>1</v>
      </c>
      <c r="Y107" s="477" t="str">
        <f>IF(ISNUMBER(SEARCH("Nil",$AA$30)),1,"0")</f>
        <v>0</v>
      </c>
      <c r="Z107" s="477"/>
      <c r="AA107" s="66" t="s">
        <v>1111</v>
      </c>
    </row>
    <row r="108" spans="3:30" ht="53.15" customHeight="1">
      <c r="W108" s="69" t="s">
        <v>103</v>
      </c>
      <c r="X108" s="69">
        <v>2</v>
      </c>
      <c r="Y108" s="477" t="str">
        <f>IF(ISNUMBER(SEARCH("Footway",$AA$30)),2,"0")</f>
        <v>0</v>
      </c>
      <c r="Z108" s="477"/>
      <c r="AA108" s="66" t="s">
        <v>1112</v>
      </c>
    </row>
    <row r="109" spans="3:30" ht="87">
      <c r="W109" s="69" t="s">
        <v>104</v>
      </c>
      <c r="X109" s="69">
        <v>3</v>
      </c>
      <c r="Y109" s="477" t="str">
        <f>IF(ISNUMBER(SEARCH("Private",$AA$30)),3,"0")</f>
        <v>0</v>
      </c>
      <c r="Z109" s="477"/>
      <c r="AA109" s="66" t="str">
        <f>_xlfn.TEXTJOIN(" ",TRUE,AB109:AD109)</f>
        <v>The title deed indicates that the property has right of access over a private road. However, No information regarding the width of the private road is provided in the title deed.</v>
      </c>
      <c r="AB109" s="19" t="s">
        <v>1113</v>
      </c>
      <c r="AC109" s="19" t="str">
        <f>IF(AA32=0,"However, No information regarding the width of the private road is provided in the title deed.",CONCATENATE("According to the title deed, this road has a width of ",AA32," meters."))</f>
        <v>However, No information regarding the width of the private road is provided in the title deed.</v>
      </c>
      <c r="AD109" s="19"/>
    </row>
    <row r="110" spans="3:30" ht="29">
      <c r="W110" s="69" t="s">
        <v>203</v>
      </c>
      <c r="X110" s="69">
        <v>4</v>
      </c>
      <c r="Y110" s="477" t="str">
        <f>IF(ISNUMBER(SEARCH("Panchayat",$AA$30)),4,"0")</f>
        <v>0</v>
      </c>
      <c r="Z110" s="477"/>
      <c r="AA110" s="66" t="s">
        <v>1114</v>
      </c>
    </row>
    <row r="111" spans="3:30" ht="29">
      <c r="W111" s="69" t="s">
        <v>196</v>
      </c>
      <c r="X111" s="69">
        <v>5</v>
      </c>
      <c r="Y111" s="477" t="str">
        <f>IF(ISNUMBER(SEARCH("Municipality",$AA$30)),5,"0")</f>
        <v>0</v>
      </c>
      <c r="Z111" s="477"/>
      <c r="AA111" s="66" t="s">
        <v>1115</v>
      </c>
    </row>
    <row r="112" spans="3:30" ht="29">
      <c r="W112" s="69" t="s">
        <v>188</v>
      </c>
      <c r="X112" s="69">
        <v>6</v>
      </c>
      <c r="Y112" s="477" t="str">
        <f>IF(ISNUMBER(SEARCH("Corporation",$AA$30)),6,"0")</f>
        <v>0</v>
      </c>
      <c r="Z112" s="477"/>
      <c r="AA112" s="66" t="s">
        <v>1116</v>
      </c>
    </row>
    <row r="113" spans="23:27" ht="29">
      <c r="W113" s="69" t="s">
        <v>218</v>
      </c>
      <c r="X113" s="69">
        <v>7</v>
      </c>
      <c r="Y113" s="477" t="str">
        <f>IF(ISNUMBER(SEARCH("PWD",$AA$30)),7,"0")</f>
        <v>0</v>
      </c>
      <c r="Z113" s="477"/>
      <c r="AA113" s="66" t="s">
        <v>1117</v>
      </c>
    </row>
    <row r="114" spans="23:27" ht="29">
      <c r="W114" s="69" t="s">
        <v>221</v>
      </c>
      <c r="X114" s="69">
        <v>8</v>
      </c>
      <c r="Y114" s="477" t="str">
        <f>IF(ISNUMBER(SEARCH("SH",$AA$30)),8,"0")</f>
        <v>0</v>
      </c>
      <c r="Z114" s="477"/>
      <c r="AA114" s="66" t="s">
        <v>1118</v>
      </c>
    </row>
    <row r="115" spans="23:27" ht="29">
      <c r="W115" s="69" t="s">
        <v>224</v>
      </c>
      <c r="X115" s="69">
        <v>9</v>
      </c>
      <c r="Y115" s="477" t="str">
        <f>IF(ISNUMBER(SEARCH("NH",$AA$30)),9,"0")</f>
        <v>0</v>
      </c>
      <c r="Z115" s="477"/>
      <c r="AA115" s="66" t="s">
        <v>1119</v>
      </c>
    </row>
    <row r="116" spans="23:27" ht="65.650000000000006" customHeight="1">
      <c r="W116" s="69" t="s">
        <v>1120</v>
      </c>
      <c r="Y116" s="477">
        <f>MAX(Y107:Z115)</f>
        <v>0</v>
      </c>
      <c r="Z116" s="477"/>
      <c r="AA116" s="19" t="e">
        <f>VLOOKUP(Y116,X107:AA115,4,FALSE)</f>
        <v>#N/A</v>
      </c>
    </row>
    <row r="117" spans="23:27" ht="55.15" customHeight="1">
      <c r="Y117" s="477"/>
      <c r="Z117" s="477"/>
      <c r="AA117" s="69" t="str">
        <f>IF(Y116=4,X117,"")</f>
        <v/>
      </c>
    </row>
    <row r="118" spans="23:27">
      <c r="Y118" s="477"/>
      <c r="Z118" s="477"/>
    </row>
    <row r="119" spans="23:27">
      <c r="Y119" s="477"/>
      <c r="Z119" s="477"/>
    </row>
    <row r="120" spans="23:27">
      <c r="Y120" s="477"/>
      <c r="Z120" s="477"/>
    </row>
  </sheetData>
  <mergeCells count="15">
    <mergeCell ref="Y105:Z105"/>
    <mergeCell ref="Y107:Z107"/>
    <mergeCell ref="Y108:Z108"/>
    <mergeCell ref="Y109:Z109"/>
    <mergeCell ref="Y110:Z110"/>
    <mergeCell ref="Y111:Z111"/>
    <mergeCell ref="Y112:Z112"/>
    <mergeCell ref="Y113:Z113"/>
    <mergeCell ref="Y114:Z114"/>
    <mergeCell ref="Y115:Z115"/>
    <mergeCell ref="Y116:Z116"/>
    <mergeCell ref="Y117:Z117"/>
    <mergeCell ref="Y118:Z118"/>
    <mergeCell ref="Y119:Z119"/>
    <mergeCell ref="Y120:Z120"/>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2:AD117"/>
  <sheetViews>
    <sheetView topLeftCell="O7" workbookViewId="0">
      <selection activeCell="AA24" sqref="AA24"/>
    </sheetView>
  </sheetViews>
  <sheetFormatPr defaultColWidth="9.26953125" defaultRowHeight="14.5"/>
  <cols>
    <col min="1" max="1" width="3" style="69" customWidth="1"/>
    <col min="2" max="2" width="23.26953125" style="69" customWidth="1"/>
    <col min="3" max="3" width="11.54296875" style="69" customWidth="1"/>
    <col min="4" max="4" width="14" style="69" customWidth="1"/>
    <col min="5" max="5" width="11.54296875" style="69" customWidth="1"/>
    <col min="6" max="26" width="9.26953125" style="69"/>
    <col min="27" max="27" width="52.7265625" style="69" customWidth="1"/>
    <col min="28" max="28" width="38.54296875" style="69" customWidth="1"/>
    <col min="29" max="29" width="25.26953125" style="69" customWidth="1"/>
    <col min="30" max="30" width="49.26953125" style="69" customWidth="1"/>
    <col min="31" max="31" width="29.26953125" style="69" customWidth="1"/>
    <col min="32" max="16384" width="9.26953125" style="69"/>
  </cols>
  <sheetData>
    <row r="2" spans="1:29">
      <c r="A2" s="70"/>
      <c r="B2" s="70"/>
      <c r="C2" s="70" t="str">
        <f>IF(MaGic_AVM_Land!C2="Land Tax Receipt","Y","N")</f>
        <v>N</v>
      </c>
      <c r="D2" s="70" t="str">
        <f>IF(MaGic_AVM_Land!D2="Land Tax Receipt","Y","N")</f>
        <v>N</v>
      </c>
      <c r="E2" s="70" t="str">
        <f>IF(MaGic_AVM_Land!E2="Land Tax Receipt","Y","N")</f>
        <v>N</v>
      </c>
      <c r="F2" s="70" t="str">
        <f>IF(MaGic_AVM_Land!F2="Land Tax Receipt","Y","N")</f>
        <v>Y</v>
      </c>
      <c r="G2" s="70" t="str">
        <f>IF(MaGic_AVM_Land!G2="Land Tax Receipt","Y","N")</f>
        <v>N</v>
      </c>
      <c r="H2" s="70" t="str">
        <f>IF(MaGic_AVM_Land!H2="Land Tax Receipt","Y","N")</f>
        <v>N</v>
      </c>
      <c r="I2" s="70" t="str">
        <f>IF(MaGic_AVM_Land!I2="Land Tax Receipt","Y","N")</f>
        <v>N</v>
      </c>
      <c r="J2" s="70" t="str">
        <f>IF(MaGic_AVM_Land!J2="Land Tax Receipt","Y","N")</f>
        <v>N</v>
      </c>
      <c r="K2" s="70" t="str">
        <f>IF(MaGic_AVM_Land!K2="Land Tax Receipt","Y","N")</f>
        <v>N</v>
      </c>
      <c r="L2" s="70" t="str">
        <f>IF(MaGic_AVM_Land!L2="Land Tax Receipt","Y","N")</f>
        <v>N</v>
      </c>
      <c r="M2" s="70" t="str">
        <f>IF(MaGic_AVM_Land!M2="Land Tax Receipt","Y","N")</f>
        <v>N</v>
      </c>
      <c r="N2" s="70" t="str">
        <f>IF(MaGic_AVM_Land!N2="Land Tax Receipt","Y","N")</f>
        <v>N</v>
      </c>
      <c r="O2" s="70" t="str">
        <f>IF(MaGic_AVM_Land!O2="Land Tax Receipt","Y","N")</f>
        <v>N</v>
      </c>
      <c r="P2" s="70" t="str">
        <f>IF(MaGic_AVM_Land!P2="Land Tax Receipt","Y","N")</f>
        <v>N</v>
      </c>
      <c r="Q2" s="70" t="str">
        <f>IF(MaGic_AVM_Land!Q2="Land Tax Receipt","Y","N")</f>
        <v>N</v>
      </c>
      <c r="R2" s="70" t="str">
        <f>IF(MaGic_AVM_Land!R2="Land Tax Receipt","Y","N")</f>
        <v>N</v>
      </c>
      <c r="S2" s="70" t="str">
        <f>IF(MaGic_AVM_Land!S2="Land Tax Receipt","Y","N")</f>
        <v>N</v>
      </c>
      <c r="T2" s="70" t="str">
        <f>IF(MaGic_AVM_Land!T2="Land Tax Receipt","Y","N")</f>
        <v>N</v>
      </c>
      <c r="U2" s="70" t="str">
        <f>IF(MaGic_AVM_Land!U2="Land Tax Receipt","Y","N")</f>
        <v>N</v>
      </c>
      <c r="V2" s="70" t="str">
        <f>IF(MaGic_AVM_Land!V2="Land Tax Receipt","Y","N")</f>
        <v>N</v>
      </c>
      <c r="W2" s="70" t="str">
        <f>IF(MaGic_AVM_Land!W2="Land Tax Receipt","Y","N")</f>
        <v>N</v>
      </c>
      <c r="X2" s="70" t="str">
        <f>IF(MaGic_AVM_Land!X2="Land Tax Receipt","Y","N")</f>
        <v>N</v>
      </c>
      <c r="Y2" s="70" t="str">
        <f>IF(MaGic_AVM_Land!Y2="Land Tax Receipt","Y","N")</f>
        <v>N</v>
      </c>
      <c r="Z2" s="70" t="str">
        <f>IF(MaGic_AVM_Land!Z2="Land Tax Receipt","Y","N")</f>
        <v>N</v>
      </c>
      <c r="AA2" s="69">
        <f>COUNTIF(C2:Z2,"Y")</f>
        <v>1</v>
      </c>
      <c r="AB2" s="69" t="str" cm="1">
        <f t="array" ref="AB2:AC2">_xlfn.UNIQUE(C2:Z2,TRUE,FALSE)</f>
        <v>N</v>
      </c>
      <c r="AC2" s="69" t="str">
        <v>Y</v>
      </c>
    </row>
    <row r="3" spans="1:29">
      <c r="A3" s="70">
        <v>1</v>
      </c>
      <c r="B3" s="70" t="s">
        <v>48</v>
      </c>
      <c r="C3" s="70" t="str">
        <f>IF(C$2="Y",IF(MaGic_AVM_Land!C3=0,"",MaGic_AVM_Land!C3),"")</f>
        <v/>
      </c>
      <c r="D3" s="70" t="str">
        <f>IF(D$2="Y",IF(MaGic_AVM_Land!D3=0,"",MaGic_AVM_Land!D3),"")</f>
        <v/>
      </c>
      <c r="E3" s="70" t="str">
        <f>IF(E$2="Y",IF(MaGic_AVM_Land!E3=0,"",MaGic_AVM_Land!E3),"")</f>
        <v/>
      </c>
      <c r="F3" s="70" t="str">
        <f>IF(F$2="Y",IF(MaGic_AVM_Land!F3=0,"",MaGic_AVM_Land!F3),"")</f>
        <v>153/2022</v>
      </c>
      <c r="G3" s="70" t="str">
        <f>IF(G$2="Y",IF(MaGic_AVM_Land!G3=0,"",MaGic_AVM_Land!G3),"")</f>
        <v/>
      </c>
      <c r="H3" s="70" t="str">
        <f>IF(H$2="Y",IF(MaGic_AVM_Land!H3=0,"",MaGic_AVM_Land!H3),"")</f>
        <v/>
      </c>
      <c r="I3" s="70" t="str">
        <f>IF(I$2="Y",IF(MaGic_AVM_Land!I3=0,"",MaGic_AVM_Land!I3),"")</f>
        <v/>
      </c>
      <c r="J3" s="70" t="str">
        <f>IF(J$2="Y",IF(MaGic_AVM_Land!J3=0,"",MaGic_AVM_Land!J3),"")</f>
        <v/>
      </c>
      <c r="K3" s="70" t="str">
        <f>IF(K$2="Y",IF(MaGic_AVM_Land!K3=0,"",MaGic_AVM_Land!K3),"")</f>
        <v/>
      </c>
      <c r="L3" s="70" t="str">
        <f>IF(L$2="Y",IF(MaGic_AVM_Land!L3=0,"",MaGic_AVM_Land!L3),"")</f>
        <v/>
      </c>
      <c r="M3" s="70" t="str">
        <f>IF(M$2="Y",IF(MaGic_AVM_Land!M3=0,"",MaGic_AVM_Land!M3),"")</f>
        <v/>
      </c>
      <c r="N3" s="70" t="str">
        <f>IF(N$2="Y",IF(MaGic_AVM_Land!N3=0,"",MaGic_AVM_Land!N3),"")</f>
        <v/>
      </c>
      <c r="O3" s="70" t="str">
        <f>IF(O$2="Y",IF(MaGic_AVM_Land!O3=0,"",MaGic_AVM_Land!O3),"")</f>
        <v/>
      </c>
      <c r="P3" s="70" t="str">
        <f>IF(P$2="Y",IF(MaGic_AVM_Land!P3=0,"",MaGic_AVM_Land!P3),"")</f>
        <v/>
      </c>
      <c r="Q3" s="70" t="str">
        <f>IF(Q$2="Y",IF(MaGic_AVM_Land!Q3=0,"",MaGic_AVM_Land!Q3),"")</f>
        <v/>
      </c>
      <c r="R3" s="70" t="str">
        <f>IF(R$2="Y",IF(MaGic_AVM_Land!R3=0,"",MaGic_AVM_Land!R3),"")</f>
        <v/>
      </c>
      <c r="S3" s="70" t="str">
        <f>IF(S$2="Y",IF(MaGic_AVM_Land!S3=0,"",MaGic_AVM_Land!S3),"")</f>
        <v/>
      </c>
      <c r="T3" s="70" t="str">
        <f>IF(T$2="Y",IF(MaGic_AVM_Land!T3=0,"",MaGic_AVM_Land!T3),"")</f>
        <v/>
      </c>
      <c r="U3" s="70" t="str">
        <f>IF(U$2="Y",IF(MaGic_AVM_Land!U3=0,"",MaGic_AVM_Land!U3),"")</f>
        <v/>
      </c>
      <c r="V3" s="70" t="str">
        <f>IF(V$2="Y",IF(MaGic_AVM_Land!V3=0,"",MaGic_AVM_Land!V3),"")</f>
        <v/>
      </c>
      <c r="W3" s="70" t="str">
        <f>IF(W$2="Y",IF(MaGic_AVM_Land!W3=0,"",MaGic_AVM_Land!W3),"")</f>
        <v/>
      </c>
      <c r="X3" s="70" t="str">
        <f>IF(X$2="Y",IF(MaGic_AVM_Land!X3=0,"",MaGic_AVM_Land!X3),"")</f>
        <v/>
      </c>
      <c r="Y3" s="70" t="str">
        <f>IF(Y$2="Y",IF(MaGic_AVM_Land!Y3=0,"",MaGic_AVM_Land!Y3),"")</f>
        <v/>
      </c>
      <c r="Z3" s="70" t="str">
        <f>IF(Z$2="Y",IF(MaGic_AVM_Land!Z3=0,"",MaGic_AVM_Land!Z3),"")</f>
        <v/>
      </c>
      <c r="AA3" s="69" t="str">
        <f t="shared" ref="AA3:AA7" si="0">_xlfn.TEXTJOIN(", ",TRUE,AB3:AZ3)</f>
        <v>153/2022</v>
      </c>
      <c r="AB3" s="69" t="str" cm="1">
        <f t="array" ref="AB3:AC3">_xlfn.UNIQUE(C3:Z3,TRUE,FALSE)</f>
        <v/>
      </c>
      <c r="AC3" s="69" t="str">
        <v>153/2022</v>
      </c>
    </row>
    <row r="4" spans="1:29">
      <c r="A4" s="70">
        <v>2</v>
      </c>
      <c r="B4" s="70" t="s">
        <v>51</v>
      </c>
      <c r="C4" s="70" t="str">
        <f>IF(C$2="Y",IF(MaGic_AVM_Land!C4=0,"",MaGic_AVM_Land!C4),"")</f>
        <v/>
      </c>
      <c r="D4" s="70" t="str">
        <f>IF(D$2="Y",IF(MaGic_AVM_Land!D4=0,"",MaGic_AVM_Land!D4),"")</f>
        <v/>
      </c>
      <c r="E4" s="70" t="str">
        <f>IF(E$2="Y",IF(MaGic_AVM_Land!E4=0,"",MaGic_AVM_Land!E4),"")</f>
        <v/>
      </c>
      <c r="F4" s="70">
        <f>IF(F$2="Y",IF(MaGic_AVM_Land!F4=0,"",MaGic_AVM_Land!F4),"")</f>
        <v>1</v>
      </c>
      <c r="G4" s="70" t="str">
        <f>IF(G$2="Y",IF(MaGic_AVM_Land!G4=0,"",MaGic_AVM_Land!G4),"")</f>
        <v/>
      </c>
      <c r="H4" s="70" t="str">
        <f>IF(H$2="Y",IF(MaGic_AVM_Land!H4=0,"",MaGic_AVM_Land!H4),"")</f>
        <v/>
      </c>
      <c r="I4" s="70" t="str">
        <f>IF(I$2="Y",IF(MaGic_AVM_Land!I4=0,"",MaGic_AVM_Land!I4),"")</f>
        <v/>
      </c>
      <c r="J4" s="70" t="str">
        <f>IF(J$2="Y",IF(MaGic_AVM_Land!J4=0,"",MaGic_AVM_Land!J4),"")</f>
        <v/>
      </c>
      <c r="K4" s="70" t="str">
        <f>IF(K$2="Y",IF(MaGic_AVM_Land!K4=0,"",MaGic_AVM_Land!K4),"")</f>
        <v/>
      </c>
      <c r="L4" s="70" t="str">
        <f>IF(L$2="Y",IF(MaGic_AVM_Land!L4=0,"",MaGic_AVM_Land!L4),"")</f>
        <v/>
      </c>
      <c r="M4" s="70" t="str">
        <f>IF(M$2="Y",IF(MaGic_AVM_Land!M4=0,"",MaGic_AVM_Land!M4),"")</f>
        <v/>
      </c>
      <c r="N4" s="70" t="str">
        <f>IF(N$2="Y",IF(MaGic_AVM_Land!N4=0,"",MaGic_AVM_Land!N4),"")</f>
        <v/>
      </c>
      <c r="O4" s="70" t="str">
        <f>IF(O$2="Y",IF(MaGic_AVM_Land!O4=0,"",MaGic_AVM_Land!O4),"")</f>
        <v/>
      </c>
      <c r="P4" s="70" t="str">
        <f>IF(P$2="Y",IF(MaGic_AVM_Land!P4=0,"",MaGic_AVM_Land!P4),"")</f>
        <v/>
      </c>
      <c r="Q4" s="70" t="str">
        <f>IF(Q$2="Y",IF(MaGic_AVM_Land!Q4=0,"",MaGic_AVM_Land!Q4),"")</f>
        <v/>
      </c>
      <c r="R4" s="70" t="str">
        <f>IF(R$2="Y",IF(MaGic_AVM_Land!R4=0,"",MaGic_AVM_Land!R4),"")</f>
        <v/>
      </c>
      <c r="S4" s="70" t="str">
        <f>IF(S$2="Y",IF(MaGic_AVM_Land!S4=0,"",MaGic_AVM_Land!S4),"")</f>
        <v/>
      </c>
      <c r="T4" s="70" t="str">
        <f>IF(T$2="Y",IF(MaGic_AVM_Land!T4=0,"",MaGic_AVM_Land!T4),"")</f>
        <v/>
      </c>
      <c r="U4" s="70" t="str">
        <f>IF(U$2="Y",IF(MaGic_AVM_Land!U4=0,"",MaGic_AVM_Land!U4),"")</f>
        <v/>
      </c>
      <c r="V4" s="70" t="str">
        <f>IF(V$2="Y",IF(MaGic_AVM_Land!V4=0,"",MaGic_AVM_Land!V4),"")</f>
        <v/>
      </c>
      <c r="W4" s="70" t="str">
        <f>IF(W$2="Y",IF(MaGic_AVM_Land!W4=0,"",MaGic_AVM_Land!W4),"")</f>
        <v/>
      </c>
      <c r="X4" s="70" t="str">
        <f>IF(X$2="Y",IF(MaGic_AVM_Land!X4=0,"",MaGic_AVM_Land!X4),"")</f>
        <v/>
      </c>
      <c r="Y4" s="70" t="str">
        <f>IF(Y$2="Y",IF(MaGic_AVM_Land!Y4=0,"",MaGic_AVM_Land!Y4),"")</f>
        <v/>
      </c>
      <c r="Z4" s="70" t="str">
        <f>IF(Z$2="Y",IF(MaGic_AVM_Land!Z4=0,"",MaGic_AVM_Land!Z4),"")</f>
        <v/>
      </c>
      <c r="AA4" s="69" t="str">
        <f t="shared" si="0"/>
        <v>1</v>
      </c>
      <c r="AB4" s="69" t="str" cm="1">
        <f t="array" ref="AB4:AC4">_xlfn.UNIQUE(C4:Z4,TRUE,FALSE)</f>
        <v/>
      </c>
      <c r="AC4" s="69">
        <v>1</v>
      </c>
    </row>
    <row r="5" spans="1:29">
      <c r="A5" s="70">
        <v>3</v>
      </c>
      <c r="B5" s="70" t="s">
        <v>52</v>
      </c>
      <c r="C5" s="70" t="str">
        <f>IF(C$2="Y",IF(MaGic_AVM_Land!C5=0,"",MaGic_AVM_Land!C5),"")</f>
        <v/>
      </c>
      <c r="D5" s="70" t="str">
        <f>IF(D$2="Y",IF(MaGic_AVM_Land!D5=0,"",MaGic_AVM_Land!D5),"")</f>
        <v/>
      </c>
      <c r="E5" s="70" t="str">
        <f>IF(E$2="Y",IF(MaGic_AVM_Land!E5=0,"",MaGic_AVM_Land!E5),"")</f>
        <v/>
      </c>
      <c r="F5" s="70">
        <f>IF(F$2="Y",IF(MaGic_AVM_Land!F5=0,"",MaGic_AVM_Land!F5),"")</f>
        <v>44588</v>
      </c>
      <c r="G5" s="70" t="str">
        <f>IF(G$2="Y",IF(MaGic_AVM_Land!G5=0,"",MaGic_AVM_Land!G5),"")</f>
        <v/>
      </c>
      <c r="H5" s="70" t="str">
        <f>IF(H$2="Y",IF(MaGic_AVM_Land!H5=0,"",MaGic_AVM_Land!H5),"")</f>
        <v/>
      </c>
      <c r="I5" s="70" t="str">
        <f>IF(I$2="Y",IF(MaGic_AVM_Land!I5=0,"",MaGic_AVM_Land!I5),"")</f>
        <v/>
      </c>
      <c r="J5" s="70" t="str">
        <f>IF(J$2="Y",IF(MaGic_AVM_Land!J5=0,"",MaGic_AVM_Land!J5),"")</f>
        <v/>
      </c>
      <c r="K5" s="70" t="str">
        <f>IF(K$2="Y",IF(MaGic_AVM_Land!K5=0,"",MaGic_AVM_Land!K5),"")</f>
        <v/>
      </c>
      <c r="L5" s="70" t="str">
        <f>IF(L$2="Y",IF(MaGic_AVM_Land!L5=0,"",MaGic_AVM_Land!L5),"")</f>
        <v/>
      </c>
      <c r="M5" s="70" t="str">
        <f>IF(M$2="Y",IF(MaGic_AVM_Land!M5=0,"",MaGic_AVM_Land!M5),"")</f>
        <v/>
      </c>
      <c r="N5" s="70" t="str">
        <f>IF(N$2="Y",IF(MaGic_AVM_Land!N5=0,"",MaGic_AVM_Land!N5),"")</f>
        <v/>
      </c>
      <c r="O5" s="70" t="str">
        <f>IF(O$2="Y",IF(MaGic_AVM_Land!O5=0,"",MaGic_AVM_Land!O5),"")</f>
        <v/>
      </c>
      <c r="P5" s="70" t="str">
        <f>IF(P$2="Y",IF(MaGic_AVM_Land!P5=0,"",MaGic_AVM_Land!P5),"")</f>
        <v/>
      </c>
      <c r="Q5" s="70" t="str">
        <f>IF(Q$2="Y",IF(MaGic_AVM_Land!Q5=0,"",MaGic_AVM_Land!Q5),"")</f>
        <v/>
      </c>
      <c r="R5" s="70" t="str">
        <f>IF(R$2="Y",IF(MaGic_AVM_Land!R5=0,"",MaGic_AVM_Land!R5),"")</f>
        <v/>
      </c>
      <c r="S5" s="70" t="str">
        <f>IF(S$2="Y",IF(MaGic_AVM_Land!S5=0,"",MaGic_AVM_Land!S5),"")</f>
        <v/>
      </c>
      <c r="T5" s="70" t="str">
        <f>IF(T$2="Y",IF(MaGic_AVM_Land!T5=0,"",MaGic_AVM_Land!T5),"")</f>
        <v/>
      </c>
      <c r="U5" s="70" t="str">
        <f>IF(U$2="Y",IF(MaGic_AVM_Land!U5=0,"",MaGic_AVM_Land!U5),"")</f>
        <v/>
      </c>
      <c r="V5" s="70" t="str">
        <f>IF(V$2="Y",IF(MaGic_AVM_Land!V5=0,"",MaGic_AVM_Land!V5),"")</f>
        <v/>
      </c>
      <c r="W5" s="70" t="str">
        <f>IF(W$2="Y",IF(MaGic_AVM_Land!W5=0,"",MaGic_AVM_Land!W5),"")</f>
        <v/>
      </c>
      <c r="X5" s="70" t="str">
        <f>IF(X$2="Y",IF(MaGic_AVM_Land!X5=0,"",MaGic_AVM_Land!X5),"")</f>
        <v/>
      </c>
      <c r="Y5" s="70" t="str">
        <f>IF(Y$2="Y",IF(MaGic_AVM_Land!Y5=0,"",MaGic_AVM_Land!Y5),"")</f>
        <v/>
      </c>
      <c r="Z5" s="70" t="str">
        <f>IF(Z$2="Y",IF(MaGic_AVM_Land!Z5=0,"",MaGic_AVM_Land!Z5),"")</f>
        <v/>
      </c>
      <c r="AA5" s="69" t="str">
        <f t="shared" si="0"/>
        <v>44588</v>
      </c>
      <c r="AB5" s="69" t="str" cm="1">
        <f t="array" ref="AB5:AC5">_xlfn.UNIQUE(C5:Z5,TRUE,FALSE)</f>
        <v/>
      </c>
      <c r="AC5" s="69">
        <v>44588</v>
      </c>
    </row>
    <row r="6" spans="1:29">
      <c r="A6" s="70">
        <v>4</v>
      </c>
      <c r="B6" s="70" t="s">
        <v>1101</v>
      </c>
      <c r="C6" s="70" t="str">
        <f>IF(C$2="Y",IF(MaGic_AVM_Land!C6=0,"",MaGic_AVM_Land!C6),"")</f>
        <v/>
      </c>
      <c r="D6" s="70" t="str">
        <f>IF(D$2="Y",IF(MaGic_AVM_Land!D6=0,"",MaGic_AVM_Land!D6),"")</f>
        <v/>
      </c>
      <c r="E6" s="70" t="str">
        <f>IF(E$2="Y",IF(MaGic_AVM_Land!E6=0,"",MaGic_AVM_Land!E6),"")</f>
        <v/>
      </c>
      <c r="F6" s="70" t="str">
        <f>IF(F$2="Y",IF(MaGic_AVM_Land!F6=0,"",MaGic_AVM_Land!F6),"")</f>
        <v>Shantha and leela</v>
      </c>
      <c r="G6" s="70" t="str">
        <f>IF(G$2="Y",IF(MaGic_AVM_Land!G6=0,"",MaGic_AVM_Land!G6),"")</f>
        <v/>
      </c>
      <c r="H6" s="70" t="str">
        <f>IF(H$2="Y",IF(MaGic_AVM_Land!H6=0,"",MaGic_AVM_Land!H6),"")</f>
        <v/>
      </c>
      <c r="I6" s="70" t="str">
        <f>IF(I$2="Y",IF(MaGic_AVM_Land!I6=0,"",MaGic_AVM_Land!I6),"")</f>
        <v/>
      </c>
      <c r="J6" s="70" t="str">
        <f>IF(J$2="Y",IF(MaGic_AVM_Land!J6=0,"",MaGic_AVM_Land!J6),"")</f>
        <v/>
      </c>
      <c r="K6" s="70" t="str">
        <f>IF(K$2="Y",IF(MaGic_AVM_Land!K6=0,"",MaGic_AVM_Land!K6),"")</f>
        <v/>
      </c>
      <c r="L6" s="70" t="str">
        <f>IF(L$2="Y",IF(MaGic_AVM_Land!L6=0,"",MaGic_AVM_Land!L6),"")</f>
        <v/>
      </c>
      <c r="M6" s="70" t="str">
        <f>IF(M$2="Y",IF(MaGic_AVM_Land!M6=0,"",MaGic_AVM_Land!M6),"")</f>
        <v/>
      </c>
      <c r="N6" s="70" t="str">
        <f>IF(N$2="Y",IF(MaGic_AVM_Land!N6=0,"",MaGic_AVM_Land!N6),"")</f>
        <v/>
      </c>
      <c r="O6" s="70" t="str">
        <f>IF(O$2="Y",IF(MaGic_AVM_Land!O6=0,"",MaGic_AVM_Land!O6),"")</f>
        <v/>
      </c>
      <c r="P6" s="70" t="str">
        <f>IF(P$2="Y",IF(MaGic_AVM_Land!P6=0,"",MaGic_AVM_Land!P6),"")</f>
        <v/>
      </c>
      <c r="Q6" s="70" t="str">
        <f>IF(Q$2="Y",IF(MaGic_AVM_Land!Q6=0,"",MaGic_AVM_Land!Q6),"")</f>
        <v/>
      </c>
      <c r="R6" s="70" t="str">
        <f>IF(R$2="Y",IF(MaGic_AVM_Land!R6=0,"",MaGic_AVM_Land!R6),"")</f>
        <v/>
      </c>
      <c r="S6" s="70" t="str">
        <f>IF(S$2="Y",IF(MaGic_AVM_Land!S6=0,"",MaGic_AVM_Land!S6),"")</f>
        <v/>
      </c>
      <c r="T6" s="70" t="str">
        <f>IF(T$2="Y",IF(MaGic_AVM_Land!T6=0,"",MaGic_AVM_Land!T6),"")</f>
        <v/>
      </c>
      <c r="U6" s="70" t="str">
        <f>IF(U$2="Y",IF(MaGic_AVM_Land!U6=0,"",MaGic_AVM_Land!U6),"")</f>
        <v/>
      </c>
      <c r="V6" s="70" t="str">
        <f>IF(V$2="Y",IF(MaGic_AVM_Land!V6=0,"",MaGic_AVM_Land!V6),"")</f>
        <v/>
      </c>
      <c r="W6" s="70" t="str">
        <f>IF(W$2="Y",IF(MaGic_AVM_Land!W6=0,"",MaGic_AVM_Land!W6),"")</f>
        <v/>
      </c>
      <c r="X6" s="70" t="str">
        <f>IF(X$2="Y",IF(MaGic_AVM_Land!X6=0,"",MaGic_AVM_Land!X6),"")</f>
        <v/>
      </c>
      <c r="Y6" s="70" t="str">
        <f>IF(Y$2="Y",IF(MaGic_AVM_Land!Y6=0,"",MaGic_AVM_Land!Y6),"")</f>
        <v/>
      </c>
      <c r="Z6" s="70" t="str">
        <f>IF(Z$2="Y",IF(MaGic_AVM_Land!Z6=0,"",MaGic_AVM_Land!Z6),"")</f>
        <v/>
      </c>
      <c r="AA6" s="69" t="str">
        <f t="shared" si="0"/>
        <v>Shantha and leela</v>
      </c>
      <c r="AB6" s="69" t="str" cm="1">
        <f t="array" ref="AB6:AC6">_xlfn.UNIQUE(C6:Z6,TRUE,FALSE)</f>
        <v/>
      </c>
      <c r="AC6" s="69" t="str">
        <v>Shantha and leela</v>
      </c>
    </row>
    <row r="7" spans="1:29">
      <c r="A7" s="70">
        <v>2</v>
      </c>
      <c r="B7" s="70" t="s">
        <v>1102</v>
      </c>
      <c r="C7" s="70" t="str">
        <f>IF(C$2="Y",IF(MaGic_AVM_Land!C7=0,"",MaGic_AVM_Land!C7),"")</f>
        <v/>
      </c>
      <c r="D7" s="70" t="str">
        <f>IF(D$2="Y",IF(MaGic_AVM_Land!D7=0,"",MaGic_AVM_Land!D7),"")</f>
        <v/>
      </c>
      <c r="E7" s="70" t="str">
        <f>IF(E$2="Y",IF(MaGic_AVM_Land!E7=0,"",MaGic_AVM_Land!E7),"")</f>
        <v/>
      </c>
      <c r="F7" s="70" t="str">
        <f>IF(F$2="Y",IF(MaGic_AVM_Land!F7=0,"",MaGic_AVM_Land!F7),"")</f>
        <v>Jayan</v>
      </c>
      <c r="G7" s="70" t="str">
        <f>IF(G$2="Y",IF(MaGic_AVM_Land!G7=0,"",MaGic_AVM_Land!G7),"")</f>
        <v/>
      </c>
      <c r="H7" s="70" t="str">
        <f>IF(H$2="Y",IF(MaGic_AVM_Land!H7=0,"",MaGic_AVM_Land!H7),"")</f>
        <v/>
      </c>
      <c r="I7" s="70" t="str">
        <f>IF(I$2="Y",IF(MaGic_AVM_Land!I7=0,"",MaGic_AVM_Land!I7),"")</f>
        <v/>
      </c>
      <c r="J7" s="70" t="str">
        <f>IF(J$2="Y",IF(MaGic_AVM_Land!J7=0,"",MaGic_AVM_Land!J7),"")</f>
        <v/>
      </c>
      <c r="K7" s="70" t="str">
        <f>IF(K$2="Y",IF(MaGic_AVM_Land!K7=0,"",MaGic_AVM_Land!K7),"")</f>
        <v/>
      </c>
      <c r="L7" s="70" t="str">
        <f>IF(L$2="Y",IF(MaGic_AVM_Land!L7=0,"",MaGic_AVM_Land!L7),"")</f>
        <v/>
      </c>
      <c r="M7" s="70" t="str">
        <f>IF(M$2="Y",IF(MaGic_AVM_Land!M7=0,"",MaGic_AVM_Land!M7),"")</f>
        <v/>
      </c>
      <c r="N7" s="70" t="str">
        <f>IF(N$2="Y",IF(MaGic_AVM_Land!N7=0,"",MaGic_AVM_Land!N7),"")</f>
        <v/>
      </c>
      <c r="O7" s="70" t="str">
        <f>IF(O$2="Y",IF(MaGic_AVM_Land!O7=0,"",MaGic_AVM_Land!O7),"")</f>
        <v/>
      </c>
      <c r="P7" s="70" t="str">
        <f>IF(P$2="Y",IF(MaGic_AVM_Land!P7=0,"",MaGic_AVM_Land!P7),"")</f>
        <v/>
      </c>
      <c r="Q7" s="70" t="str">
        <f>IF(Q$2="Y",IF(MaGic_AVM_Land!Q7=0,"",MaGic_AVM_Land!Q7),"")</f>
        <v/>
      </c>
      <c r="R7" s="70" t="str">
        <f>IF(R$2="Y",IF(MaGic_AVM_Land!R7=0,"",MaGic_AVM_Land!R7),"")</f>
        <v/>
      </c>
      <c r="S7" s="70" t="str">
        <f>IF(S$2="Y",IF(MaGic_AVM_Land!S7=0,"",MaGic_AVM_Land!S7),"")</f>
        <v/>
      </c>
      <c r="T7" s="70" t="str">
        <f>IF(T$2="Y",IF(MaGic_AVM_Land!T7=0,"",MaGic_AVM_Land!T7),"")</f>
        <v/>
      </c>
      <c r="U7" s="70" t="str">
        <f>IF(U$2="Y",IF(MaGic_AVM_Land!U7=0,"",MaGic_AVM_Land!U7),"")</f>
        <v/>
      </c>
      <c r="V7" s="70" t="str">
        <f>IF(V$2="Y",IF(MaGic_AVM_Land!V7=0,"",MaGic_AVM_Land!V7),"")</f>
        <v/>
      </c>
      <c r="W7" s="70" t="str">
        <f>IF(W$2="Y",IF(MaGic_AVM_Land!W7=0,"",MaGic_AVM_Land!W7),"")</f>
        <v/>
      </c>
      <c r="X7" s="70" t="str">
        <f>IF(X$2="Y",IF(MaGic_AVM_Land!X7=0,"",MaGic_AVM_Land!X7),"")</f>
        <v/>
      </c>
      <c r="Y7" s="70" t="str">
        <f>IF(Y$2="Y",IF(MaGic_AVM_Land!Y7=0,"",MaGic_AVM_Land!Y7),"")</f>
        <v/>
      </c>
      <c r="Z7" s="70" t="str">
        <f>IF(Z$2="Y",IF(MaGic_AVM_Land!Z7=0,"",MaGic_AVM_Land!Z7),"")</f>
        <v/>
      </c>
      <c r="AA7" s="69" t="str">
        <f t="shared" si="0"/>
        <v>Jayan</v>
      </c>
      <c r="AB7" s="69" t="str" cm="1">
        <f t="array" ref="AB7:AC7">_xlfn.UNIQUE(C7:Z7,TRUE,FALSE)</f>
        <v/>
      </c>
      <c r="AC7" s="69" t="str">
        <v>Jayan</v>
      </c>
    </row>
    <row r="8" spans="1:29">
      <c r="A8" s="70">
        <v>6</v>
      </c>
      <c r="B8" s="70" t="s">
        <v>31</v>
      </c>
      <c r="C8" s="70" t="str">
        <f>IF(C$2="Y",IF(MaGic_AVM_Land!C8=0,"",MaGic_AVM_Land!C8),"")</f>
        <v/>
      </c>
      <c r="D8" s="70" t="str">
        <f>IF(D$2="Y",IF(MaGic_AVM_Land!D8=0,"",MaGic_AVM_Land!D8),"")</f>
        <v/>
      </c>
      <c r="E8" s="70" t="str">
        <f>IF(E$2="Y",IF(MaGic_AVM_Land!E8=0,"",MaGic_AVM_Land!E8),"")</f>
        <v/>
      </c>
      <c r="F8" s="70" t="str">
        <f>IF(F$2="Y",IF(MaGic_AVM_Land!F8=0,"",MaGic_AVM_Land!F8),"")</f>
        <v>Thiruvanthapuram</v>
      </c>
      <c r="G8" s="70" t="str">
        <f>IF(G$2="Y",IF(MaGic_AVM_Land!G8=0,"",MaGic_AVM_Land!G8),"")</f>
        <v/>
      </c>
      <c r="H8" s="70" t="str">
        <f>IF(H$2="Y",IF(MaGic_AVM_Land!H8=0,"",MaGic_AVM_Land!H8),"")</f>
        <v/>
      </c>
      <c r="I8" s="70" t="str">
        <f>IF(I$2="Y",IF(MaGic_AVM_Land!I8=0,"",MaGic_AVM_Land!I8),"")</f>
        <v/>
      </c>
      <c r="J8" s="70" t="str">
        <f>IF(J$2="Y",IF(MaGic_AVM_Land!J8=0,"",MaGic_AVM_Land!J8),"")</f>
        <v/>
      </c>
      <c r="K8" s="70" t="str">
        <f>IF(K$2="Y",IF(MaGic_AVM_Land!K8=0,"",MaGic_AVM_Land!K8),"")</f>
        <v/>
      </c>
      <c r="L8" s="70" t="str">
        <f>IF(L$2="Y",IF(MaGic_AVM_Land!L8=0,"",MaGic_AVM_Land!L8),"")</f>
        <v/>
      </c>
      <c r="M8" s="70" t="str">
        <f>IF(M$2="Y",IF(MaGic_AVM_Land!M8=0,"",MaGic_AVM_Land!M8),"")</f>
        <v/>
      </c>
      <c r="N8" s="70" t="str">
        <f>IF(N$2="Y",IF(MaGic_AVM_Land!N8=0,"",MaGic_AVM_Land!N8),"")</f>
        <v/>
      </c>
      <c r="O8" s="70" t="str">
        <f>IF(O$2="Y",IF(MaGic_AVM_Land!O8=0,"",MaGic_AVM_Land!O8),"")</f>
        <v/>
      </c>
      <c r="P8" s="70" t="str">
        <f>IF(P$2="Y",IF(MaGic_AVM_Land!P8=0,"",MaGic_AVM_Land!P8),"")</f>
        <v/>
      </c>
      <c r="Q8" s="70" t="str">
        <f>IF(Q$2="Y",IF(MaGic_AVM_Land!Q8=0,"",MaGic_AVM_Land!Q8),"")</f>
        <v/>
      </c>
      <c r="R8" s="70" t="str">
        <f>IF(R$2="Y",IF(MaGic_AVM_Land!R8=0,"",MaGic_AVM_Land!R8),"")</f>
        <v/>
      </c>
      <c r="S8" s="70" t="str">
        <f>IF(S$2="Y",IF(MaGic_AVM_Land!S8=0,"",MaGic_AVM_Land!S8),"")</f>
        <v/>
      </c>
      <c r="T8" s="70" t="str">
        <f>IF(T$2="Y",IF(MaGic_AVM_Land!T8=0,"",MaGic_AVM_Land!T8),"")</f>
        <v/>
      </c>
      <c r="U8" s="70" t="str">
        <f>IF(U$2="Y",IF(MaGic_AVM_Land!U8=0,"",MaGic_AVM_Land!U8),"")</f>
        <v/>
      </c>
      <c r="V8" s="70" t="str">
        <f>IF(V$2="Y",IF(MaGic_AVM_Land!V8=0,"",MaGic_AVM_Land!V8),"")</f>
        <v/>
      </c>
      <c r="W8" s="70" t="str">
        <f>IF(W$2="Y",IF(MaGic_AVM_Land!W8=0,"",MaGic_AVM_Land!W8),"")</f>
        <v/>
      </c>
      <c r="X8" s="70" t="str">
        <f>IF(X$2="Y",IF(MaGic_AVM_Land!X8=0,"",MaGic_AVM_Land!X8),"")</f>
        <v/>
      </c>
      <c r="Y8" s="70" t="str">
        <f>IF(Y$2="Y",IF(MaGic_AVM_Land!Y8=0,"",MaGic_AVM_Land!Y8),"")</f>
        <v/>
      </c>
      <c r="Z8" s="70" t="str">
        <f>IF(Z$2="Y",IF(MaGic_AVM_Land!Z8=0,"",MaGic_AVM_Land!Z8),"")</f>
        <v/>
      </c>
      <c r="AA8" s="69" t="str">
        <f>CONCATENATE(IF(AB8="",AC8,AB8)," District")</f>
        <v>Thiruvanthapuram District</v>
      </c>
      <c r="AB8" s="69" t="str" cm="1">
        <f t="array" ref="AB8:AC8">_xlfn.UNIQUE(C8:Z8,TRUE,FALSE)</f>
        <v/>
      </c>
      <c r="AC8" s="69" t="str">
        <v>Thiruvanthapuram</v>
      </c>
    </row>
    <row r="9" spans="1:29">
      <c r="A9" s="70">
        <v>7</v>
      </c>
      <c r="B9" s="70" t="s">
        <v>59</v>
      </c>
      <c r="C9" s="70" t="str">
        <f>IF(C$2="Y",IF(MaGic_AVM_Land!C9=0,"",MaGic_AVM_Land!C9),"")</f>
        <v/>
      </c>
      <c r="D9" s="70" t="str">
        <f>IF(D$2="Y",IF(MaGic_AVM_Land!D9=0,"",MaGic_AVM_Land!D9),"")</f>
        <v/>
      </c>
      <c r="E9" s="70" t="str">
        <f>IF(E$2="Y",IF(MaGic_AVM_Land!E9=0,"",MaGic_AVM_Land!E9),"")</f>
        <v/>
      </c>
      <c r="F9" s="70" t="str">
        <f>IF(F$2="Y",IF(MaGic_AVM_Land!F9=0,"",MaGic_AVM_Land!F9),"")</f>
        <v>Murukkumpuzha</v>
      </c>
      <c r="G9" s="70" t="str">
        <f>IF(G$2="Y",IF(MaGic_AVM_Land!G9=0,"",MaGic_AVM_Land!G9),"")</f>
        <v/>
      </c>
      <c r="H9" s="70" t="str">
        <f>IF(H$2="Y",IF(MaGic_AVM_Land!H9=0,"",MaGic_AVM_Land!H9),"")</f>
        <v/>
      </c>
      <c r="I9" s="70" t="str">
        <f>IF(I$2="Y",IF(MaGic_AVM_Land!I9=0,"",MaGic_AVM_Land!I9),"")</f>
        <v/>
      </c>
      <c r="J9" s="70" t="str">
        <f>IF(J$2="Y",IF(MaGic_AVM_Land!J9=0,"",MaGic_AVM_Land!J9),"")</f>
        <v/>
      </c>
      <c r="K9" s="70" t="str">
        <f>IF(K$2="Y",IF(MaGic_AVM_Land!K9=0,"",MaGic_AVM_Land!K9),"")</f>
        <v/>
      </c>
      <c r="L9" s="70" t="str">
        <f>IF(L$2="Y",IF(MaGic_AVM_Land!L9=0,"",MaGic_AVM_Land!L9),"")</f>
        <v/>
      </c>
      <c r="M9" s="70" t="str">
        <f>IF(M$2="Y",IF(MaGic_AVM_Land!M9=0,"",MaGic_AVM_Land!M9),"")</f>
        <v/>
      </c>
      <c r="N9" s="70" t="str">
        <f>IF(N$2="Y",IF(MaGic_AVM_Land!N9=0,"",MaGic_AVM_Land!N9),"")</f>
        <v/>
      </c>
      <c r="O9" s="70" t="str">
        <f>IF(O$2="Y",IF(MaGic_AVM_Land!O9=0,"",MaGic_AVM_Land!O9),"")</f>
        <v/>
      </c>
      <c r="P9" s="70" t="str">
        <f>IF(P$2="Y",IF(MaGic_AVM_Land!P9=0,"",MaGic_AVM_Land!P9),"")</f>
        <v/>
      </c>
      <c r="Q9" s="70" t="str">
        <f>IF(Q$2="Y",IF(MaGic_AVM_Land!Q9=0,"",MaGic_AVM_Land!Q9),"")</f>
        <v/>
      </c>
      <c r="R9" s="70" t="str">
        <f>IF(R$2="Y",IF(MaGic_AVM_Land!R9=0,"",MaGic_AVM_Land!R9),"")</f>
        <v/>
      </c>
      <c r="S9" s="70" t="str">
        <f>IF(S$2="Y",IF(MaGic_AVM_Land!S9=0,"",MaGic_AVM_Land!S9),"")</f>
        <v/>
      </c>
      <c r="T9" s="70" t="str">
        <f>IF(T$2="Y",IF(MaGic_AVM_Land!T9=0,"",MaGic_AVM_Land!T9),"")</f>
        <v/>
      </c>
      <c r="U9" s="70" t="str">
        <f>IF(U$2="Y",IF(MaGic_AVM_Land!U9=0,"",MaGic_AVM_Land!U9),"")</f>
        <v/>
      </c>
      <c r="V9" s="70" t="str">
        <f>IF(V$2="Y",IF(MaGic_AVM_Land!V9=0,"",MaGic_AVM_Land!V9),"")</f>
        <v/>
      </c>
      <c r="W9" s="70" t="str">
        <f>IF(W$2="Y",IF(MaGic_AVM_Land!W9=0,"",MaGic_AVM_Land!W9),"")</f>
        <v/>
      </c>
      <c r="X9" s="70" t="str">
        <f>IF(X$2="Y",IF(MaGic_AVM_Land!X9=0,"",MaGic_AVM_Land!X9),"")</f>
        <v/>
      </c>
      <c r="Y9" s="70" t="str">
        <f>IF(Y$2="Y",IF(MaGic_AVM_Land!Y9=0,"",MaGic_AVM_Land!Y9),"")</f>
        <v/>
      </c>
      <c r="Z9" s="70" t="str">
        <f>IF(Z$2="Y",IF(MaGic_AVM_Land!Z9=0,"",MaGic_AVM_Land!Z9),"")</f>
        <v/>
      </c>
      <c r="AA9" s="69" t="str">
        <f>CONCATENATE(IF(AB9="",AC9,AB9)," SRO")</f>
        <v>Murukkumpuzha SRO</v>
      </c>
      <c r="AB9" s="69" t="str" cm="1">
        <f t="array" ref="AB9:AC9">_xlfn.UNIQUE(C9:Z9,TRUE,FALSE)</f>
        <v/>
      </c>
      <c r="AC9" s="69" t="str">
        <v>Murukkumpuzha</v>
      </c>
    </row>
    <row r="10" spans="1:29">
      <c r="A10" s="70">
        <v>8</v>
      </c>
      <c r="B10" s="70" t="s">
        <v>61</v>
      </c>
      <c r="C10" s="70" t="str">
        <f>IF(C$2="Y",IF(MaGic_AVM_Land!C10=0,"",MaGic_AVM_Land!C10),"")</f>
        <v/>
      </c>
      <c r="D10" s="70" t="str">
        <f>IF(D$2="Y",IF(MaGic_AVM_Land!D10=0,"",MaGic_AVM_Land!D10),"")</f>
        <v/>
      </c>
      <c r="E10" s="70" t="str">
        <f>IF(E$2="Y",IF(MaGic_AVM_Land!E10=0,"",MaGic_AVM_Land!E10),"")</f>
        <v/>
      </c>
      <c r="F10" s="70" t="str">
        <f>IF(F$2="Y",IF(MaGic_AVM_Land!F10=0,"",MaGic_AVM_Land!F10),"")</f>
        <v>Thiruvanthupuram</v>
      </c>
      <c r="G10" s="70" t="str">
        <f>IF(G$2="Y",IF(MaGic_AVM_Land!G10=0,"",MaGic_AVM_Land!G10),"")</f>
        <v/>
      </c>
      <c r="H10" s="70" t="str">
        <f>IF(H$2="Y",IF(MaGic_AVM_Land!H10=0,"",MaGic_AVM_Land!H10),"")</f>
        <v/>
      </c>
      <c r="I10" s="70" t="str">
        <f>IF(I$2="Y",IF(MaGic_AVM_Land!I10=0,"",MaGic_AVM_Land!I10),"")</f>
        <v/>
      </c>
      <c r="J10" s="70" t="str">
        <f>IF(J$2="Y",IF(MaGic_AVM_Land!J10=0,"",MaGic_AVM_Land!J10),"")</f>
        <v/>
      </c>
      <c r="K10" s="70" t="str">
        <f>IF(K$2="Y",IF(MaGic_AVM_Land!K10=0,"",MaGic_AVM_Land!K10),"")</f>
        <v/>
      </c>
      <c r="L10" s="70" t="str">
        <f>IF(L$2="Y",IF(MaGic_AVM_Land!L10=0,"",MaGic_AVM_Land!L10),"")</f>
        <v/>
      </c>
      <c r="M10" s="70" t="str">
        <f>IF(M$2="Y",IF(MaGic_AVM_Land!M10=0,"",MaGic_AVM_Land!M10),"")</f>
        <v/>
      </c>
      <c r="N10" s="70" t="str">
        <f>IF(N$2="Y",IF(MaGic_AVM_Land!N10=0,"",MaGic_AVM_Land!N10),"")</f>
        <v/>
      </c>
      <c r="O10" s="70" t="str">
        <f>IF(O$2="Y",IF(MaGic_AVM_Land!O10=0,"",MaGic_AVM_Land!O10),"")</f>
        <v/>
      </c>
      <c r="P10" s="70" t="str">
        <f>IF(P$2="Y",IF(MaGic_AVM_Land!P10=0,"",MaGic_AVM_Land!P10),"")</f>
        <v/>
      </c>
      <c r="Q10" s="70" t="str">
        <f>IF(Q$2="Y",IF(MaGic_AVM_Land!Q10=0,"",MaGic_AVM_Land!Q10),"")</f>
        <v/>
      </c>
      <c r="R10" s="70" t="str">
        <f>IF(R$2="Y",IF(MaGic_AVM_Land!R10=0,"",MaGic_AVM_Land!R10),"")</f>
        <v/>
      </c>
      <c r="S10" s="70" t="str">
        <f>IF(S$2="Y",IF(MaGic_AVM_Land!S10=0,"",MaGic_AVM_Land!S10),"")</f>
        <v/>
      </c>
      <c r="T10" s="70" t="str">
        <f>IF(T$2="Y",IF(MaGic_AVM_Land!T10=0,"",MaGic_AVM_Land!T10),"")</f>
        <v/>
      </c>
      <c r="U10" s="70" t="str">
        <f>IF(U$2="Y",IF(MaGic_AVM_Land!U10=0,"",MaGic_AVM_Land!U10),"")</f>
        <v/>
      </c>
      <c r="V10" s="70" t="str">
        <f>IF(V$2="Y",IF(MaGic_AVM_Land!V10=0,"",MaGic_AVM_Land!V10),"")</f>
        <v/>
      </c>
      <c r="W10" s="70" t="str">
        <f>IF(W$2="Y",IF(MaGic_AVM_Land!W10=0,"",MaGic_AVM_Land!W10),"")</f>
        <v/>
      </c>
      <c r="X10" s="70" t="str">
        <f>IF(X$2="Y",IF(MaGic_AVM_Land!X10=0,"",MaGic_AVM_Land!X10),"")</f>
        <v/>
      </c>
      <c r="Y10" s="70" t="str">
        <f>IF(Y$2="Y",IF(MaGic_AVM_Land!Y10=0,"",MaGic_AVM_Land!Y10),"")</f>
        <v/>
      </c>
      <c r="Z10" s="70" t="str">
        <f>IF(Z$2="Y",IF(MaGic_AVM_Land!Z10=0,"",MaGic_AVM_Land!Z10),"")</f>
        <v/>
      </c>
      <c r="AA10" s="69" t="str">
        <f>CONCATENATE(IF(AB10="",AC10,AB10)," Taluk")</f>
        <v>Thiruvanthupuram Taluk</v>
      </c>
      <c r="AB10" s="69" t="str" cm="1">
        <f t="array" ref="AB10:AC10">_xlfn.UNIQUE(C10:Z10,TRUE,FALSE)</f>
        <v/>
      </c>
      <c r="AC10" s="69" t="str">
        <v>Thiruvanthupuram</v>
      </c>
    </row>
    <row r="11" spans="1:29">
      <c r="A11" s="70">
        <v>9</v>
      </c>
      <c r="B11" s="70" t="s">
        <v>63</v>
      </c>
      <c r="C11" s="70" t="str">
        <f>IF(C$2="Y",IF(MaGic_AVM_Land!C11=0,"",MaGic_AVM_Land!C11),"")</f>
        <v/>
      </c>
      <c r="D11" s="70" t="str">
        <f>IF(D$2="Y",IF(MaGic_AVM_Land!D11=0,"",MaGic_AVM_Land!D11),"")</f>
        <v/>
      </c>
      <c r="E11" s="70" t="str">
        <f>IF(E$2="Y",IF(MaGic_AVM_Land!E11=0,"",MaGic_AVM_Land!E11),"")</f>
        <v/>
      </c>
      <c r="F11" s="70" t="str">
        <f>IF(F$2="Y",IF(MaGic_AVM_Land!F11=0,"",MaGic_AVM_Land!F11),"")</f>
        <v>Veilyoor</v>
      </c>
      <c r="G11" s="70" t="str">
        <f>IF(G$2="Y",IF(MaGic_AVM_Land!G11=0,"",MaGic_AVM_Land!G11),"")</f>
        <v/>
      </c>
      <c r="H11" s="70" t="str">
        <f>IF(H$2="Y",IF(MaGic_AVM_Land!H11=0,"",MaGic_AVM_Land!H11),"")</f>
        <v/>
      </c>
      <c r="I11" s="70" t="str">
        <f>IF(I$2="Y",IF(MaGic_AVM_Land!I11=0,"",MaGic_AVM_Land!I11),"")</f>
        <v/>
      </c>
      <c r="J11" s="70" t="str">
        <f>IF(J$2="Y",IF(MaGic_AVM_Land!J11=0,"",MaGic_AVM_Land!J11),"")</f>
        <v/>
      </c>
      <c r="K11" s="70" t="str">
        <f>IF(K$2="Y",IF(MaGic_AVM_Land!K11=0,"",MaGic_AVM_Land!K11),"")</f>
        <v/>
      </c>
      <c r="L11" s="70" t="str">
        <f>IF(L$2="Y",IF(MaGic_AVM_Land!L11=0,"",MaGic_AVM_Land!L11),"")</f>
        <v/>
      </c>
      <c r="M11" s="70" t="str">
        <f>IF(M$2="Y",IF(MaGic_AVM_Land!M11=0,"",MaGic_AVM_Land!M11),"")</f>
        <v/>
      </c>
      <c r="N11" s="70" t="str">
        <f>IF(N$2="Y",IF(MaGic_AVM_Land!N11=0,"",MaGic_AVM_Land!N11),"")</f>
        <v/>
      </c>
      <c r="O11" s="70" t="str">
        <f>IF(O$2="Y",IF(MaGic_AVM_Land!O11=0,"",MaGic_AVM_Land!O11),"")</f>
        <v/>
      </c>
      <c r="P11" s="70" t="str">
        <f>IF(P$2="Y",IF(MaGic_AVM_Land!P11=0,"",MaGic_AVM_Land!P11),"")</f>
        <v/>
      </c>
      <c r="Q11" s="70" t="str">
        <f>IF(Q$2="Y",IF(MaGic_AVM_Land!Q11=0,"",MaGic_AVM_Land!Q11),"")</f>
        <v/>
      </c>
      <c r="R11" s="70" t="str">
        <f>IF(R$2="Y",IF(MaGic_AVM_Land!R11=0,"",MaGic_AVM_Land!R11),"")</f>
        <v/>
      </c>
      <c r="S11" s="70" t="str">
        <f>IF(S$2="Y",IF(MaGic_AVM_Land!S11=0,"",MaGic_AVM_Land!S11),"")</f>
        <v/>
      </c>
      <c r="T11" s="70" t="str">
        <f>IF(T$2="Y",IF(MaGic_AVM_Land!T11=0,"",MaGic_AVM_Land!T11),"")</f>
        <v/>
      </c>
      <c r="U11" s="70" t="str">
        <f>IF(U$2="Y",IF(MaGic_AVM_Land!U11=0,"",MaGic_AVM_Land!U11),"")</f>
        <v/>
      </c>
      <c r="V11" s="70" t="str">
        <f>IF(V$2="Y",IF(MaGic_AVM_Land!V11=0,"",MaGic_AVM_Land!V11),"")</f>
        <v/>
      </c>
      <c r="W11" s="70" t="str">
        <f>IF(W$2="Y",IF(MaGic_AVM_Land!W11=0,"",MaGic_AVM_Land!W11),"")</f>
        <v/>
      </c>
      <c r="X11" s="70" t="str">
        <f>IF(X$2="Y",IF(MaGic_AVM_Land!X11=0,"",MaGic_AVM_Land!X11),"")</f>
        <v/>
      </c>
      <c r="Y11" s="70" t="str">
        <f>IF(Y$2="Y",IF(MaGic_AVM_Land!Y11=0,"",MaGic_AVM_Land!Y11),"")</f>
        <v/>
      </c>
      <c r="Z11" s="70" t="str">
        <f>IF(Z$2="Y",IF(MaGic_AVM_Land!Z11=0,"",MaGic_AVM_Land!Z11),"")</f>
        <v/>
      </c>
      <c r="AA11" s="69" t="str">
        <f>CONCATENATE(IF(AB11="",AC11,AB11)," Village")</f>
        <v>Veilyoor Village</v>
      </c>
      <c r="AB11" s="69" t="str" cm="1">
        <f t="array" ref="AB11:AC11">_xlfn.UNIQUE(C11:Z11,TRUE,FALSE)</f>
        <v/>
      </c>
      <c r="AC11" s="69" t="str">
        <v>Veilyoor</v>
      </c>
    </row>
    <row r="12" spans="1:29">
      <c r="A12" s="70">
        <v>10</v>
      </c>
      <c r="B12" s="70" t="s">
        <v>65</v>
      </c>
      <c r="C12" s="70" t="str">
        <f>IF(C$2="Y",IF(MaGic_AVM_Land!C12=0,"",MaGic_AVM_Land!C12),"")</f>
        <v/>
      </c>
      <c r="D12" s="70" t="str">
        <f>IF(D$2="Y",IF(MaGic_AVM_Land!D12=0,"",MaGic_AVM_Land!D12),"")</f>
        <v/>
      </c>
      <c r="E12" s="70" t="str">
        <f>IF(E$2="Y",IF(MaGic_AVM_Land!E12=0,"",MaGic_AVM_Land!E12),"")</f>
        <v/>
      </c>
      <c r="F12" s="70" t="str">
        <f>IF(F$2="Y",IF(MaGic_AVM_Land!F12=0,"",MaGic_AVM_Land!F12),"")</f>
        <v>Grama Panchayat</v>
      </c>
      <c r="G12" s="70" t="str">
        <f>IF(G$2="Y",IF(MaGic_AVM_Land!G12=0,"",MaGic_AVM_Land!G12),"")</f>
        <v/>
      </c>
      <c r="H12" s="70" t="str">
        <f>IF(H$2="Y",IF(MaGic_AVM_Land!H12=0,"",MaGic_AVM_Land!H12),"")</f>
        <v/>
      </c>
      <c r="I12" s="70" t="str">
        <f>IF(I$2="Y",IF(MaGic_AVM_Land!I12=0,"",MaGic_AVM_Land!I12),"")</f>
        <v/>
      </c>
      <c r="J12" s="70" t="str">
        <f>IF(J$2="Y",IF(MaGic_AVM_Land!J12=0,"",MaGic_AVM_Land!J12),"")</f>
        <v/>
      </c>
      <c r="K12" s="70" t="str">
        <f>IF(K$2="Y",IF(MaGic_AVM_Land!K12=0,"",MaGic_AVM_Land!K12),"")</f>
        <v/>
      </c>
      <c r="L12" s="70" t="str">
        <f>IF(L$2="Y",IF(MaGic_AVM_Land!L12=0,"",MaGic_AVM_Land!L12),"")</f>
        <v/>
      </c>
      <c r="M12" s="70" t="str">
        <f>IF(M$2="Y",IF(MaGic_AVM_Land!M12=0,"",MaGic_AVM_Land!M12),"")</f>
        <v/>
      </c>
      <c r="N12" s="70" t="str">
        <f>IF(N$2="Y",IF(MaGic_AVM_Land!N12=0,"",MaGic_AVM_Land!N12),"")</f>
        <v/>
      </c>
      <c r="O12" s="70" t="str">
        <f>IF(O$2="Y",IF(MaGic_AVM_Land!O12=0,"",MaGic_AVM_Land!O12),"")</f>
        <v/>
      </c>
      <c r="P12" s="70" t="str">
        <f>IF(P$2="Y",IF(MaGic_AVM_Land!P12=0,"",MaGic_AVM_Land!P12),"")</f>
        <v/>
      </c>
      <c r="Q12" s="70" t="str">
        <f>IF(Q$2="Y",IF(MaGic_AVM_Land!Q12=0,"",MaGic_AVM_Land!Q12),"")</f>
        <v/>
      </c>
      <c r="R12" s="70" t="str">
        <f>IF(R$2="Y",IF(MaGic_AVM_Land!R12=0,"",MaGic_AVM_Land!R12),"")</f>
        <v/>
      </c>
      <c r="S12" s="70" t="str">
        <f>IF(S$2="Y",IF(MaGic_AVM_Land!S12=0,"",MaGic_AVM_Land!S12),"")</f>
        <v/>
      </c>
      <c r="T12" s="70" t="str">
        <f>IF(T$2="Y",IF(MaGic_AVM_Land!T12=0,"",MaGic_AVM_Land!T12),"")</f>
        <v/>
      </c>
      <c r="U12" s="70" t="str">
        <f>IF(U$2="Y",IF(MaGic_AVM_Land!U12=0,"",MaGic_AVM_Land!U12),"")</f>
        <v/>
      </c>
      <c r="V12" s="70" t="str">
        <f>IF(V$2="Y",IF(MaGic_AVM_Land!V12=0,"",MaGic_AVM_Land!V12),"")</f>
        <v/>
      </c>
      <c r="W12" s="70" t="str">
        <f>IF(W$2="Y",IF(MaGic_AVM_Land!W12=0,"",MaGic_AVM_Land!W12),"")</f>
        <v/>
      </c>
      <c r="X12" s="70" t="str">
        <f>IF(X$2="Y",IF(MaGic_AVM_Land!X12=0,"",MaGic_AVM_Land!X12),"")</f>
        <v/>
      </c>
      <c r="Y12" s="70" t="str">
        <f>IF(Y$2="Y",IF(MaGic_AVM_Land!Y12=0,"",MaGic_AVM_Land!Y12),"")</f>
        <v/>
      </c>
      <c r="Z12" s="70" t="str">
        <f>IF(Z$2="Y",IF(MaGic_AVM_Land!Z12=0,"",MaGic_AVM_Land!Z12),"")</f>
        <v/>
      </c>
      <c r="AA12" s="69" t="str">
        <f>CONCATENATE(IF(AB12="",AC12,AB12))</f>
        <v>Grama Panchayat</v>
      </c>
      <c r="AB12" s="69" t="str" cm="1">
        <f t="array" ref="AB12:AC12">_xlfn.UNIQUE(C12:Z12,TRUE,FALSE)</f>
        <v/>
      </c>
      <c r="AC12" s="69" t="str">
        <v>Grama Panchayat</v>
      </c>
    </row>
    <row r="13" spans="1:29">
      <c r="A13" s="70">
        <v>11</v>
      </c>
      <c r="B13" s="70" t="s">
        <v>67</v>
      </c>
      <c r="C13" s="71" t="str">
        <f>IF(C$2="Y",IF(MaGic_AVM_Land!C13=0,"",MaGic_AVM_Land!C13),"")</f>
        <v/>
      </c>
      <c r="D13" s="71" t="str">
        <f>IF(D$2="Y",IF(MaGic_AVM_Land!D13=0,"",MaGic_AVM_Land!D13),"")</f>
        <v/>
      </c>
      <c r="E13" s="71" t="str">
        <f>IF(E$2="Y",IF(MaGic_AVM_Land!E13=0,"",MaGic_AVM_Land!E13),"")</f>
        <v/>
      </c>
      <c r="F13" s="71" t="str">
        <f>IF(F$2="Y",IF(MaGic_AVM_Land!F13=0,"",MaGic_AVM_Land!F13),"")</f>
        <v>Mangalapuram</v>
      </c>
      <c r="G13" s="71" t="str">
        <f>IF(G$2="Y",IF(MaGic_AVM_Land!G13=0,"",MaGic_AVM_Land!G13),"")</f>
        <v/>
      </c>
      <c r="H13" s="71" t="str">
        <f>IF(H$2="Y",IF(MaGic_AVM_Land!H13=0,"",MaGic_AVM_Land!H13),"")</f>
        <v/>
      </c>
      <c r="I13" s="71" t="str">
        <f>IF(I$2="Y",IF(MaGic_AVM_Land!I13=0,"",MaGic_AVM_Land!I13),"")</f>
        <v/>
      </c>
      <c r="J13" s="71" t="str">
        <f>IF(J$2="Y",IF(MaGic_AVM_Land!J13=0,"",MaGic_AVM_Land!J13),"")</f>
        <v/>
      </c>
      <c r="K13" s="71" t="str">
        <f>IF(K$2="Y",IF(MaGic_AVM_Land!K13=0,"",MaGic_AVM_Land!K13),"")</f>
        <v/>
      </c>
      <c r="L13" s="71" t="str">
        <f>IF(L$2="Y",IF(MaGic_AVM_Land!L13=0,"",MaGic_AVM_Land!L13),"")</f>
        <v/>
      </c>
      <c r="M13" s="71" t="str">
        <f>IF(M$2="Y",IF(MaGic_AVM_Land!M13=0,"",MaGic_AVM_Land!M13),"")</f>
        <v/>
      </c>
      <c r="N13" s="71" t="str">
        <f>IF(N$2="Y",IF(MaGic_AVM_Land!N13=0,"",MaGic_AVM_Land!N13),"")</f>
        <v/>
      </c>
      <c r="O13" s="71" t="str">
        <f>IF(O$2="Y",IF(MaGic_AVM_Land!O13=0,"",MaGic_AVM_Land!O13),"")</f>
        <v/>
      </c>
      <c r="P13" s="71" t="str">
        <f>IF(P$2="Y",IF(MaGic_AVM_Land!P13=0,"",MaGic_AVM_Land!P13),"")</f>
        <v/>
      </c>
      <c r="Q13" s="71" t="str">
        <f>IF(Q$2="Y",IF(MaGic_AVM_Land!Q13=0,"",MaGic_AVM_Land!Q13),"")</f>
        <v/>
      </c>
      <c r="R13" s="71" t="str">
        <f>IF(R$2="Y",IF(MaGic_AVM_Land!R13=0,"",MaGic_AVM_Land!R13),"")</f>
        <v/>
      </c>
      <c r="S13" s="71" t="str">
        <f>IF(S$2="Y",IF(MaGic_AVM_Land!S13=0,"",MaGic_AVM_Land!S13),"")</f>
        <v/>
      </c>
      <c r="T13" s="71" t="str">
        <f>IF(T$2="Y",IF(MaGic_AVM_Land!T13=0,"",MaGic_AVM_Land!T13),"")</f>
        <v/>
      </c>
      <c r="U13" s="71" t="str">
        <f>IF(U$2="Y",IF(MaGic_AVM_Land!U13=0,"",MaGic_AVM_Land!U13),"")</f>
        <v/>
      </c>
      <c r="V13" s="71" t="str">
        <f>IF(V$2="Y",IF(MaGic_AVM_Land!V13=0,"",MaGic_AVM_Land!V13),"")</f>
        <v/>
      </c>
      <c r="W13" s="71" t="str">
        <f>IF(W$2="Y",IF(MaGic_AVM_Land!W13=0,"",MaGic_AVM_Land!W13),"")</f>
        <v/>
      </c>
      <c r="X13" s="71" t="str">
        <f>IF(X$2="Y",IF(MaGic_AVM_Land!X13=0,"",MaGic_AVM_Land!X13),"")</f>
        <v/>
      </c>
      <c r="Y13" s="71" t="str">
        <f>IF(Y$2="Y",IF(MaGic_AVM_Land!Y13=0,"",MaGic_AVM_Land!Y13),"")</f>
        <v/>
      </c>
      <c r="Z13" s="71" t="str">
        <f>IF(Z$2="Y",IF(MaGic_AVM_Land!Z13=0,"",MaGic_AVM_Land!Z13),"")</f>
        <v/>
      </c>
      <c r="AA13" s="69" t="str">
        <f>CONCATENATE(IF(AB13="",AC13,AB13)," ",AA12)</f>
        <v>Mangalapuram Grama Panchayat</v>
      </c>
      <c r="AB13" s="69" t="str" cm="1">
        <f t="array" ref="AB13:AC13">_xlfn.UNIQUE(C13:Z13,TRUE,FALSE)</f>
        <v/>
      </c>
      <c r="AC13" s="69" t="str">
        <v>Mangalapuram</v>
      </c>
    </row>
    <row r="14" spans="1:29">
      <c r="A14" s="70">
        <v>12</v>
      </c>
      <c r="B14" s="70" t="s">
        <v>69</v>
      </c>
      <c r="C14" s="71" t="str">
        <f>IF(C$2="Y",IF(MaGic_AVM_Land!C14=0,"",MaGic_AVM_Land!C14),"")</f>
        <v/>
      </c>
      <c r="D14" s="71" t="str">
        <f>IF(D$2="Y",IF(MaGic_AVM_Land!D14=0,"",MaGic_AVM_Land!D14),"")</f>
        <v/>
      </c>
      <c r="E14" s="71" t="str">
        <f>IF(E$2="Y",IF(MaGic_AVM_Land!E14=0,"",MaGic_AVM_Land!E14),"")</f>
        <v/>
      </c>
      <c r="F14" s="71">
        <f>IF(F$2="Y",IF(MaGic_AVM_Land!F14=0,"",MaGic_AVM_Land!F14),"")</f>
        <v>3</v>
      </c>
      <c r="G14" s="71" t="str">
        <f>IF(G$2="Y",IF(MaGic_AVM_Land!G14=0,"",MaGic_AVM_Land!G14),"")</f>
        <v/>
      </c>
      <c r="H14" s="71" t="str">
        <f>IF(H$2="Y",IF(MaGic_AVM_Land!H14=0,"",MaGic_AVM_Land!H14),"")</f>
        <v/>
      </c>
      <c r="I14" s="71" t="str">
        <f>IF(I$2="Y",IF(MaGic_AVM_Land!I14=0,"",MaGic_AVM_Land!I14),"")</f>
        <v/>
      </c>
      <c r="J14" s="71" t="str">
        <f>IF(J$2="Y",IF(MaGic_AVM_Land!J14=0,"",MaGic_AVM_Land!J14),"")</f>
        <v/>
      </c>
      <c r="K14" s="71" t="str">
        <f>IF(K$2="Y",IF(MaGic_AVM_Land!K14=0,"",MaGic_AVM_Land!K14),"")</f>
        <v/>
      </c>
      <c r="L14" s="71" t="str">
        <f>IF(L$2="Y",IF(MaGic_AVM_Land!L14=0,"",MaGic_AVM_Land!L14),"")</f>
        <v/>
      </c>
      <c r="M14" s="71" t="str">
        <f>IF(M$2="Y",IF(MaGic_AVM_Land!M14=0,"",MaGic_AVM_Land!M14),"")</f>
        <v/>
      </c>
      <c r="N14" s="71" t="str">
        <f>IF(N$2="Y",IF(MaGic_AVM_Land!N14=0,"",MaGic_AVM_Land!N14),"")</f>
        <v/>
      </c>
      <c r="O14" s="71" t="str">
        <f>IF(O$2="Y",IF(MaGic_AVM_Land!O14=0,"",MaGic_AVM_Land!O14),"")</f>
        <v/>
      </c>
      <c r="P14" s="71" t="str">
        <f>IF(P$2="Y",IF(MaGic_AVM_Land!P14=0,"",MaGic_AVM_Land!P14),"")</f>
        <v/>
      </c>
      <c r="Q14" s="71" t="str">
        <f>IF(Q$2="Y",IF(MaGic_AVM_Land!Q14=0,"",MaGic_AVM_Land!Q14),"")</f>
        <v/>
      </c>
      <c r="R14" s="71" t="str">
        <f>IF(R$2="Y",IF(MaGic_AVM_Land!R14=0,"",MaGic_AVM_Land!R14),"")</f>
        <v/>
      </c>
      <c r="S14" s="71" t="str">
        <f>IF(S$2="Y",IF(MaGic_AVM_Land!S14=0,"",MaGic_AVM_Land!S14),"")</f>
        <v/>
      </c>
      <c r="T14" s="71" t="str">
        <f>IF(T$2="Y",IF(MaGic_AVM_Land!T14=0,"",MaGic_AVM_Land!T14),"")</f>
        <v/>
      </c>
      <c r="U14" s="71" t="str">
        <f>IF(U$2="Y",IF(MaGic_AVM_Land!U14=0,"",MaGic_AVM_Land!U14),"")</f>
        <v/>
      </c>
      <c r="V14" s="71" t="str">
        <f>IF(V$2="Y",IF(MaGic_AVM_Land!V14=0,"",MaGic_AVM_Land!V14),"")</f>
        <v/>
      </c>
      <c r="W14" s="71" t="str">
        <f>IF(W$2="Y",IF(MaGic_AVM_Land!W14=0,"",MaGic_AVM_Land!W14),"")</f>
        <v/>
      </c>
      <c r="X14" s="71" t="str">
        <f>IF(X$2="Y",IF(MaGic_AVM_Land!X14=0,"",MaGic_AVM_Land!X14),"")</f>
        <v/>
      </c>
      <c r="Y14" s="71" t="str">
        <f>IF(Y$2="Y",IF(MaGic_AVM_Land!Y14=0,"",MaGic_AVM_Land!Y14),"")</f>
        <v/>
      </c>
      <c r="Z14" s="71" t="str">
        <f>IF(Z$2="Y",IF(MaGic_AVM_Land!Z14=0,"",MaGic_AVM_Land!Z14),"")</f>
        <v/>
      </c>
      <c r="AA14" s="69" t="str">
        <f t="shared" ref="AA14:AA18" si="1">_xlfn.TEXTJOIN(",",TRUE,AB14:AZ14)</f>
        <v>3</v>
      </c>
      <c r="AB14" s="69" t="str" cm="1">
        <f t="array" ref="AB14:AC14">_xlfn.UNIQUE(C14:Z14,TRUE,FALSE)</f>
        <v/>
      </c>
      <c r="AC14" s="69">
        <v>3</v>
      </c>
    </row>
    <row r="15" spans="1:29">
      <c r="A15" s="70">
        <v>13</v>
      </c>
      <c r="B15" s="70" t="s">
        <v>70</v>
      </c>
      <c r="C15" s="71" t="str">
        <f>IF(C$2="Y",IF(MaGic_AVM_Land!C15=0,"",MaGic_AVM_Land!C15),"")</f>
        <v/>
      </c>
      <c r="D15" s="71" t="str">
        <f>IF(D$2="Y",IF(MaGic_AVM_Land!D15=0,"",MaGic_AVM_Land!D15),"")</f>
        <v/>
      </c>
      <c r="E15" s="71" t="str">
        <f>IF(E$2="Y",IF(MaGic_AVM_Land!E15=0,"",MaGic_AVM_Land!E15),"")</f>
        <v/>
      </c>
      <c r="F15" s="71">
        <f>IF(F$2="Y",IF(MaGic_AVM_Land!F15=0,"",MaGic_AVM_Land!F15),"")</f>
        <v>254</v>
      </c>
      <c r="G15" s="71" t="str">
        <f>IF(G$2="Y",IF(MaGic_AVM_Land!G15=0,"",MaGic_AVM_Land!G15),"")</f>
        <v/>
      </c>
      <c r="H15" s="71" t="str">
        <f>IF(H$2="Y",IF(MaGic_AVM_Land!H15=0,"",MaGic_AVM_Land!H15),"")</f>
        <v/>
      </c>
      <c r="I15" s="71" t="str">
        <f>IF(I$2="Y",IF(MaGic_AVM_Land!I15=0,"",MaGic_AVM_Land!I15),"")</f>
        <v/>
      </c>
      <c r="J15" s="71" t="str">
        <f>IF(J$2="Y",IF(MaGic_AVM_Land!J15=0,"",MaGic_AVM_Land!J15),"")</f>
        <v/>
      </c>
      <c r="K15" s="71" t="str">
        <f>IF(K$2="Y",IF(MaGic_AVM_Land!K15=0,"",MaGic_AVM_Land!K15),"")</f>
        <v/>
      </c>
      <c r="L15" s="71" t="str">
        <f>IF(L$2="Y",IF(MaGic_AVM_Land!L15=0,"",MaGic_AVM_Land!L15),"")</f>
        <v/>
      </c>
      <c r="M15" s="71" t="str">
        <f>IF(M$2="Y",IF(MaGic_AVM_Land!M15=0,"",MaGic_AVM_Land!M15),"")</f>
        <v/>
      </c>
      <c r="N15" s="71" t="str">
        <f>IF(N$2="Y",IF(MaGic_AVM_Land!N15=0,"",MaGic_AVM_Land!N15),"")</f>
        <v/>
      </c>
      <c r="O15" s="71" t="str">
        <f>IF(O$2="Y",IF(MaGic_AVM_Land!O15=0,"",MaGic_AVM_Land!O15),"")</f>
        <v/>
      </c>
      <c r="P15" s="71" t="str">
        <f>IF(P$2="Y",IF(MaGic_AVM_Land!P15=0,"",MaGic_AVM_Land!P15),"")</f>
        <v/>
      </c>
      <c r="Q15" s="71" t="str">
        <f>IF(Q$2="Y",IF(MaGic_AVM_Land!Q15=0,"",MaGic_AVM_Land!Q15),"")</f>
        <v/>
      </c>
      <c r="R15" s="71" t="str">
        <f>IF(R$2="Y",IF(MaGic_AVM_Land!R15=0,"",MaGic_AVM_Land!R15),"")</f>
        <v/>
      </c>
      <c r="S15" s="71" t="str">
        <f>IF(S$2="Y",IF(MaGic_AVM_Land!S15=0,"",MaGic_AVM_Land!S15),"")</f>
        <v/>
      </c>
      <c r="T15" s="71" t="str">
        <f>IF(T$2="Y",IF(MaGic_AVM_Land!T15=0,"",MaGic_AVM_Land!T15),"")</f>
        <v/>
      </c>
      <c r="U15" s="71" t="str">
        <f>IF(U$2="Y",IF(MaGic_AVM_Land!U15=0,"",MaGic_AVM_Land!U15),"")</f>
        <v/>
      </c>
      <c r="V15" s="71" t="str">
        <f>IF(V$2="Y",IF(MaGic_AVM_Land!V15=0,"",MaGic_AVM_Land!V15),"")</f>
        <v/>
      </c>
      <c r="W15" s="71" t="str">
        <f>IF(W$2="Y",IF(MaGic_AVM_Land!W15=0,"",MaGic_AVM_Land!W15),"")</f>
        <v/>
      </c>
      <c r="X15" s="71" t="str">
        <f>IF(X$2="Y",IF(MaGic_AVM_Land!X15=0,"",MaGic_AVM_Land!X15),"")</f>
        <v/>
      </c>
      <c r="Y15" s="71" t="str">
        <f>IF(Y$2="Y",IF(MaGic_AVM_Land!Y15=0,"",MaGic_AVM_Land!Y15),"")</f>
        <v/>
      </c>
      <c r="Z15" s="71" t="str">
        <f>IF(Z$2="Y",IF(MaGic_AVM_Land!Z15=0,"",MaGic_AVM_Land!Z15),"")</f>
        <v/>
      </c>
      <c r="AA15" s="69" t="str">
        <f t="shared" si="1"/>
        <v>254</v>
      </c>
      <c r="AB15" s="69" t="str" cm="1">
        <f t="array" ref="AB15:AC15">_xlfn.UNIQUE(C15:Z15,TRUE,FALSE)</f>
        <v/>
      </c>
      <c r="AC15" s="69">
        <v>254</v>
      </c>
    </row>
    <row r="16" spans="1:29">
      <c r="A16" s="70">
        <v>14</v>
      </c>
      <c r="B16" s="70" t="s">
        <v>71</v>
      </c>
      <c r="C16" s="71" t="str">
        <f>IF(C$2="Y",IF(MaGic_AVM_Land!C16=0,"",MaGic_AVM_Land!C16),"")</f>
        <v/>
      </c>
      <c r="D16" s="71" t="str">
        <f>IF(D$2="Y",IF(MaGic_AVM_Land!D16=0,"",MaGic_AVM_Land!D16),"")</f>
        <v/>
      </c>
      <c r="E16" s="71" t="str">
        <f>IF(E$2="Y",IF(MaGic_AVM_Land!E16=0,"",MaGic_AVM_Land!E16),"")</f>
        <v/>
      </c>
      <c r="F16" s="71" t="str">
        <f>IF(F$2="Y",IF(MaGic_AVM_Land!F16=0,"",MaGic_AVM_Land!F16),"")</f>
        <v>21-2</v>
      </c>
      <c r="G16" s="71" t="str">
        <f>IF(G$2="Y",IF(MaGic_AVM_Land!G16=0,"",MaGic_AVM_Land!G16),"")</f>
        <v/>
      </c>
      <c r="H16" s="71" t="str">
        <f>IF(H$2="Y",IF(MaGic_AVM_Land!H16=0,"",MaGic_AVM_Land!H16),"")</f>
        <v/>
      </c>
      <c r="I16" s="71" t="str">
        <f>IF(I$2="Y",IF(MaGic_AVM_Land!I16=0,"",MaGic_AVM_Land!I16),"")</f>
        <v/>
      </c>
      <c r="J16" s="71" t="str">
        <f>IF(J$2="Y",IF(MaGic_AVM_Land!J16=0,"",MaGic_AVM_Land!J16),"")</f>
        <v/>
      </c>
      <c r="K16" s="71" t="str">
        <f>IF(K$2="Y",IF(MaGic_AVM_Land!K16=0,"",MaGic_AVM_Land!K16),"")</f>
        <v/>
      </c>
      <c r="L16" s="71" t="str">
        <f>IF(L$2="Y",IF(MaGic_AVM_Land!L16=0,"",MaGic_AVM_Land!L16),"")</f>
        <v/>
      </c>
      <c r="M16" s="71" t="str">
        <f>IF(M$2="Y",IF(MaGic_AVM_Land!M16=0,"",MaGic_AVM_Land!M16),"")</f>
        <v/>
      </c>
      <c r="N16" s="71" t="str">
        <f>IF(N$2="Y",IF(MaGic_AVM_Land!N16=0,"",MaGic_AVM_Land!N16),"")</f>
        <v/>
      </c>
      <c r="O16" s="71" t="str">
        <f>IF(O$2="Y",IF(MaGic_AVM_Land!O16=0,"",MaGic_AVM_Land!O16),"")</f>
        <v/>
      </c>
      <c r="P16" s="71" t="str">
        <f>IF(P$2="Y",IF(MaGic_AVM_Land!P16=0,"",MaGic_AVM_Land!P16),"")</f>
        <v/>
      </c>
      <c r="Q16" s="71" t="str">
        <f>IF(Q$2="Y",IF(MaGic_AVM_Land!Q16=0,"",MaGic_AVM_Land!Q16),"")</f>
        <v/>
      </c>
      <c r="R16" s="71" t="str">
        <f>IF(R$2="Y",IF(MaGic_AVM_Land!R16=0,"",MaGic_AVM_Land!R16),"")</f>
        <v/>
      </c>
      <c r="S16" s="71" t="str">
        <f>IF(S$2="Y",IF(MaGic_AVM_Land!S16=0,"",MaGic_AVM_Land!S16),"")</f>
        <v/>
      </c>
      <c r="T16" s="71" t="str">
        <f>IF(T$2="Y",IF(MaGic_AVM_Land!T16=0,"",MaGic_AVM_Land!T16),"")</f>
        <v/>
      </c>
      <c r="U16" s="71" t="str">
        <f>IF(U$2="Y",IF(MaGic_AVM_Land!U16=0,"",MaGic_AVM_Land!U16),"")</f>
        <v/>
      </c>
      <c r="V16" s="71" t="str">
        <f>IF(V$2="Y",IF(MaGic_AVM_Land!V16=0,"",MaGic_AVM_Land!V16),"")</f>
        <v/>
      </c>
      <c r="W16" s="71" t="str">
        <f>IF(W$2="Y",IF(MaGic_AVM_Land!W16=0,"",MaGic_AVM_Land!W16),"")</f>
        <v/>
      </c>
      <c r="X16" s="71" t="str">
        <f>IF(X$2="Y",IF(MaGic_AVM_Land!X16=0,"",MaGic_AVM_Land!X16),"")</f>
        <v/>
      </c>
      <c r="Y16" s="71" t="str">
        <f>IF(Y$2="Y",IF(MaGic_AVM_Land!Y16=0,"",MaGic_AVM_Land!Y16),"")</f>
        <v/>
      </c>
      <c r="Z16" s="71" t="str">
        <f>IF(Z$2="Y",IF(MaGic_AVM_Land!Z16=0,"",MaGic_AVM_Land!Z16),"")</f>
        <v/>
      </c>
      <c r="AA16" s="69" t="str">
        <f t="shared" si="1"/>
        <v>21-2</v>
      </c>
      <c r="AB16" s="69" t="str" cm="1">
        <f t="array" ref="AB16:AC16">_xlfn.UNIQUE(C16:Z16,TRUE,FALSE)</f>
        <v/>
      </c>
      <c r="AC16" s="69" t="str">
        <v>21-2</v>
      </c>
    </row>
    <row r="17" spans="1:29">
      <c r="A17" s="70">
        <v>15</v>
      </c>
      <c r="B17" s="70" t="s">
        <v>77</v>
      </c>
      <c r="C17" s="71" t="str">
        <f>IF(C$2="Y",IF(MaGic_AVM_Land!C17=0,"",MaGic_AVM_Land!C17),"")</f>
        <v/>
      </c>
      <c r="D17" s="71" t="str">
        <f>IF(D$2="Y",IF(MaGic_AVM_Land!D17=0,"",MaGic_AVM_Land!D17),"")</f>
        <v/>
      </c>
      <c r="E17" s="71" t="str">
        <f>IF(E$2="Y",IF(MaGic_AVM_Land!E17=0,"",MaGic_AVM_Land!E17),"")</f>
        <v/>
      </c>
      <c r="F17" s="71" t="str">
        <f>IF(F$2="Y",IF(MaGic_AVM_Land!F17=0,"",MaGic_AVM_Land!F17),"")</f>
        <v/>
      </c>
      <c r="G17" s="71" t="str">
        <f>IF(G$2="Y",IF(MaGic_AVM_Land!G17=0,"",MaGic_AVM_Land!G17),"")</f>
        <v/>
      </c>
      <c r="H17" s="71" t="str">
        <f>IF(H$2="Y",IF(MaGic_AVM_Land!H17=0,"",MaGic_AVM_Land!H17),"")</f>
        <v/>
      </c>
      <c r="I17" s="71" t="str">
        <f>IF(I$2="Y",IF(MaGic_AVM_Land!I17=0,"",MaGic_AVM_Land!I17),"")</f>
        <v/>
      </c>
      <c r="J17" s="71" t="str">
        <f>IF(J$2="Y",IF(MaGic_AVM_Land!J17=0,"",MaGic_AVM_Land!J17),"")</f>
        <v/>
      </c>
      <c r="K17" s="71" t="str">
        <f>IF(K$2="Y",IF(MaGic_AVM_Land!K17=0,"",MaGic_AVM_Land!K17),"")</f>
        <v/>
      </c>
      <c r="L17" s="71" t="str">
        <f>IF(L$2="Y",IF(MaGic_AVM_Land!L17=0,"",MaGic_AVM_Land!L17),"")</f>
        <v/>
      </c>
      <c r="M17" s="71" t="str">
        <f>IF(M$2="Y",IF(MaGic_AVM_Land!M17=0,"",MaGic_AVM_Land!M17),"")</f>
        <v/>
      </c>
      <c r="N17" s="71" t="str">
        <f>IF(N$2="Y",IF(MaGic_AVM_Land!N17=0,"",MaGic_AVM_Land!N17),"")</f>
        <v/>
      </c>
      <c r="O17" s="71" t="str">
        <f>IF(O$2="Y",IF(MaGic_AVM_Land!O17=0,"",MaGic_AVM_Land!O17),"")</f>
        <v/>
      </c>
      <c r="P17" s="71" t="str">
        <f>IF(P$2="Y",IF(MaGic_AVM_Land!P17=0,"",MaGic_AVM_Land!P17),"")</f>
        <v/>
      </c>
      <c r="Q17" s="71" t="str">
        <f>IF(Q$2="Y",IF(MaGic_AVM_Land!Q17=0,"",MaGic_AVM_Land!Q17),"")</f>
        <v/>
      </c>
      <c r="R17" s="71" t="str">
        <f>IF(R$2="Y",IF(MaGic_AVM_Land!R17=0,"",MaGic_AVM_Land!R17),"")</f>
        <v/>
      </c>
      <c r="S17" s="71" t="str">
        <f>IF(S$2="Y",IF(MaGic_AVM_Land!S17=0,"",MaGic_AVM_Land!S17),"")</f>
        <v/>
      </c>
      <c r="T17" s="71" t="str">
        <f>IF(T$2="Y",IF(MaGic_AVM_Land!T17=0,"",MaGic_AVM_Land!T17),"")</f>
        <v/>
      </c>
      <c r="U17" s="71" t="str">
        <f>IF(U$2="Y",IF(MaGic_AVM_Land!U17=0,"",MaGic_AVM_Land!U17),"")</f>
        <v/>
      </c>
      <c r="V17" s="71" t="str">
        <f>IF(V$2="Y",IF(MaGic_AVM_Land!V17=0,"",MaGic_AVM_Land!V17),"")</f>
        <v/>
      </c>
      <c r="W17" s="71" t="str">
        <f>IF(W$2="Y",IF(MaGic_AVM_Land!W17=0,"",MaGic_AVM_Land!W17),"")</f>
        <v/>
      </c>
      <c r="X17" s="71" t="str">
        <f>IF(X$2="Y",IF(MaGic_AVM_Land!X17=0,"",MaGic_AVM_Land!X17),"")</f>
        <v/>
      </c>
      <c r="Y17" s="71" t="str">
        <f>IF(Y$2="Y",IF(MaGic_AVM_Land!Y17=0,"",MaGic_AVM_Land!Y17),"")</f>
        <v/>
      </c>
      <c r="Z17" s="71" t="str">
        <f>IF(Z$2="Y",IF(MaGic_AVM_Land!Z17=0,"",MaGic_AVM_Land!Z17),"")</f>
        <v/>
      </c>
      <c r="AA17" s="69" t="str">
        <f t="shared" si="1"/>
        <v/>
      </c>
      <c r="AB17" s="69" t="str" cm="1">
        <f t="array" ref="AB17">_xlfn.UNIQUE(C17:Z17,TRUE,FALSE)</f>
        <v/>
      </c>
    </row>
    <row r="18" spans="1:29">
      <c r="A18" s="70">
        <v>16</v>
      </c>
      <c r="B18" s="70" t="s">
        <v>78</v>
      </c>
      <c r="C18" s="71" t="str">
        <f>IF(C$2="Y",IF(MaGic_AVM_Land!C18=0,"",MaGic_AVM_Land!C18),"")</f>
        <v/>
      </c>
      <c r="D18" s="71" t="str">
        <f>IF(D$2="Y",IF(MaGic_AVM_Land!D18=0,"",MaGic_AVM_Land!D18),"")</f>
        <v/>
      </c>
      <c r="E18" s="71" t="str">
        <f>IF(E$2="Y",IF(MaGic_AVM_Land!E18=0,"",MaGic_AVM_Land!E18),"")</f>
        <v/>
      </c>
      <c r="F18" s="71" t="str">
        <f>IF(F$2="Y",IF(MaGic_AVM_Land!F18=0,"",MaGic_AVM_Land!F18),"")</f>
        <v/>
      </c>
      <c r="G18" s="71" t="str">
        <f>IF(G$2="Y",IF(MaGic_AVM_Land!G18=0,"",MaGic_AVM_Land!G18),"")</f>
        <v/>
      </c>
      <c r="H18" s="71" t="str">
        <f>IF(H$2="Y",IF(MaGic_AVM_Land!H18=0,"",MaGic_AVM_Land!H18),"")</f>
        <v/>
      </c>
      <c r="I18" s="71" t="str">
        <f>IF(I$2="Y",IF(MaGic_AVM_Land!I18=0,"",MaGic_AVM_Land!I18),"")</f>
        <v/>
      </c>
      <c r="J18" s="71" t="str">
        <f>IF(J$2="Y",IF(MaGic_AVM_Land!J18=0,"",MaGic_AVM_Land!J18),"")</f>
        <v/>
      </c>
      <c r="K18" s="71" t="str">
        <f>IF(K$2="Y",IF(MaGic_AVM_Land!K18=0,"",MaGic_AVM_Land!K18),"")</f>
        <v/>
      </c>
      <c r="L18" s="71" t="str">
        <f>IF(L$2="Y",IF(MaGic_AVM_Land!L18=0,"",MaGic_AVM_Land!L18),"")</f>
        <v/>
      </c>
      <c r="M18" s="71" t="str">
        <f>IF(M$2="Y",IF(MaGic_AVM_Land!M18=0,"",MaGic_AVM_Land!M18),"")</f>
        <v/>
      </c>
      <c r="N18" s="71" t="str">
        <f>IF(N$2="Y",IF(MaGic_AVM_Land!N18=0,"",MaGic_AVM_Land!N18),"")</f>
        <v/>
      </c>
      <c r="O18" s="71" t="str">
        <f>IF(O$2="Y",IF(MaGic_AVM_Land!O18=0,"",MaGic_AVM_Land!O18),"")</f>
        <v/>
      </c>
      <c r="P18" s="71" t="str">
        <f>IF(P$2="Y",IF(MaGic_AVM_Land!P18=0,"",MaGic_AVM_Land!P18),"")</f>
        <v/>
      </c>
      <c r="Q18" s="71" t="str">
        <f>IF(Q$2="Y",IF(MaGic_AVM_Land!Q18=0,"",MaGic_AVM_Land!Q18),"")</f>
        <v/>
      </c>
      <c r="R18" s="71" t="str">
        <f>IF(R$2="Y",IF(MaGic_AVM_Land!R18=0,"",MaGic_AVM_Land!R18),"")</f>
        <v/>
      </c>
      <c r="S18" s="71" t="str">
        <f>IF(S$2="Y",IF(MaGic_AVM_Land!S18=0,"",MaGic_AVM_Land!S18),"")</f>
        <v/>
      </c>
      <c r="T18" s="71" t="str">
        <f>IF(T$2="Y",IF(MaGic_AVM_Land!T18=0,"",MaGic_AVM_Land!T18),"")</f>
        <v/>
      </c>
      <c r="U18" s="71" t="str">
        <f>IF(U$2="Y",IF(MaGic_AVM_Land!U18=0,"",MaGic_AVM_Land!U18),"")</f>
        <v/>
      </c>
      <c r="V18" s="71" t="str">
        <f>IF(V$2="Y",IF(MaGic_AVM_Land!V18=0,"",MaGic_AVM_Land!V18),"")</f>
        <v/>
      </c>
      <c r="W18" s="71" t="str">
        <f>IF(W$2="Y",IF(MaGic_AVM_Land!W18=0,"",MaGic_AVM_Land!W18),"")</f>
        <v/>
      </c>
      <c r="X18" s="71" t="str">
        <f>IF(X$2="Y",IF(MaGic_AVM_Land!X18=0,"",MaGic_AVM_Land!X18),"")</f>
        <v/>
      </c>
      <c r="Y18" s="71" t="str">
        <f>IF(Y$2="Y",IF(MaGic_AVM_Land!Y18=0,"",MaGic_AVM_Land!Y18),"")</f>
        <v/>
      </c>
      <c r="Z18" s="71" t="str">
        <f>IF(Z$2="Y",IF(MaGic_AVM_Land!Z18=0,"",MaGic_AVM_Land!Z18),"")</f>
        <v/>
      </c>
      <c r="AA18" s="69" t="str">
        <f t="shared" si="1"/>
        <v/>
      </c>
      <c r="AB18" s="69" t="str" cm="1">
        <f t="array" ref="AB18">_xlfn.UNIQUE(C18:Z18,TRUE,FALSE)</f>
        <v/>
      </c>
    </row>
    <row r="19" spans="1:29">
      <c r="A19" s="70">
        <v>17</v>
      </c>
      <c r="B19" s="70" t="s">
        <v>79</v>
      </c>
      <c r="C19" s="71" t="str">
        <f>IF(C$2="Y",IF(MaGic_AVM_Land!C19=0,"",MaGic_AVM_Land!C19),"")</f>
        <v/>
      </c>
      <c r="D19" s="71" t="str">
        <f>IF(D$2="Y",IF(MaGic_AVM_Land!D19=0,"",MaGic_AVM_Land!D19),"")</f>
        <v/>
      </c>
      <c r="E19" s="71" t="str">
        <f>IF(E$2="Y",IF(MaGic_AVM_Land!E19=0,"",MaGic_AVM_Land!E19),"")</f>
        <v/>
      </c>
      <c r="F19" s="71" t="str">
        <f>IF(F$2="Y",IF(MaGic_AVM_Land!F19=0,"",MaGic_AVM_Land!F19),"")</f>
        <v/>
      </c>
      <c r="G19" s="71" t="str">
        <f>IF(G$2="Y",IF(MaGic_AVM_Land!G19=0,"",MaGic_AVM_Land!G19),"")</f>
        <v/>
      </c>
      <c r="H19" s="71" t="str">
        <f>IF(H$2="Y",IF(MaGic_AVM_Land!H19=0,"",MaGic_AVM_Land!H19),"")</f>
        <v/>
      </c>
      <c r="I19" s="71" t="str">
        <f>IF(I$2="Y",IF(MaGic_AVM_Land!I19=0,"",MaGic_AVM_Land!I19),"")</f>
        <v/>
      </c>
      <c r="J19" s="71" t="str">
        <f>IF(J$2="Y",IF(MaGic_AVM_Land!J19=0,"",MaGic_AVM_Land!J19),"")</f>
        <v/>
      </c>
      <c r="K19" s="71" t="str">
        <f>IF(K$2="Y",IF(MaGic_AVM_Land!K19=0,"",MaGic_AVM_Land!K19),"")</f>
        <v/>
      </c>
      <c r="L19" s="71" t="str">
        <f>IF(L$2="Y",IF(MaGic_AVM_Land!L19=0,"",MaGic_AVM_Land!L19),"")</f>
        <v/>
      </c>
      <c r="M19" s="71" t="str">
        <f>IF(M$2="Y",IF(MaGic_AVM_Land!M19=0,"",MaGic_AVM_Land!M19),"")</f>
        <v/>
      </c>
      <c r="N19" s="71" t="str">
        <f>IF(N$2="Y",IF(MaGic_AVM_Land!N19=0,"",MaGic_AVM_Land!N19),"")</f>
        <v/>
      </c>
      <c r="O19" s="71" t="str">
        <f>IF(O$2="Y",IF(MaGic_AVM_Land!O19=0,"",MaGic_AVM_Land!O19),"")</f>
        <v/>
      </c>
      <c r="P19" s="71" t="str">
        <f>IF(P$2="Y",IF(MaGic_AVM_Land!P19=0,"",MaGic_AVM_Land!P19),"")</f>
        <v/>
      </c>
      <c r="Q19" s="71" t="str">
        <f>IF(Q$2="Y",IF(MaGic_AVM_Land!Q19=0,"",MaGic_AVM_Land!Q19),"")</f>
        <v/>
      </c>
      <c r="R19" s="71" t="str">
        <f>IF(R$2="Y",IF(MaGic_AVM_Land!R19=0,"",MaGic_AVM_Land!R19),"")</f>
        <v/>
      </c>
      <c r="S19" s="71" t="str">
        <f>IF(S$2="Y",IF(MaGic_AVM_Land!S19=0,"",MaGic_AVM_Land!S19),"")</f>
        <v/>
      </c>
      <c r="T19" s="71" t="str">
        <f>IF(T$2="Y",IF(MaGic_AVM_Land!T19=0,"",MaGic_AVM_Land!T19),"")</f>
        <v/>
      </c>
      <c r="U19" s="71" t="str">
        <f>IF(U$2="Y",IF(MaGic_AVM_Land!U19=0,"",MaGic_AVM_Land!U19),"")</f>
        <v/>
      </c>
      <c r="V19" s="71" t="str">
        <f>IF(V$2="Y",IF(MaGic_AVM_Land!V19=0,"",MaGic_AVM_Land!V19),"")</f>
        <v/>
      </c>
      <c r="W19" s="71" t="str">
        <f>IF(W$2="Y",IF(MaGic_AVM_Land!W19=0,"",MaGic_AVM_Land!W19),"")</f>
        <v/>
      </c>
      <c r="X19" s="71" t="str">
        <f>IF(X$2="Y",IF(MaGic_AVM_Land!X19=0,"",MaGic_AVM_Land!X19),"")</f>
        <v/>
      </c>
      <c r="Y19" s="71" t="str">
        <f>IF(Y$2="Y",IF(MaGic_AVM_Land!Y19=0,"",MaGic_AVM_Land!Y19),"")</f>
        <v/>
      </c>
      <c r="Z19" s="71" t="str">
        <f>IF(Z$2="Y",IF(MaGic_AVM_Land!Z19=0,"",MaGic_AVM_Land!Z19),"")</f>
        <v/>
      </c>
      <c r="AA19" s="69" t="str">
        <f t="shared" ref="AA19:AA22" si="2">_xlfn.TEXTJOIN(",",TRUE,AB19:AZ19)</f>
        <v/>
      </c>
      <c r="AB19" s="69" t="str" cm="1">
        <f t="array" ref="AB19">_xlfn.UNIQUE(C19:Z19,TRUE,FALSE)</f>
        <v/>
      </c>
    </row>
    <row r="20" spans="1:29">
      <c r="A20" s="70">
        <v>18</v>
      </c>
      <c r="B20" s="70" t="s">
        <v>80</v>
      </c>
      <c r="C20" s="71" t="str">
        <f>IF(C$2="Y",IF(MaGic_AVM_Land!C20=0,"",MaGic_AVM_Land!C20),"")</f>
        <v/>
      </c>
      <c r="D20" s="71" t="str">
        <f>IF(D$2="Y",IF(MaGic_AVM_Land!D20=0,"",MaGic_AVM_Land!D20),"")</f>
        <v/>
      </c>
      <c r="E20" s="71" t="str">
        <f>IF(E$2="Y",IF(MaGic_AVM_Land!E20=0,"",MaGic_AVM_Land!E20),"")</f>
        <v/>
      </c>
      <c r="F20" s="71" t="str">
        <f>IF(F$2="Y",IF(MaGic_AVM_Land!F20=0,"",MaGic_AVM_Land!F20),"")</f>
        <v/>
      </c>
      <c r="G20" s="71" t="str">
        <f>IF(G$2="Y",IF(MaGic_AVM_Land!G20=0,"",MaGic_AVM_Land!G20),"")</f>
        <v/>
      </c>
      <c r="H20" s="71" t="str">
        <f>IF(H$2="Y",IF(MaGic_AVM_Land!H20=0,"",MaGic_AVM_Land!H20),"")</f>
        <v/>
      </c>
      <c r="I20" s="71" t="str">
        <f>IF(I$2="Y",IF(MaGic_AVM_Land!I20=0,"",MaGic_AVM_Land!I20),"")</f>
        <v/>
      </c>
      <c r="J20" s="71" t="str">
        <f>IF(J$2="Y",IF(MaGic_AVM_Land!J20=0,"",MaGic_AVM_Land!J20),"")</f>
        <v/>
      </c>
      <c r="K20" s="71" t="str">
        <f>IF(K$2="Y",IF(MaGic_AVM_Land!K20=0,"",MaGic_AVM_Land!K20),"")</f>
        <v/>
      </c>
      <c r="L20" s="71" t="str">
        <f>IF(L$2="Y",IF(MaGic_AVM_Land!L20=0,"",MaGic_AVM_Land!L20),"")</f>
        <v/>
      </c>
      <c r="M20" s="71" t="str">
        <f>IF(M$2="Y",IF(MaGic_AVM_Land!M20=0,"",MaGic_AVM_Land!M20),"")</f>
        <v/>
      </c>
      <c r="N20" s="71" t="str">
        <f>IF(N$2="Y",IF(MaGic_AVM_Land!N20=0,"",MaGic_AVM_Land!N20),"")</f>
        <v/>
      </c>
      <c r="O20" s="71" t="str">
        <f>IF(O$2="Y",IF(MaGic_AVM_Land!O20=0,"",MaGic_AVM_Land!O20),"")</f>
        <v/>
      </c>
      <c r="P20" s="71" t="str">
        <f>IF(P$2="Y",IF(MaGic_AVM_Land!P20=0,"",MaGic_AVM_Land!P20),"")</f>
        <v/>
      </c>
      <c r="Q20" s="71" t="str">
        <f>IF(Q$2="Y",IF(MaGic_AVM_Land!Q20=0,"",MaGic_AVM_Land!Q20),"")</f>
        <v/>
      </c>
      <c r="R20" s="71" t="str">
        <f>IF(R$2="Y",IF(MaGic_AVM_Land!R20=0,"",MaGic_AVM_Land!R20),"")</f>
        <v/>
      </c>
      <c r="S20" s="71" t="str">
        <f>IF(S$2="Y",IF(MaGic_AVM_Land!S20=0,"",MaGic_AVM_Land!S20),"")</f>
        <v/>
      </c>
      <c r="T20" s="71" t="str">
        <f>IF(T$2="Y",IF(MaGic_AVM_Land!T20=0,"",MaGic_AVM_Land!T20),"")</f>
        <v/>
      </c>
      <c r="U20" s="71" t="str">
        <f>IF(U$2="Y",IF(MaGic_AVM_Land!U20=0,"",MaGic_AVM_Land!U20),"")</f>
        <v/>
      </c>
      <c r="V20" s="71" t="str">
        <f>IF(V$2="Y",IF(MaGic_AVM_Land!V20=0,"",MaGic_AVM_Land!V20),"")</f>
        <v/>
      </c>
      <c r="W20" s="71" t="str">
        <f>IF(W$2="Y",IF(MaGic_AVM_Land!W20=0,"",MaGic_AVM_Land!W20),"")</f>
        <v/>
      </c>
      <c r="X20" s="71" t="str">
        <f>IF(X$2="Y",IF(MaGic_AVM_Land!X20=0,"",MaGic_AVM_Land!X20),"")</f>
        <v/>
      </c>
      <c r="Y20" s="71" t="str">
        <f>IF(Y$2="Y",IF(MaGic_AVM_Land!Y20=0,"",MaGic_AVM_Land!Y20),"")</f>
        <v/>
      </c>
      <c r="Z20" s="71" t="str">
        <f>IF(Z$2="Y",IF(MaGic_AVM_Land!Z20=0,"",MaGic_AVM_Land!Z20),"")</f>
        <v/>
      </c>
      <c r="AA20" s="69" t="str">
        <f t="shared" si="2"/>
        <v/>
      </c>
      <c r="AB20" s="69" t="str" cm="1">
        <f t="array" ref="AB20">_xlfn.UNIQUE(C20:Z20,TRUE,FALSE)</f>
        <v/>
      </c>
    </row>
    <row r="21" spans="1:29">
      <c r="A21" s="70">
        <v>19</v>
      </c>
      <c r="B21" s="70" t="s">
        <v>81</v>
      </c>
      <c r="C21" s="71" t="str">
        <f>IF(C$2="Y",IF(MaGic_AVM_Land!C21=0,"",MaGic_AVM_Land!C21),"")</f>
        <v/>
      </c>
      <c r="D21" s="71" t="str">
        <f>IF(D$2="Y",IF(MaGic_AVM_Land!D21=0,"",MaGic_AVM_Land!D21),"")</f>
        <v/>
      </c>
      <c r="E21" s="71" t="str">
        <f>IF(E$2="Y",IF(MaGic_AVM_Land!E21=0,"",MaGic_AVM_Land!E21),"")</f>
        <v/>
      </c>
      <c r="F21" s="71" t="str">
        <f>IF(F$2="Y",IF(MaGic_AVM_Land!F21=0,"",MaGic_AVM_Land!F21),"")</f>
        <v/>
      </c>
      <c r="G21" s="71" t="str">
        <f>IF(G$2="Y",IF(MaGic_AVM_Land!G21=0,"",MaGic_AVM_Land!G21),"")</f>
        <v/>
      </c>
      <c r="H21" s="71" t="str">
        <f>IF(H$2="Y",IF(MaGic_AVM_Land!H21=0,"",MaGic_AVM_Land!H21),"")</f>
        <v/>
      </c>
      <c r="I21" s="71" t="str">
        <f>IF(I$2="Y",IF(MaGic_AVM_Land!I21=0,"",MaGic_AVM_Land!I21),"")</f>
        <v/>
      </c>
      <c r="J21" s="71" t="str">
        <f>IF(J$2="Y",IF(MaGic_AVM_Land!J21=0,"",MaGic_AVM_Land!J21),"")</f>
        <v/>
      </c>
      <c r="K21" s="71" t="str">
        <f>IF(K$2="Y",IF(MaGic_AVM_Land!K21=0,"",MaGic_AVM_Land!K21),"")</f>
        <v/>
      </c>
      <c r="L21" s="71" t="str">
        <f>IF(L$2="Y",IF(MaGic_AVM_Land!L21=0,"",MaGic_AVM_Land!L21),"")</f>
        <v/>
      </c>
      <c r="M21" s="71" t="str">
        <f>IF(M$2="Y",IF(MaGic_AVM_Land!M21=0,"",MaGic_AVM_Land!M21),"")</f>
        <v/>
      </c>
      <c r="N21" s="71" t="str">
        <f>IF(N$2="Y",IF(MaGic_AVM_Land!N21=0,"",MaGic_AVM_Land!N21),"")</f>
        <v/>
      </c>
      <c r="O21" s="71" t="str">
        <f>IF(O$2="Y",IF(MaGic_AVM_Land!O21=0,"",MaGic_AVM_Land!O21),"")</f>
        <v/>
      </c>
      <c r="P21" s="71" t="str">
        <f>IF(P$2="Y",IF(MaGic_AVM_Land!P21=0,"",MaGic_AVM_Land!P21),"")</f>
        <v/>
      </c>
      <c r="Q21" s="71" t="str">
        <f>IF(Q$2="Y",IF(MaGic_AVM_Land!Q21=0,"",MaGic_AVM_Land!Q21),"")</f>
        <v/>
      </c>
      <c r="R21" s="71" t="str">
        <f>IF(R$2="Y",IF(MaGic_AVM_Land!R21=0,"",MaGic_AVM_Land!R21),"")</f>
        <v/>
      </c>
      <c r="S21" s="71" t="str">
        <f>IF(S$2="Y",IF(MaGic_AVM_Land!S21=0,"",MaGic_AVM_Land!S21),"")</f>
        <v/>
      </c>
      <c r="T21" s="71" t="str">
        <f>IF(T$2="Y",IF(MaGic_AVM_Land!T21=0,"",MaGic_AVM_Land!T21),"")</f>
        <v/>
      </c>
      <c r="U21" s="71" t="str">
        <f>IF(U$2="Y",IF(MaGic_AVM_Land!U21=0,"",MaGic_AVM_Land!U21),"")</f>
        <v/>
      </c>
      <c r="V21" s="71" t="str">
        <f>IF(V$2="Y",IF(MaGic_AVM_Land!V21=0,"",MaGic_AVM_Land!V21),"")</f>
        <v/>
      </c>
      <c r="W21" s="71" t="str">
        <f>IF(W$2="Y",IF(MaGic_AVM_Land!W21=0,"",MaGic_AVM_Land!W21),"")</f>
        <v/>
      </c>
      <c r="X21" s="71" t="str">
        <f>IF(X$2="Y",IF(MaGic_AVM_Land!X21=0,"",MaGic_AVM_Land!X21),"")</f>
        <v/>
      </c>
      <c r="Y21" s="71" t="str">
        <f>IF(Y$2="Y",IF(MaGic_AVM_Land!Y21=0,"",MaGic_AVM_Land!Y21),"")</f>
        <v/>
      </c>
      <c r="Z21" s="71" t="str">
        <f>IF(Z$2="Y",IF(MaGic_AVM_Land!Z21=0,"",MaGic_AVM_Land!Z21),"")</f>
        <v/>
      </c>
      <c r="AA21" s="69" t="str">
        <f t="shared" si="2"/>
        <v/>
      </c>
      <c r="AB21" s="69" t="str" cm="1">
        <f t="array" ref="AB21">_xlfn.UNIQUE(C21:Z21,TRUE,FALSE)</f>
        <v/>
      </c>
    </row>
    <row r="22" spans="1:29">
      <c r="A22" s="70">
        <v>20</v>
      </c>
      <c r="B22" s="70" t="s">
        <v>82</v>
      </c>
      <c r="C22" s="71" t="str">
        <f>IF(C$2="Y",IF(MaGic_AVM_Land!C22=0,"",MaGic_AVM_Land!C22),"")</f>
        <v/>
      </c>
      <c r="D22" s="71" t="str">
        <f>IF(D$2="Y",IF(MaGic_AVM_Land!D22=0,"",MaGic_AVM_Land!D22),"")</f>
        <v/>
      </c>
      <c r="E22" s="71" t="str">
        <f>IF(E$2="Y",IF(MaGic_AVM_Land!E22=0,"",MaGic_AVM_Land!E22),"")</f>
        <v/>
      </c>
      <c r="F22" s="71" t="str">
        <f>IF(F$2="Y",IF(MaGic_AVM_Land!F22=0,"",MaGic_AVM_Land!F22),"")</f>
        <v/>
      </c>
      <c r="G22" s="71" t="str">
        <f>IF(G$2="Y",IF(MaGic_AVM_Land!G22=0,"",MaGic_AVM_Land!G22),"")</f>
        <v/>
      </c>
      <c r="H22" s="71" t="str">
        <f>IF(H$2="Y",IF(MaGic_AVM_Land!H22=0,"",MaGic_AVM_Land!H22),"")</f>
        <v/>
      </c>
      <c r="I22" s="71" t="str">
        <f>IF(I$2="Y",IF(MaGic_AVM_Land!I22=0,"",MaGic_AVM_Land!I22),"")</f>
        <v/>
      </c>
      <c r="J22" s="71" t="str">
        <f>IF(J$2="Y",IF(MaGic_AVM_Land!J22=0,"",MaGic_AVM_Land!J22),"")</f>
        <v/>
      </c>
      <c r="K22" s="71" t="str">
        <f>IF(K$2="Y",IF(MaGic_AVM_Land!K22=0,"",MaGic_AVM_Land!K22),"")</f>
        <v/>
      </c>
      <c r="L22" s="71" t="str">
        <f>IF(L$2="Y",IF(MaGic_AVM_Land!L22=0,"",MaGic_AVM_Land!L22),"")</f>
        <v/>
      </c>
      <c r="M22" s="71" t="str">
        <f>IF(M$2="Y",IF(MaGic_AVM_Land!M22=0,"",MaGic_AVM_Land!M22),"")</f>
        <v/>
      </c>
      <c r="N22" s="71" t="str">
        <f>IF(N$2="Y",IF(MaGic_AVM_Land!N22=0,"",MaGic_AVM_Land!N22),"")</f>
        <v/>
      </c>
      <c r="O22" s="71" t="str">
        <f>IF(O$2="Y",IF(MaGic_AVM_Land!O22=0,"",MaGic_AVM_Land!O22),"")</f>
        <v/>
      </c>
      <c r="P22" s="71" t="str">
        <f>IF(P$2="Y",IF(MaGic_AVM_Land!P22=0,"",MaGic_AVM_Land!P22),"")</f>
        <v/>
      </c>
      <c r="Q22" s="71" t="str">
        <f>IF(Q$2="Y",IF(MaGic_AVM_Land!Q22=0,"",MaGic_AVM_Land!Q22),"")</f>
        <v/>
      </c>
      <c r="R22" s="71" t="str">
        <f>IF(R$2="Y",IF(MaGic_AVM_Land!R22=0,"",MaGic_AVM_Land!R22),"")</f>
        <v/>
      </c>
      <c r="S22" s="71" t="str">
        <f>IF(S$2="Y",IF(MaGic_AVM_Land!S22=0,"",MaGic_AVM_Land!S22),"")</f>
        <v/>
      </c>
      <c r="T22" s="71" t="str">
        <f>IF(T$2="Y",IF(MaGic_AVM_Land!T22=0,"",MaGic_AVM_Land!T22),"")</f>
        <v/>
      </c>
      <c r="U22" s="71" t="str">
        <f>IF(U$2="Y",IF(MaGic_AVM_Land!U22=0,"",MaGic_AVM_Land!U22),"")</f>
        <v/>
      </c>
      <c r="V22" s="71" t="str">
        <f>IF(V$2="Y",IF(MaGic_AVM_Land!V22=0,"",MaGic_AVM_Land!V22),"")</f>
        <v/>
      </c>
      <c r="W22" s="71" t="str">
        <f>IF(W$2="Y",IF(MaGic_AVM_Land!W22=0,"",MaGic_AVM_Land!W22),"")</f>
        <v/>
      </c>
      <c r="X22" s="71" t="str">
        <f>IF(X$2="Y",IF(MaGic_AVM_Land!X22=0,"",MaGic_AVM_Land!X22),"")</f>
        <v/>
      </c>
      <c r="Y22" s="71" t="str">
        <f>IF(Y$2="Y",IF(MaGic_AVM_Land!Y22=0,"",MaGic_AVM_Land!Y22),"")</f>
        <v/>
      </c>
      <c r="Z22" s="71" t="str">
        <f>IF(Z$2="Y",IF(MaGic_AVM_Land!Z22=0,"",MaGic_AVM_Land!Z22),"")</f>
        <v/>
      </c>
      <c r="AA22" s="69" t="str">
        <f t="shared" si="2"/>
        <v/>
      </c>
      <c r="AB22" s="69" t="str" cm="1">
        <f t="array" ref="AB22">_xlfn.UNIQUE(C22:Z22,TRUE,FALSE)</f>
        <v/>
      </c>
    </row>
    <row r="23" spans="1:29">
      <c r="A23" s="70">
        <v>21</v>
      </c>
      <c r="B23" s="70" t="s">
        <v>83</v>
      </c>
      <c r="C23" s="70" t="str">
        <f>IF(C$2="Y",IF(MaGic_AVM_Land!C23=0,"",MaGic_AVM_Land!C23),"")</f>
        <v/>
      </c>
      <c r="D23" s="70" t="str">
        <f>IF(D$2="Y",IF(MaGic_AVM_Land!D23=0,"",MaGic_AVM_Land!D23),"")</f>
        <v/>
      </c>
      <c r="E23" s="70" t="str">
        <f>IF(E$2="Y",IF(MaGic_AVM_Land!E23=0,"",MaGic_AVM_Land!E23),"")</f>
        <v/>
      </c>
      <c r="F23" s="70">
        <f>IF(F$2="Y",IF(MaGic_AVM_Land!F23=0,"",MaGic_AVM_Land!F23),"")</f>
        <v>4.1500000000000004</v>
      </c>
      <c r="G23" s="70" t="str">
        <f>IF(G$2="Y",IF(MaGic_AVM_Land!G23=0,"",MaGic_AVM_Land!G23),"")</f>
        <v/>
      </c>
      <c r="H23" s="70" t="str">
        <f>IF(H$2="Y",IF(MaGic_AVM_Land!H23=0,"",MaGic_AVM_Land!H23),"")</f>
        <v/>
      </c>
      <c r="I23" s="70" t="str">
        <f>IF(I$2="Y",IF(MaGic_AVM_Land!I23=0,"",MaGic_AVM_Land!I23),"")</f>
        <v/>
      </c>
      <c r="J23" s="70" t="str">
        <f>IF(J$2="Y",IF(MaGic_AVM_Land!J23=0,"",MaGic_AVM_Land!J23),"")</f>
        <v/>
      </c>
      <c r="K23" s="70" t="str">
        <f>IF(K$2="Y",IF(MaGic_AVM_Land!K23=0,"",MaGic_AVM_Land!K23),"")</f>
        <v/>
      </c>
      <c r="L23" s="70" t="str">
        <f>IF(L$2="Y",IF(MaGic_AVM_Land!L23=0,"",MaGic_AVM_Land!L23),"")</f>
        <v/>
      </c>
      <c r="M23" s="70" t="str">
        <f>IF(M$2="Y",IF(MaGic_AVM_Land!M23=0,"",MaGic_AVM_Land!M23),"")</f>
        <v/>
      </c>
      <c r="N23" s="70" t="str">
        <f>IF(N$2="Y",IF(MaGic_AVM_Land!N23=0,"",MaGic_AVM_Land!N23),"")</f>
        <v/>
      </c>
      <c r="O23" s="70" t="str">
        <f>IF(O$2="Y",IF(MaGic_AVM_Land!O23=0,"",MaGic_AVM_Land!O23),"")</f>
        <v/>
      </c>
      <c r="P23" s="70" t="str">
        <f>IF(P$2="Y",IF(MaGic_AVM_Land!P23=0,"",MaGic_AVM_Land!P23),"")</f>
        <v/>
      </c>
      <c r="Q23" s="70" t="str">
        <f>IF(Q$2="Y",IF(MaGic_AVM_Land!Q23=0,"",MaGic_AVM_Land!Q23),"")</f>
        <v/>
      </c>
      <c r="R23" s="70" t="str">
        <f>IF(R$2="Y",IF(MaGic_AVM_Land!R23=0,"",MaGic_AVM_Land!R23),"")</f>
        <v/>
      </c>
      <c r="S23" s="70" t="str">
        <f>IF(S$2="Y",IF(MaGic_AVM_Land!S23=0,"",MaGic_AVM_Land!S23),"")</f>
        <v/>
      </c>
      <c r="T23" s="70" t="str">
        <f>IF(T$2="Y",IF(MaGic_AVM_Land!T23=0,"",MaGic_AVM_Land!T23),"")</f>
        <v/>
      </c>
      <c r="U23" s="70" t="str">
        <f>IF(U$2="Y",IF(MaGic_AVM_Land!U23=0,"",MaGic_AVM_Land!U23),"")</f>
        <v/>
      </c>
      <c r="V23" s="70" t="str">
        <f>IF(V$2="Y",IF(MaGic_AVM_Land!V23=0,"",MaGic_AVM_Land!V23),"")</f>
        <v/>
      </c>
      <c r="W23" s="70" t="str">
        <f>IF(W$2="Y",IF(MaGic_AVM_Land!W23=0,"",MaGic_AVM_Land!W23),"")</f>
        <v/>
      </c>
      <c r="X23" s="70" t="str">
        <f>IF(X$2="Y",IF(MaGic_AVM_Land!X23=0,"",MaGic_AVM_Land!X23),"")</f>
        <v/>
      </c>
      <c r="Y23" s="70" t="str">
        <f>IF(Y$2="Y",IF(MaGic_AVM_Land!Y23=0,"",MaGic_AVM_Land!Y23),"")</f>
        <v/>
      </c>
      <c r="Z23" s="70" t="str">
        <f>IF(Z$2="Y",IF(MaGic_AVM_Land!Z23=0,"",MaGic_AVM_Land!Z23),"")</f>
        <v/>
      </c>
      <c r="AA23" s="69">
        <f>SUM(C23:Z23)</f>
        <v>4.1500000000000004</v>
      </c>
      <c r="AB23" s="69" t="str" cm="1">
        <f t="array" ref="AB23:AC23">_xlfn.UNIQUE(C23:Z23,TRUE,FALSE)</f>
        <v/>
      </c>
      <c r="AC23" s="69">
        <v>4.1500000000000004</v>
      </c>
    </row>
    <row r="24" spans="1:29">
      <c r="A24" s="70">
        <v>22</v>
      </c>
      <c r="B24" s="70" t="s">
        <v>84</v>
      </c>
      <c r="C24" s="70" t="str">
        <f>IF(C$2="Y",IF(MaGic_AVM_Land!C24=0,"",MaGic_AVM_Land!C24),"")</f>
        <v/>
      </c>
      <c r="D24" s="70" t="str">
        <f>IF(D$2="Y",IF(MaGic_AVM_Land!D24=0,"",MaGic_AVM_Land!D24),"")</f>
        <v/>
      </c>
      <c r="E24" s="70" t="str">
        <f>IF(E$2="Y",IF(MaGic_AVM_Land!E24=0,"",MaGic_AVM_Land!E24),"")</f>
        <v/>
      </c>
      <c r="F24" s="70" t="str">
        <f>IF(F$2="Y",IF(MaGic_AVM_Land!F24=0,"",MaGic_AVM_Land!F24),"")</f>
        <v>Wet Land</v>
      </c>
      <c r="G24" s="70" t="str">
        <f>IF(G$2="Y",IF(MaGic_AVM_Land!G24=0,"",MaGic_AVM_Land!G24),"")</f>
        <v/>
      </c>
      <c r="H24" s="70" t="str">
        <f>IF(H$2="Y",IF(MaGic_AVM_Land!H24=0,"",MaGic_AVM_Land!H24),"")</f>
        <v/>
      </c>
      <c r="I24" s="70" t="str">
        <f>IF(I$2="Y",IF(MaGic_AVM_Land!I24=0,"",MaGic_AVM_Land!I24),"")</f>
        <v/>
      </c>
      <c r="J24" s="70" t="str">
        <f>IF(J$2="Y",IF(MaGic_AVM_Land!J24=0,"",MaGic_AVM_Land!J24),"")</f>
        <v/>
      </c>
      <c r="K24" s="70" t="str">
        <f>IF(K$2="Y",IF(MaGic_AVM_Land!K24=0,"",MaGic_AVM_Land!K24),"")</f>
        <v/>
      </c>
      <c r="L24" s="70" t="str">
        <f>IF(L$2="Y",IF(MaGic_AVM_Land!L24=0,"",MaGic_AVM_Land!L24),"")</f>
        <v/>
      </c>
      <c r="M24" s="70" t="str">
        <f>IF(M$2="Y",IF(MaGic_AVM_Land!M24=0,"",MaGic_AVM_Land!M24),"")</f>
        <v/>
      </c>
      <c r="N24" s="70" t="str">
        <f>IF(N$2="Y",IF(MaGic_AVM_Land!N24=0,"",MaGic_AVM_Land!N24),"")</f>
        <v/>
      </c>
      <c r="O24" s="70" t="str">
        <f>IF(O$2="Y",IF(MaGic_AVM_Land!O24=0,"",MaGic_AVM_Land!O24),"")</f>
        <v/>
      </c>
      <c r="P24" s="70" t="str">
        <f>IF(P$2="Y",IF(MaGic_AVM_Land!P24=0,"",MaGic_AVM_Land!P24),"")</f>
        <v/>
      </c>
      <c r="Q24" s="70" t="str">
        <f>IF(Q$2="Y",IF(MaGic_AVM_Land!Q24=0,"",MaGic_AVM_Land!Q24),"")</f>
        <v/>
      </c>
      <c r="R24" s="70" t="str">
        <f>IF(R$2="Y",IF(MaGic_AVM_Land!R24=0,"",MaGic_AVM_Land!R24),"")</f>
        <v/>
      </c>
      <c r="S24" s="70" t="str">
        <f>IF(S$2="Y",IF(MaGic_AVM_Land!S24=0,"",MaGic_AVM_Land!S24),"")</f>
        <v/>
      </c>
      <c r="T24" s="70" t="str">
        <f>IF(T$2="Y",IF(MaGic_AVM_Land!T24=0,"",MaGic_AVM_Land!T24),"")</f>
        <v/>
      </c>
      <c r="U24" s="70" t="str">
        <f>IF(U$2="Y",IF(MaGic_AVM_Land!U24=0,"",MaGic_AVM_Land!U24),"")</f>
        <v/>
      </c>
      <c r="V24" s="70" t="str">
        <f>IF(V$2="Y",IF(MaGic_AVM_Land!V24=0,"",MaGic_AVM_Land!V24),"")</f>
        <v/>
      </c>
      <c r="W24" s="70" t="str">
        <f>IF(W$2="Y",IF(MaGic_AVM_Land!W24=0,"",MaGic_AVM_Land!W24),"")</f>
        <v/>
      </c>
      <c r="X24" s="70" t="str">
        <f>IF(X$2="Y",IF(MaGic_AVM_Land!X24=0,"",MaGic_AVM_Land!X24),"")</f>
        <v/>
      </c>
      <c r="Y24" s="70" t="str">
        <f>IF(Y$2="Y",IF(MaGic_AVM_Land!Y24=0,"",MaGic_AVM_Land!Y24),"")</f>
        <v/>
      </c>
      <c r="Z24" s="70" t="str">
        <f>IF(Z$2="Y",IF(MaGic_AVM_Land!Z24=0,"",MaGic_AVM_Land!Z24),"")</f>
        <v/>
      </c>
      <c r="AA24" s="69" t="str">
        <f>_xlfn.TEXTJOIN(", ",TRUE,AB24:AZ24)</f>
        <v>Wet Land</v>
      </c>
      <c r="AB24" s="69" t="str" cm="1">
        <f t="array" ref="AB24:AC24">_xlfn.UNIQUE(C24:Z24,TRUE,FALSE)</f>
        <v/>
      </c>
      <c r="AC24" s="69" t="str">
        <v>Wet Land</v>
      </c>
    </row>
    <row r="25" spans="1:29">
      <c r="A25" s="70"/>
      <c r="B25" s="70" t="s">
        <v>168</v>
      </c>
      <c r="C25" s="70" t="str">
        <f>IF(C$2="Y",IF(MaGic_AVM_Land!C25=0,"",MaGic_AVM_Land!C25),"")</f>
        <v/>
      </c>
      <c r="D25" s="70" t="str">
        <f>IF(D$2="Y",IF(MaGic_AVM_Land!D25=0,"",MaGic_AVM_Land!D25),"")</f>
        <v/>
      </c>
      <c r="E25" s="70" t="str">
        <f>IF(E$2="Y",IF(MaGic_AVM_Land!E25=0,"",MaGic_AVM_Land!E25),"")</f>
        <v/>
      </c>
      <c r="F25" s="70" t="str">
        <f>IF(F$2="Y",IF(MaGic_AVM_Land!F25=0,"",MaGic_AVM_Land!F25),"")</f>
        <v>Beena</v>
      </c>
      <c r="G25" s="70" t="str">
        <f>IF(G$2="Y",IF(MaGic_AVM_Land!G25=0,"",MaGic_AVM_Land!G25),"")</f>
        <v/>
      </c>
      <c r="H25" s="70" t="str">
        <f>IF(H$2="Y",IF(MaGic_AVM_Land!H25=0,"",MaGic_AVM_Land!H25),"")</f>
        <v/>
      </c>
      <c r="I25" s="70" t="str">
        <f>IF(I$2="Y",IF(MaGic_AVM_Land!I25=0,"",MaGic_AVM_Land!I25),"")</f>
        <v/>
      </c>
      <c r="J25" s="70" t="str">
        <f>IF(J$2="Y",IF(MaGic_AVM_Land!J25=0,"",MaGic_AVM_Land!J25),"")</f>
        <v/>
      </c>
      <c r="K25" s="70" t="str">
        <f>IF(K$2="Y",IF(MaGic_AVM_Land!K25=0,"",MaGic_AVM_Land!K25),"")</f>
        <v/>
      </c>
      <c r="L25" s="70" t="str">
        <f>IF(L$2="Y",IF(MaGic_AVM_Land!L25=0,"",MaGic_AVM_Land!L25),"")</f>
        <v/>
      </c>
      <c r="M25" s="70" t="str">
        <f>IF(M$2="Y",IF(MaGic_AVM_Land!M25=0,"",MaGic_AVM_Land!M25),"")</f>
        <v/>
      </c>
      <c r="N25" s="70" t="str">
        <f>IF(N$2="Y",IF(MaGic_AVM_Land!N25=0,"",MaGic_AVM_Land!N25),"")</f>
        <v/>
      </c>
      <c r="O25" s="70" t="str">
        <f>IF(O$2="Y",IF(MaGic_AVM_Land!O25=0,"",MaGic_AVM_Land!O25),"")</f>
        <v/>
      </c>
      <c r="P25" s="70" t="str">
        <f>IF(P$2="Y",IF(MaGic_AVM_Land!P25=0,"",MaGic_AVM_Land!P25),"")</f>
        <v/>
      </c>
      <c r="Q25" s="70" t="str">
        <f>IF(Q$2="Y",IF(MaGic_AVM_Land!Q25=0,"",MaGic_AVM_Land!Q25),"")</f>
        <v/>
      </c>
      <c r="R25" s="70" t="str">
        <f>IF(R$2="Y",IF(MaGic_AVM_Land!R25=0,"",MaGic_AVM_Land!R25),"")</f>
        <v/>
      </c>
      <c r="S25" s="70" t="str">
        <f>IF(S$2="Y",IF(MaGic_AVM_Land!S25=0,"",MaGic_AVM_Land!S25),"")</f>
        <v/>
      </c>
      <c r="T25" s="70" t="str">
        <f>IF(T$2="Y",IF(MaGic_AVM_Land!T25=0,"",MaGic_AVM_Land!T25),"")</f>
        <v/>
      </c>
      <c r="U25" s="70" t="str">
        <f>IF(U$2="Y",IF(MaGic_AVM_Land!U25=0,"",MaGic_AVM_Land!U25),"")</f>
        <v/>
      </c>
      <c r="V25" s="70" t="str">
        <f>IF(V$2="Y",IF(MaGic_AVM_Land!V25=0,"",MaGic_AVM_Land!V25),"")</f>
        <v/>
      </c>
      <c r="W25" s="70" t="str">
        <f>IF(W$2="Y",IF(MaGic_AVM_Land!W25=0,"",MaGic_AVM_Land!W25),"")</f>
        <v/>
      </c>
      <c r="X25" s="70" t="str">
        <f>IF(X$2="Y",IF(MaGic_AVM_Land!X25=0,"",MaGic_AVM_Land!X25),"")</f>
        <v/>
      </c>
      <c r="Y25" s="70" t="str">
        <f>IF(Y$2="Y",IF(MaGic_AVM_Land!Y25=0,"",MaGic_AVM_Land!Y25),"")</f>
        <v/>
      </c>
      <c r="Z25" s="70" t="str">
        <f>IF(Z$2="Y",IF(MaGic_AVM_Land!Z25=0,"",MaGic_AVM_Land!Z25),"")</f>
        <v/>
      </c>
      <c r="AB25" s="69" t="str" cm="1">
        <f t="array" ref="AB25:AC25">_xlfn.UNIQUE(C25:Z25,TRUE,FALSE)</f>
        <v/>
      </c>
      <c r="AC25" s="69" t="str">
        <v>Beena</v>
      </c>
    </row>
    <row r="26" spans="1:29" s="68" customFormat="1">
      <c r="A26" s="72">
        <v>24</v>
      </c>
      <c r="B26" s="72" t="s">
        <v>91</v>
      </c>
      <c r="C26" s="72" t="str">
        <f>IF(C$2="Y",IF(MaGic_AVM_Land!C26=0,"",MaGic_AVM_Land!C26),"")</f>
        <v/>
      </c>
      <c r="D26" s="72" t="str">
        <f>IF(D$2="Y",IF(MaGic_AVM_Land!D26=0,"",MaGic_AVM_Land!D26),"")</f>
        <v/>
      </c>
      <c r="E26" s="72" t="str">
        <f>IF(E$2="Y",IF(MaGic_AVM_Land!E26=0,"",MaGic_AVM_Land!E26),"")</f>
        <v/>
      </c>
      <c r="F26" s="72" t="str">
        <f>IF(F$2="Y",IF(MaGic_AVM_Land!F26=0,"",MaGic_AVM_Land!F26),"")</f>
        <v>Nadavarambu</v>
      </c>
      <c r="G26" s="72" t="str">
        <f>IF(G$2="Y",IF(MaGic_AVM_Land!G26=0,"",MaGic_AVM_Land!G26),"")</f>
        <v/>
      </c>
      <c r="H26" s="72" t="str">
        <f>IF(H$2="Y",IF(MaGic_AVM_Land!H26=0,"",MaGic_AVM_Land!H26),"")</f>
        <v/>
      </c>
      <c r="I26" s="72" t="str">
        <f>IF(I$2="Y",IF(MaGic_AVM_Land!I26=0,"",MaGic_AVM_Land!I26),"")</f>
        <v/>
      </c>
      <c r="J26" s="72" t="str">
        <f>IF(J$2="Y",IF(MaGic_AVM_Land!J26=0,"",MaGic_AVM_Land!J26),"")</f>
        <v/>
      </c>
      <c r="K26" s="72" t="str">
        <f>IF(K$2="Y",IF(MaGic_AVM_Land!K26=0,"",MaGic_AVM_Land!K26),"")</f>
        <v/>
      </c>
      <c r="L26" s="72" t="str">
        <f>IF(L$2="Y",IF(MaGic_AVM_Land!L26=0,"",MaGic_AVM_Land!L26),"")</f>
        <v/>
      </c>
      <c r="M26" s="72" t="str">
        <f>IF(M$2="Y",IF(MaGic_AVM_Land!M26=0,"",MaGic_AVM_Land!M26),"")</f>
        <v/>
      </c>
      <c r="N26" s="72" t="str">
        <f>IF(N$2="Y",IF(MaGic_AVM_Land!N26=0,"",MaGic_AVM_Land!N26),"")</f>
        <v/>
      </c>
      <c r="O26" s="72" t="str">
        <f>IF(O$2="Y",IF(MaGic_AVM_Land!O26=0,"",MaGic_AVM_Land!O26),"")</f>
        <v/>
      </c>
      <c r="P26" s="72" t="str">
        <f>IF(P$2="Y",IF(MaGic_AVM_Land!P26=0,"",MaGic_AVM_Land!P26),"")</f>
        <v/>
      </c>
      <c r="Q26" s="72" t="str">
        <f>IF(Q$2="Y",IF(MaGic_AVM_Land!Q26=0,"",MaGic_AVM_Land!Q26),"")</f>
        <v/>
      </c>
      <c r="R26" s="72" t="str">
        <f>IF(R$2="Y",IF(MaGic_AVM_Land!R26=0,"",MaGic_AVM_Land!R26),"")</f>
        <v/>
      </c>
      <c r="S26" s="72" t="str">
        <f>IF(S$2="Y",IF(MaGic_AVM_Land!S26=0,"",MaGic_AVM_Land!S26),"")</f>
        <v/>
      </c>
      <c r="T26" s="72" t="str">
        <f>IF(T$2="Y",IF(MaGic_AVM_Land!T26=0,"",MaGic_AVM_Land!T26),"")</f>
        <v/>
      </c>
      <c r="U26" s="72" t="str">
        <f>IF(U$2="Y",IF(MaGic_AVM_Land!U26=0,"",MaGic_AVM_Land!U26),"")</f>
        <v/>
      </c>
      <c r="V26" s="72" t="str">
        <f>IF(V$2="Y",IF(MaGic_AVM_Land!V26=0,"",MaGic_AVM_Land!V26),"")</f>
        <v/>
      </c>
      <c r="W26" s="72" t="str">
        <f>IF(W$2="Y",IF(MaGic_AVM_Land!W26=0,"",MaGic_AVM_Land!W26),"")</f>
        <v/>
      </c>
      <c r="X26" s="72" t="str">
        <f>IF(X$2="Y",IF(MaGic_AVM_Land!X26=0,"",MaGic_AVM_Land!X26),"")</f>
        <v/>
      </c>
      <c r="Y26" s="72" t="str">
        <f>IF(Y$2="Y",IF(MaGic_AVM_Land!Y26=0,"",MaGic_AVM_Land!Y26),"")</f>
        <v/>
      </c>
      <c r="Z26" s="72" t="str">
        <f>IF(Z$2="Y",IF(MaGic_AVM_Land!Z26=0,"",MaGic_AVM_Land!Z26),"")</f>
        <v/>
      </c>
      <c r="AA26" s="68" t="str">
        <f>_xlfn.TEXTJOIN(",",TRUE,AB26:AZ26)</f>
        <v>Nadavarambu</v>
      </c>
      <c r="AB26" s="68" t="str" cm="1">
        <f t="array" ref="AB26:AC26">_xlfn.UNIQUE(C26:Z26,TRUE,FALSE)</f>
        <v/>
      </c>
      <c r="AC26" s="68" t="str">
        <v>Nadavarambu</v>
      </c>
    </row>
    <row r="27" spans="1:29" s="68" customFormat="1">
      <c r="A27" s="72">
        <v>25</v>
      </c>
      <c r="B27" s="72" t="s">
        <v>94</v>
      </c>
      <c r="C27" s="72" t="str">
        <f>IF(C$2="Y",IF(MaGic_AVM_Land!C27=0,"",MaGic_AVM_Land!C27),"")</f>
        <v/>
      </c>
      <c r="D27" s="72" t="str">
        <f>IF(D$2="Y",IF(MaGic_AVM_Land!D27=0,"",MaGic_AVM_Land!D27),"")</f>
        <v/>
      </c>
      <c r="E27" s="72" t="str">
        <f>IF(E$2="Y",IF(MaGic_AVM_Land!E27=0,"",MaGic_AVM_Land!E27),"")</f>
        <v/>
      </c>
      <c r="F27" s="72" t="str">
        <f>IF(F$2="Y",IF(MaGic_AVM_Land!F27=0,"",MaGic_AVM_Land!F27),"")</f>
        <v>Nilam</v>
      </c>
      <c r="G27" s="72" t="str">
        <f>IF(G$2="Y",IF(MaGic_AVM_Land!G27=0,"",MaGic_AVM_Land!G27),"")</f>
        <v/>
      </c>
      <c r="H27" s="72" t="str">
        <f>IF(H$2="Y",IF(MaGic_AVM_Land!H27=0,"",MaGic_AVM_Land!H27),"")</f>
        <v/>
      </c>
      <c r="I27" s="72" t="str">
        <f>IF(I$2="Y",IF(MaGic_AVM_Land!I27=0,"",MaGic_AVM_Land!I27),"")</f>
        <v/>
      </c>
      <c r="J27" s="72" t="str">
        <f>IF(J$2="Y",IF(MaGic_AVM_Land!J27=0,"",MaGic_AVM_Land!J27),"")</f>
        <v/>
      </c>
      <c r="K27" s="72" t="str">
        <f>IF(K$2="Y",IF(MaGic_AVM_Land!K27=0,"",MaGic_AVM_Land!K27),"")</f>
        <v/>
      </c>
      <c r="L27" s="72" t="str">
        <f>IF(L$2="Y",IF(MaGic_AVM_Land!L27=0,"",MaGic_AVM_Land!L27),"")</f>
        <v/>
      </c>
      <c r="M27" s="72" t="str">
        <f>IF(M$2="Y",IF(MaGic_AVM_Land!M27=0,"",MaGic_AVM_Land!M27),"")</f>
        <v/>
      </c>
      <c r="N27" s="72" t="str">
        <f>IF(N$2="Y",IF(MaGic_AVM_Land!N27=0,"",MaGic_AVM_Land!N27),"")</f>
        <v/>
      </c>
      <c r="O27" s="72" t="str">
        <f>IF(O$2="Y",IF(MaGic_AVM_Land!O27=0,"",MaGic_AVM_Land!O27),"")</f>
        <v/>
      </c>
      <c r="P27" s="72" t="str">
        <f>IF(P$2="Y",IF(MaGic_AVM_Land!P27=0,"",MaGic_AVM_Land!P27),"")</f>
        <v/>
      </c>
      <c r="Q27" s="72" t="str">
        <f>IF(Q$2="Y",IF(MaGic_AVM_Land!Q27=0,"",MaGic_AVM_Land!Q27),"")</f>
        <v/>
      </c>
      <c r="R27" s="72" t="str">
        <f>IF(R$2="Y",IF(MaGic_AVM_Land!R27=0,"",MaGic_AVM_Land!R27),"")</f>
        <v/>
      </c>
      <c r="S27" s="72" t="str">
        <f>IF(S$2="Y",IF(MaGic_AVM_Land!S27=0,"",MaGic_AVM_Land!S27),"")</f>
        <v/>
      </c>
      <c r="T27" s="72" t="str">
        <f>IF(T$2="Y",IF(MaGic_AVM_Land!T27=0,"",MaGic_AVM_Land!T27),"")</f>
        <v/>
      </c>
      <c r="U27" s="72" t="str">
        <f>IF(U$2="Y",IF(MaGic_AVM_Land!U27=0,"",MaGic_AVM_Land!U27),"")</f>
        <v/>
      </c>
      <c r="V27" s="72" t="str">
        <f>IF(V$2="Y",IF(MaGic_AVM_Land!V27=0,"",MaGic_AVM_Land!V27),"")</f>
        <v/>
      </c>
      <c r="W27" s="72" t="str">
        <f>IF(W$2="Y",IF(MaGic_AVM_Land!W27=0,"",MaGic_AVM_Land!W27),"")</f>
        <v/>
      </c>
      <c r="X27" s="72" t="str">
        <f>IF(X$2="Y",IF(MaGic_AVM_Land!X27=0,"",MaGic_AVM_Land!X27),"")</f>
        <v/>
      </c>
      <c r="Y27" s="72" t="str">
        <f>IF(Y$2="Y",IF(MaGic_AVM_Land!Y27=0,"",MaGic_AVM_Land!Y27),"")</f>
        <v/>
      </c>
      <c r="Z27" s="72" t="str">
        <f>IF(Z$2="Y",IF(MaGic_AVM_Land!Z27=0,"",MaGic_AVM_Land!Z27),"")</f>
        <v/>
      </c>
      <c r="AA27" s="68" t="str">
        <f t="shared" ref="AA27:AA29" si="3">_xlfn.TEXTJOIN(",",TRUE,AB27:AZ27)</f>
        <v>Nilam</v>
      </c>
      <c r="AB27" s="68" t="str" cm="1">
        <f t="array" ref="AB27:AC27">_xlfn.UNIQUE(C27:Z27,TRUE,FALSE)</f>
        <v/>
      </c>
      <c r="AC27" s="68" t="str">
        <v>Nilam</v>
      </c>
    </row>
    <row r="28" spans="1:29" s="68" customFormat="1">
      <c r="A28" s="72">
        <v>26</v>
      </c>
      <c r="B28" s="72" t="s">
        <v>97</v>
      </c>
      <c r="C28" s="72" t="str">
        <f>IF(C$2="Y",IF(MaGic_AVM_Land!C28=0,"",MaGic_AVM_Land!C28),"")</f>
        <v/>
      </c>
      <c r="D28" s="72" t="str">
        <f>IF(D$2="Y",IF(MaGic_AVM_Land!D28=0,"",MaGic_AVM_Land!D28),"")</f>
        <v/>
      </c>
      <c r="E28" s="72" t="str">
        <f>IF(E$2="Y",IF(MaGic_AVM_Land!E28=0,"",MaGic_AVM_Land!E28),"")</f>
        <v/>
      </c>
      <c r="F28" s="72" t="str">
        <f>IF(F$2="Y",IF(MaGic_AVM_Land!F28=0,"",MaGic_AVM_Land!F28),"")</f>
        <v>Shibu Et Al</v>
      </c>
      <c r="G28" s="72" t="str">
        <f>IF(G$2="Y",IF(MaGic_AVM_Land!G28=0,"",MaGic_AVM_Land!G28),"")</f>
        <v/>
      </c>
      <c r="H28" s="72" t="str">
        <f>IF(H$2="Y",IF(MaGic_AVM_Land!H28=0,"",MaGic_AVM_Land!H28),"")</f>
        <v/>
      </c>
      <c r="I28" s="72" t="str">
        <f>IF(I$2="Y",IF(MaGic_AVM_Land!I28=0,"",MaGic_AVM_Land!I28),"")</f>
        <v/>
      </c>
      <c r="J28" s="72" t="str">
        <f>IF(J$2="Y",IF(MaGic_AVM_Land!J28=0,"",MaGic_AVM_Land!J28),"")</f>
        <v/>
      </c>
      <c r="K28" s="72" t="str">
        <f>IF(K$2="Y",IF(MaGic_AVM_Land!K28=0,"",MaGic_AVM_Land!K28),"")</f>
        <v/>
      </c>
      <c r="L28" s="72" t="str">
        <f>IF(L$2="Y",IF(MaGic_AVM_Land!L28=0,"",MaGic_AVM_Land!L28),"")</f>
        <v/>
      </c>
      <c r="M28" s="72" t="str">
        <f>IF(M$2="Y",IF(MaGic_AVM_Land!M28=0,"",MaGic_AVM_Land!M28),"")</f>
        <v/>
      </c>
      <c r="N28" s="72" t="str">
        <f>IF(N$2="Y",IF(MaGic_AVM_Land!N28=0,"",MaGic_AVM_Land!N28),"")</f>
        <v/>
      </c>
      <c r="O28" s="72" t="str">
        <f>IF(O$2="Y",IF(MaGic_AVM_Land!O28=0,"",MaGic_AVM_Land!O28),"")</f>
        <v/>
      </c>
      <c r="P28" s="72" t="str">
        <f>IF(P$2="Y",IF(MaGic_AVM_Land!P28=0,"",MaGic_AVM_Land!P28),"")</f>
        <v/>
      </c>
      <c r="Q28" s="72" t="str">
        <f>IF(Q$2="Y",IF(MaGic_AVM_Land!Q28=0,"",MaGic_AVM_Land!Q28),"")</f>
        <v/>
      </c>
      <c r="R28" s="72" t="str">
        <f>IF(R$2="Y",IF(MaGic_AVM_Land!R28=0,"",MaGic_AVM_Land!R28),"")</f>
        <v/>
      </c>
      <c r="S28" s="72" t="str">
        <f>IF(S$2="Y",IF(MaGic_AVM_Land!S28=0,"",MaGic_AVM_Land!S28),"")</f>
        <v/>
      </c>
      <c r="T28" s="72" t="str">
        <f>IF(T$2="Y",IF(MaGic_AVM_Land!T28=0,"",MaGic_AVM_Land!T28),"")</f>
        <v/>
      </c>
      <c r="U28" s="72" t="str">
        <f>IF(U$2="Y",IF(MaGic_AVM_Land!U28=0,"",MaGic_AVM_Land!U28),"")</f>
        <v/>
      </c>
      <c r="V28" s="72" t="str">
        <f>IF(V$2="Y",IF(MaGic_AVM_Land!V28=0,"",MaGic_AVM_Land!V28),"")</f>
        <v/>
      </c>
      <c r="W28" s="72" t="str">
        <f>IF(W$2="Y",IF(MaGic_AVM_Land!W28=0,"",MaGic_AVM_Land!W28),"")</f>
        <v/>
      </c>
      <c r="X28" s="72" t="str">
        <f>IF(X$2="Y",IF(MaGic_AVM_Land!X28=0,"",MaGic_AVM_Land!X28),"")</f>
        <v/>
      </c>
      <c r="Y28" s="72" t="str">
        <f>IF(Y$2="Y",IF(MaGic_AVM_Land!Y28=0,"",MaGic_AVM_Land!Y28),"")</f>
        <v/>
      </c>
      <c r="Z28" s="72" t="str">
        <f>IF(Z$2="Y",IF(MaGic_AVM_Land!Z28=0,"",MaGic_AVM_Land!Z28),"")</f>
        <v/>
      </c>
      <c r="AA28" s="68" t="str">
        <f t="shared" si="3"/>
        <v>Shibu Et Al</v>
      </c>
      <c r="AB28" s="68" t="str" cm="1">
        <f t="array" ref="AB28:AC28">_xlfn.UNIQUE(C28:Z28,TRUE,FALSE)</f>
        <v/>
      </c>
      <c r="AC28" s="68" t="str">
        <v>Shibu Et Al</v>
      </c>
    </row>
    <row r="29" spans="1:29" s="68" customFormat="1">
      <c r="A29" s="72">
        <v>27</v>
      </c>
      <c r="B29" s="72" t="s">
        <v>100</v>
      </c>
      <c r="C29" s="72" t="str">
        <f>IF(C$2="Y",IF(MaGic_AVM_Land!C29=0,"",MaGic_AVM_Land!C29),"")</f>
        <v/>
      </c>
      <c r="D29" s="72" t="str">
        <f>IF(D$2="Y",IF(MaGic_AVM_Land!D29=0,"",MaGic_AVM_Land!D29),"")</f>
        <v/>
      </c>
      <c r="E29" s="72" t="str">
        <f>IF(E$2="Y",IF(MaGic_AVM_Land!E29=0,"",MaGic_AVM_Land!E29),"")</f>
        <v/>
      </c>
      <c r="F29" s="72" t="str">
        <f>IF(F$2="Y",IF(MaGic_AVM_Land!F29=0,"",MaGic_AVM_Land!F29),"")</f>
        <v/>
      </c>
      <c r="G29" s="72" t="str">
        <f>IF(G$2="Y",IF(MaGic_AVM_Land!G29=0,"",MaGic_AVM_Land!G29),"")</f>
        <v/>
      </c>
      <c r="H29" s="72" t="str">
        <f>IF(H$2="Y",IF(MaGic_AVM_Land!H29=0,"",MaGic_AVM_Land!H29),"")</f>
        <v/>
      </c>
      <c r="I29" s="72" t="str">
        <f>IF(I$2="Y",IF(MaGic_AVM_Land!I29=0,"",MaGic_AVM_Land!I29),"")</f>
        <v/>
      </c>
      <c r="J29" s="72" t="str">
        <f>IF(J$2="Y",IF(MaGic_AVM_Land!J29=0,"",MaGic_AVM_Land!J29),"")</f>
        <v/>
      </c>
      <c r="K29" s="72" t="str">
        <f>IF(K$2="Y",IF(MaGic_AVM_Land!K29=0,"",MaGic_AVM_Land!K29),"")</f>
        <v/>
      </c>
      <c r="L29" s="72" t="str">
        <f>IF(L$2="Y",IF(MaGic_AVM_Land!L29=0,"",MaGic_AVM_Land!L29),"")</f>
        <v/>
      </c>
      <c r="M29" s="72" t="str">
        <f>IF(M$2="Y",IF(MaGic_AVM_Land!M29=0,"",MaGic_AVM_Land!M29),"")</f>
        <v/>
      </c>
      <c r="N29" s="72" t="str">
        <f>IF(N$2="Y",IF(MaGic_AVM_Land!N29=0,"",MaGic_AVM_Land!N29),"")</f>
        <v/>
      </c>
      <c r="O29" s="72" t="str">
        <f>IF(O$2="Y",IF(MaGic_AVM_Land!O29=0,"",MaGic_AVM_Land!O29),"")</f>
        <v/>
      </c>
      <c r="P29" s="72" t="str">
        <f>IF(P$2="Y",IF(MaGic_AVM_Land!P29=0,"",MaGic_AVM_Land!P29),"")</f>
        <v/>
      </c>
      <c r="Q29" s="72" t="str">
        <f>IF(Q$2="Y",IF(MaGic_AVM_Land!Q29=0,"",MaGic_AVM_Land!Q29),"")</f>
        <v/>
      </c>
      <c r="R29" s="72" t="str">
        <f>IF(R$2="Y",IF(MaGic_AVM_Land!R29=0,"",MaGic_AVM_Land!R29),"")</f>
        <v/>
      </c>
      <c r="S29" s="72" t="str">
        <f>IF(S$2="Y",IF(MaGic_AVM_Land!S29=0,"",MaGic_AVM_Land!S29),"")</f>
        <v/>
      </c>
      <c r="T29" s="72" t="str">
        <f>IF(T$2="Y",IF(MaGic_AVM_Land!T29=0,"",MaGic_AVM_Land!T29),"")</f>
        <v/>
      </c>
      <c r="U29" s="72" t="str">
        <f>IF(U$2="Y",IF(MaGic_AVM_Land!U29=0,"",MaGic_AVM_Land!U29),"")</f>
        <v/>
      </c>
      <c r="V29" s="72" t="str">
        <f>IF(V$2="Y",IF(MaGic_AVM_Land!V29=0,"",MaGic_AVM_Land!V29),"")</f>
        <v/>
      </c>
      <c r="W29" s="72" t="str">
        <f>IF(W$2="Y",IF(MaGic_AVM_Land!W29=0,"",MaGic_AVM_Land!W29),"")</f>
        <v/>
      </c>
      <c r="X29" s="72" t="str">
        <f>IF(X$2="Y",IF(MaGic_AVM_Land!X29=0,"",MaGic_AVM_Land!X29),"")</f>
        <v/>
      </c>
      <c r="Y29" s="72" t="str">
        <f>IF(Y$2="Y",IF(MaGic_AVM_Land!Y29=0,"",MaGic_AVM_Land!Y29),"")</f>
        <v/>
      </c>
      <c r="Z29" s="72" t="str">
        <f>IF(Z$2="Y",IF(MaGic_AVM_Land!Z29=0,"",MaGic_AVM_Land!Z29),"")</f>
        <v/>
      </c>
      <c r="AA29" s="68" t="str">
        <f t="shared" si="3"/>
        <v/>
      </c>
      <c r="AB29" s="68" t="str" cm="1">
        <f t="array" ref="AB29">_xlfn.UNIQUE(C29:Z29,TRUE,FALSE)</f>
        <v/>
      </c>
    </row>
    <row r="30" spans="1:29">
      <c r="A30" s="70">
        <v>28</v>
      </c>
      <c r="B30" s="70" t="s">
        <v>175</v>
      </c>
      <c r="C30" s="70" t="str">
        <f>IF(C$2="Y",IF(MaGic_AVM_Land!C30=0,"",MaGic_AVM_Land!C30),"")</f>
        <v/>
      </c>
      <c r="D30" s="70" t="str">
        <f>IF(D$2="Y",IF(MaGic_AVM_Land!D30=0,"",MaGic_AVM_Land!D30),"")</f>
        <v/>
      </c>
      <c r="E30" s="70" t="str">
        <f>IF(E$2="Y",IF(MaGic_AVM_Land!E30=0,"",MaGic_AVM_Land!E30),"")</f>
        <v/>
      </c>
      <c r="F30" s="70" t="str">
        <f>IF(F$2="Y",IF(MaGic_AVM_Land!F30=0,"",MaGic_AVM_Land!F30),"")</f>
        <v>Footway</v>
      </c>
      <c r="G30" s="70" t="str">
        <f>IF(G$2="Y",IF(MaGic_AVM_Land!G30=0,"",MaGic_AVM_Land!G30),"")</f>
        <v/>
      </c>
      <c r="H30" s="70" t="str">
        <f>IF(H$2="Y",IF(MaGic_AVM_Land!H30=0,"",MaGic_AVM_Land!H30),"")</f>
        <v/>
      </c>
      <c r="I30" s="70" t="str">
        <f>IF(I$2="Y",IF(MaGic_AVM_Land!I30=0,"",MaGic_AVM_Land!I30),"")</f>
        <v/>
      </c>
      <c r="J30" s="70" t="str">
        <f>IF(J$2="Y",IF(MaGic_AVM_Land!J30=0,"",MaGic_AVM_Land!J30),"")</f>
        <v/>
      </c>
      <c r="K30" s="70" t="str">
        <f>IF(K$2="Y",IF(MaGic_AVM_Land!K30=0,"",MaGic_AVM_Land!K30),"")</f>
        <v/>
      </c>
      <c r="L30" s="70" t="str">
        <f>IF(L$2="Y",IF(MaGic_AVM_Land!L30=0,"",MaGic_AVM_Land!L30),"")</f>
        <v/>
      </c>
      <c r="M30" s="70" t="str">
        <f>IF(M$2="Y",IF(MaGic_AVM_Land!M30=0,"",MaGic_AVM_Land!M30),"")</f>
        <v/>
      </c>
      <c r="N30" s="70" t="str">
        <f>IF(N$2="Y",IF(MaGic_AVM_Land!N30=0,"",MaGic_AVM_Land!N30),"")</f>
        <v/>
      </c>
      <c r="O30" s="70" t="str">
        <f>IF(O$2="Y",IF(MaGic_AVM_Land!O30=0,"",MaGic_AVM_Land!O30),"")</f>
        <v/>
      </c>
      <c r="P30" s="70" t="str">
        <f>IF(P$2="Y",IF(MaGic_AVM_Land!P30=0,"",MaGic_AVM_Land!P30),"")</f>
        <v/>
      </c>
      <c r="Q30" s="70" t="str">
        <f>IF(Q$2="Y",IF(MaGic_AVM_Land!Q30=0,"",MaGic_AVM_Land!Q30),"")</f>
        <v/>
      </c>
      <c r="R30" s="70" t="str">
        <f>IF(R$2="Y",IF(MaGic_AVM_Land!R30=0,"",MaGic_AVM_Land!R30),"")</f>
        <v/>
      </c>
      <c r="S30" s="70" t="str">
        <f>IF(S$2="Y",IF(MaGic_AVM_Land!S30=0,"",MaGic_AVM_Land!S30),"")</f>
        <v/>
      </c>
      <c r="T30" s="70" t="str">
        <f>IF(T$2="Y",IF(MaGic_AVM_Land!T30=0,"",MaGic_AVM_Land!T30),"")</f>
        <v/>
      </c>
      <c r="U30" s="70" t="str">
        <f>IF(U$2="Y",IF(MaGic_AVM_Land!U30=0,"",MaGic_AVM_Land!U30),"")</f>
        <v/>
      </c>
      <c r="V30" s="70" t="str">
        <f>IF(V$2="Y",IF(MaGic_AVM_Land!V30=0,"",MaGic_AVM_Land!V30),"")</f>
        <v/>
      </c>
      <c r="W30" s="70" t="str">
        <f>IF(W$2="Y",IF(MaGic_AVM_Land!W30=0,"",MaGic_AVM_Land!W30),"")</f>
        <v/>
      </c>
      <c r="X30" s="70" t="str">
        <f>IF(X$2="Y",IF(MaGic_AVM_Land!X30=0,"",MaGic_AVM_Land!X30),"")</f>
        <v/>
      </c>
      <c r="Y30" s="70" t="str">
        <f>IF(Y$2="Y",IF(MaGic_AVM_Land!Y30=0,"",MaGic_AVM_Land!Y30),"")</f>
        <v/>
      </c>
      <c r="Z30" s="70" t="str">
        <f>IF(Z$2="Y",IF(MaGic_AVM_Land!Z30=0,"",MaGic_AVM_Land!Z30),"")</f>
        <v/>
      </c>
      <c r="AB30" s="69" t="str" cm="1">
        <f t="array" ref="AB30:AC30">_xlfn.UNIQUE(C30:Z30,TRUE,FALSE)</f>
        <v/>
      </c>
      <c r="AC30" s="69" t="str">
        <v>Footway</v>
      </c>
    </row>
    <row r="31" spans="1:29">
      <c r="A31" s="70">
        <v>29</v>
      </c>
      <c r="B31" s="70" t="s">
        <v>1103</v>
      </c>
      <c r="C31" s="70" t="str">
        <f>IF(C$2="Y",IF(MaGic_AVM_Land!C31=0,"",MaGic_AVM_Land!C31),"")</f>
        <v/>
      </c>
      <c r="D31" s="70" t="str">
        <f>IF(D$2="Y",IF(MaGic_AVM_Land!D31=0,"",MaGic_AVM_Land!D31),"")</f>
        <v/>
      </c>
      <c r="E31" s="70" t="str">
        <f>IF(E$2="Y",IF(MaGic_AVM_Land!E31=0,"",MaGic_AVM_Land!E31),"")</f>
        <v/>
      </c>
      <c r="F31" s="70" t="str">
        <f>IF(F$2="Y",IF(MaGic_AVM_Land!F31=0,"",MaGic_AVM_Land!F31),"")</f>
        <v>Self+Family members.</v>
      </c>
      <c r="G31" s="70" t="str">
        <f>IF(G$2="Y",IF(MaGic_AVM_Land!G31=0,"",MaGic_AVM_Land!G31),"")</f>
        <v/>
      </c>
      <c r="H31" s="70" t="str">
        <f>IF(H$2="Y",IF(MaGic_AVM_Land!H31=0,"",MaGic_AVM_Land!H31),"")</f>
        <v/>
      </c>
      <c r="I31" s="70" t="str">
        <f>IF(I$2="Y",IF(MaGic_AVM_Land!I31=0,"",MaGic_AVM_Land!I31),"")</f>
        <v/>
      </c>
      <c r="J31" s="70" t="str">
        <f>IF(J$2="Y",IF(MaGic_AVM_Land!J31=0,"",MaGic_AVM_Land!J31),"")</f>
        <v/>
      </c>
      <c r="K31" s="70" t="str">
        <f>IF(K$2="Y",IF(MaGic_AVM_Land!K31=0,"",MaGic_AVM_Land!K31),"")</f>
        <v/>
      </c>
      <c r="L31" s="70" t="str">
        <f>IF(L$2="Y",IF(MaGic_AVM_Land!L31=0,"",MaGic_AVM_Land!L31),"")</f>
        <v/>
      </c>
      <c r="M31" s="70" t="str">
        <f>IF(M$2="Y",IF(MaGic_AVM_Land!M31=0,"",MaGic_AVM_Land!M31),"")</f>
        <v/>
      </c>
      <c r="N31" s="70" t="str">
        <f>IF(N$2="Y",IF(MaGic_AVM_Land!N31=0,"",MaGic_AVM_Land!N31),"")</f>
        <v/>
      </c>
      <c r="O31" s="70" t="str">
        <f>IF(O$2="Y",IF(MaGic_AVM_Land!O31=0,"",MaGic_AVM_Land!O31),"")</f>
        <v/>
      </c>
      <c r="P31" s="70" t="str">
        <f>IF(P$2="Y",IF(MaGic_AVM_Land!P31=0,"",MaGic_AVM_Land!P31),"")</f>
        <v/>
      </c>
      <c r="Q31" s="70" t="str">
        <f>IF(Q$2="Y",IF(MaGic_AVM_Land!Q31=0,"",MaGic_AVM_Land!Q31),"")</f>
        <v/>
      </c>
      <c r="R31" s="70" t="str">
        <f>IF(R$2="Y",IF(MaGic_AVM_Land!R31=0,"",MaGic_AVM_Land!R31),"")</f>
        <v/>
      </c>
      <c r="S31" s="70" t="str">
        <f>IF(S$2="Y",IF(MaGic_AVM_Land!S31=0,"",MaGic_AVM_Land!S31),"")</f>
        <v/>
      </c>
      <c r="T31" s="70" t="str">
        <f>IF(T$2="Y",IF(MaGic_AVM_Land!T31=0,"",MaGic_AVM_Land!T31),"")</f>
        <v/>
      </c>
      <c r="U31" s="70" t="str">
        <f>IF(U$2="Y",IF(MaGic_AVM_Land!U31=0,"",MaGic_AVM_Land!U31),"")</f>
        <v/>
      </c>
      <c r="V31" s="70" t="str">
        <f>IF(V$2="Y",IF(MaGic_AVM_Land!V31=0,"",MaGic_AVM_Land!V31),"")</f>
        <v/>
      </c>
      <c r="W31" s="70" t="str">
        <f>IF(W$2="Y",IF(MaGic_AVM_Land!W31=0,"",MaGic_AVM_Land!W31),"")</f>
        <v/>
      </c>
      <c r="X31" s="70" t="str">
        <f>IF(X$2="Y",IF(MaGic_AVM_Land!X31=0,"",MaGic_AVM_Land!X31),"")</f>
        <v/>
      </c>
      <c r="Y31" s="70" t="str">
        <f>IF(Y$2="Y",IF(MaGic_AVM_Land!Y31=0,"",MaGic_AVM_Land!Y31),"")</f>
        <v/>
      </c>
      <c r="Z31" s="70" t="str">
        <f>IF(Z$2="Y",IF(MaGic_AVM_Land!Z31=0,"",MaGic_AVM_Land!Z31),"")</f>
        <v/>
      </c>
      <c r="AB31" s="69" t="str" cm="1">
        <f t="array" ref="AB31:AC31">_xlfn.UNIQUE(C31:Z31,TRUE,FALSE)</f>
        <v/>
      </c>
      <c r="AC31" s="69" t="str">
        <v>Self+Family members.</v>
      </c>
    </row>
    <row r="32" spans="1:29">
      <c r="A32" s="70">
        <v>30</v>
      </c>
      <c r="B32" s="70" t="s">
        <v>1104</v>
      </c>
      <c r="C32" s="70" t="str">
        <f>IF(C$2="Y",IF(MaGic_AVM_Land!C32=0,"",MaGic_AVM_Land!C32),"")</f>
        <v/>
      </c>
      <c r="D32" s="70" t="str">
        <f>IF(D$2="Y",IF(MaGic_AVM_Land!D32=0,"",MaGic_AVM_Land!D32),"")</f>
        <v/>
      </c>
      <c r="E32" s="70" t="str">
        <f>IF(E$2="Y",IF(MaGic_AVM_Land!E32=0,"",MaGic_AVM_Land!E32),"")</f>
        <v/>
      </c>
      <c r="F32" s="70" t="str">
        <f>IF(F$2="Y",IF(MaGic_AVM_Land!F32=0,"",MaGic_AVM_Land!F32),"")</f>
        <v/>
      </c>
      <c r="G32" s="70" t="str">
        <f>IF(G$2="Y",IF(MaGic_AVM_Land!G32=0,"",MaGic_AVM_Land!G32),"")</f>
        <v/>
      </c>
      <c r="H32" s="70" t="str">
        <f>IF(H$2="Y",IF(MaGic_AVM_Land!H32=0,"",MaGic_AVM_Land!H32),"")</f>
        <v/>
      </c>
      <c r="I32" s="70" t="str">
        <f>IF(I$2="Y",IF(MaGic_AVM_Land!I32=0,"",MaGic_AVM_Land!I32),"")</f>
        <v/>
      </c>
      <c r="J32" s="70" t="str">
        <f>IF(J$2="Y",IF(MaGic_AVM_Land!J32=0,"",MaGic_AVM_Land!J32),"")</f>
        <v/>
      </c>
      <c r="K32" s="70" t="str">
        <f>IF(K$2="Y",IF(MaGic_AVM_Land!K32=0,"",MaGic_AVM_Land!K32),"")</f>
        <v/>
      </c>
      <c r="L32" s="70" t="str">
        <f>IF(L$2="Y",IF(MaGic_AVM_Land!L32=0,"",MaGic_AVM_Land!L32),"")</f>
        <v/>
      </c>
      <c r="M32" s="70" t="str">
        <f>IF(M$2="Y",IF(MaGic_AVM_Land!M32=0,"",MaGic_AVM_Land!M32),"")</f>
        <v/>
      </c>
      <c r="N32" s="70" t="str">
        <f>IF(N$2="Y",IF(MaGic_AVM_Land!N32=0,"",MaGic_AVM_Land!N32),"")</f>
        <v/>
      </c>
      <c r="O32" s="70" t="str">
        <f>IF(O$2="Y",IF(MaGic_AVM_Land!O32=0,"",MaGic_AVM_Land!O32),"")</f>
        <v/>
      </c>
      <c r="P32" s="70" t="str">
        <f>IF(P$2="Y",IF(MaGic_AVM_Land!P32=0,"",MaGic_AVM_Land!P32),"")</f>
        <v/>
      </c>
      <c r="Q32" s="70" t="str">
        <f>IF(Q$2="Y",IF(MaGic_AVM_Land!Q32=0,"",MaGic_AVM_Land!Q32),"")</f>
        <v/>
      </c>
      <c r="R32" s="70" t="str">
        <f>IF(R$2="Y",IF(MaGic_AVM_Land!R32=0,"",MaGic_AVM_Land!R32),"")</f>
        <v/>
      </c>
      <c r="S32" s="70" t="str">
        <f>IF(S$2="Y",IF(MaGic_AVM_Land!S32=0,"",MaGic_AVM_Land!S32),"")</f>
        <v/>
      </c>
      <c r="T32" s="70" t="str">
        <f>IF(T$2="Y",IF(MaGic_AVM_Land!T32=0,"",MaGic_AVM_Land!T32),"")</f>
        <v/>
      </c>
      <c r="U32" s="70" t="str">
        <f>IF(U$2="Y",IF(MaGic_AVM_Land!U32=0,"",MaGic_AVM_Land!U32),"")</f>
        <v/>
      </c>
      <c r="V32" s="70" t="str">
        <f>IF(V$2="Y",IF(MaGic_AVM_Land!V32=0,"",MaGic_AVM_Land!V32),"")</f>
        <v/>
      </c>
      <c r="W32" s="70" t="str">
        <f>IF(W$2="Y",IF(MaGic_AVM_Land!W32=0,"",MaGic_AVM_Land!W32),"")</f>
        <v/>
      </c>
      <c r="X32" s="70" t="str">
        <f>IF(X$2="Y",IF(MaGic_AVM_Land!X32=0,"",MaGic_AVM_Land!X32),"")</f>
        <v/>
      </c>
      <c r="Y32" s="70" t="str">
        <f>IF(Y$2="Y",IF(MaGic_AVM_Land!Y32=0,"",MaGic_AVM_Land!Y32),"")</f>
        <v/>
      </c>
      <c r="Z32" s="70" t="str">
        <f>IF(Z$2="Y",IF(MaGic_AVM_Land!Z32=0,"",MaGic_AVM_Land!Z32),"")</f>
        <v/>
      </c>
      <c r="AB32" s="69" t="str" cm="1">
        <f t="array" ref="AB32">_xlfn.UNIQUE(C32:Z32,TRUE,FALSE)</f>
        <v/>
      </c>
    </row>
    <row r="33" spans="1:28">
      <c r="A33" s="70">
        <v>31</v>
      </c>
      <c r="B33" s="70" t="s">
        <v>1105</v>
      </c>
      <c r="C33" s="70" t="str">
        <f>IF(C$2="Y",IF(MaGic_AVM_Land!C33=0,"",MaGic_AVM_Land!C33),"")</f>
        <v/>
      </c>
      <c r="D33" s="70" t="str">
        <f>IF(D$2="Y",IF(MaGic_AVM_Land!D33=0,"",MaGic_AVM_Land!D33),"")</f>
        <v/>
      </c>
      <c r="E33" s="70" t="str">
        <f>IF(E$2="Y",IF(MaGic_AVM_Land!E33=0,"",MaGic_AVM_Land!E33),"")</f>
        <v/>
      </c>
      <c r="F33" s="70" t="str">
        <f>IF(F$2="Y",IF(MaGic_AVM_Land!F33=0,"",MaGic_AVM_Land!F33),"")</f>
        <v/>
      </c>
      <c r="G33" s="70" t="str">
        <f>IF(G$2="Y",IF(MaGic_AVM_Land!G33=0,"",MaGic_AVM_Land!G33),"")</f>
        <v/>
      </c>
      <c r="H33" s="70" t="str">
        <f>IF(H$2="Y",IF(MaGic_AVM_Land!H33=0,"",MaGic_AVM_Land!H33),"")</f>
        <v/>
      </c>
      <c r="I33" s="70" t="str">
        <f>IF(I$2="Y",IF(MaGic_AVM_Land!I33=0,"",MaGic_AVM_Land!I33),"")</f>
        <v/>
      </c>
      <c r="J33" s="70" t="str">
        <f>IF(J$2="Y",IF(MaGic_AVM_Land!J33=0,"",MaGic_AVM_Land!J33),"")</f>
        <v/>
      </c>
      <c r="K33" s="70" t="str">
        <f>IF(K$2="Y",IF(MaGic_AVM_Land!K33=0,"",MaGic_AVM_Land!K33),"")</f>
        <v/>
      </c>
      <c r="L33" s="70" t="str">
        <f>IF(L$2="Y",IF(MaGic_AVM_Land!L33=0,"",MaGic_AVM_Land!L33),"")</f>
        <v/>
      </c>
      <c r="M33" s="70" t="str">
        <f>IF(M$2="Y",IF(MaGic_AVM_Land!M33=0,"",MaGic_AVM_Land!M33),"")</f>
        <v/>
      </c>
      <c r="N33" s="70" t="str">
        <f>IF(N$2="Y",IF(MaGic_AVM_Land!N33=0,"",MaGic_AVM_Land!N33),"")</f>
        <v/>
      </c>
      <c r="O33" s="70" t="str">
        <f>IF(O$2="Y",IF(MaGic_AVM_Land!O33=0,"",MaGic_AVM_Land!O33),"")</f>
        <v/>
      </c>
      <c r="P33" s="70" t="str">
        <f>IF(P$2="Y",IF(MaGic_AVM_Land!P33=0,"",MaGic_AVM_Land!P33),"")</f>
        <v/>
      </c>
      <c r="Q33" s="70" t="str">
        <f>IF(Q$2="Y",IF(MaGic_AVM_Land!Q33=0,"",MaGic_AVM_Land!Q33),"")</f>
        <v/>
      </c>
      <c r="R33" s="70" t="str">
        <f>IF(R$2="Y",IF(MaGic_AVM_Land!R33=0,"",MaGic_AVM_Land!R33),"")</f>
        <v/>
      </c>
      <c r="S33" s="70" t="str">
        <f>IF(S$2="Y",IF(MaGic_AVM_Land!S33=0,"",MaGic_AVM_Land!S33),"")</f>
        <v/>
      </c>
      <c r="T33" s="70" t="str">
        <f>IF(T$2="Y",IF(MaGic_AVM_Land!T33=0,"",MaGic_AVM_Land!T33),"")</f>
        <v/>
      </c>
      <c r="U33" s="70" t="str">
        <f>IF(U$2="Y",IF(MaGic_AVM_Land!U33=0,"",MaGic_AVM_Land!U33),"")</f>
        <v/>
      </c>
      <c r="V33" s="70" t="str">
        <f>IF(V$2="Y",IF(MaGic_AVM_Land!V33=0,"",MaGic_AVM_Land!V33),"")</f>
        <v/>
      </c>
      <c r="W33" s="70" t="str">
        <f>IF(W$2="Y",IF(MaGic_AVM_Land!W33=0,"",MaGic_AVM_Land!W33),"")</f>
        <v/>
      </c>
      <c r="X33" s="70" t="str">
        <f>IF(X$2="Y",IF(MaGic_AVM_Land!X33=0,"",MaGic_AVM_Land!X33),"")</f>
        <v/>
      </c>
      <c r="Y33" s="70" t="str">
        <f>IF(Y$2="Y",IF(MaGic_AVM_Land!Y33=0,"",MaGic_AVM_Land!Y33),"")</f>
        <v/>
      </c>
      <c r="Z33" s="70" t="str">
        <f>IF(Z$2="Y",IF(MaGic_AVM_Land!Z33=0,"",MaGic_AVM_Land!Z33),"")</f>
        <v/>
      </c>
      <c r="AB33" s="69" t="str" cm="1">
        <f t="array" ref="AB33">_xlfn.UNIQUE(C33:Z33,TRUE,FALSE)</f>
        <v/>
      </c>
    </row>
    <row r="34" spans="1:28">
      <c r="A34" s="70"/>
      <c r="B34" s="70" t="s">
        <v>110</v>
      </c>
      <c r="C34" s="70" t="str">
        <f>IF(C$2="Y",IF(MaGic_AVM_Land!C34=0,"",MaGic_AVM_Land!C34),"")</f>
        <v/>
      </c>
      <c r="D34" s="70" t="str">
        <f>IF(D$2="Y",IF(MaGic_AVM_Land!D34=0,"",MaGic_AVM_Land!D34),"")</f>
        <v/>
      </c>
      <c r="E34" s="70" t="str">
        <f>IF(E$2="Y",IF(MaGic_AVM_Land!E34=0,"",MaGic_AVM_Land!E34),"")</f>
        <v/>
      </c>
      <c r="F34" s="70" t="str">
        <f>IF(F$2="Y",IF(MaGic_AVM_Land!F34=0,"",MaGic_AVM_Land!F34),"")</f>
        <v/>
      </c>
      <c r="G34" s="70" t="str">
        <f>IF(G$2="Y",IF(MaGic_AVM_Land!G34=0,"",MaGic_AVM_Land!G34),"")</f>
        <v/>
      </c>
      <c r="H34" s="70" t="str">
        <f>IF(H$2="Y",IF(MaGic_AVM_Land!H34=0,"",MaGic_AVM_Land!H34),"")</f>
        <v/>
      </c>
      <c r="I34" s="70" t="str">
        <f>IF(I$2="Y",IF(MaGic_AVM_Land!I34=0,"",MaGic_AVM_Land!I34),"")</f>
        <v/>
      </c>
      <c r="J34" s="70" t="str">
        <f>IF(J$2="Y",IF(MaGic_AVM_Land!J34=0,"",MaGic_AVM_Land!J34),"")</f>
        <v/>
      </c>
      <c r="K34" s="70" t="str">
        <f>IF(K$2="Y",IF(MaGic_AVM_Land!K34=0,"",MaGic_AVM_Land!K34),"")</f>
        <v/>
      </c>
      <c r="L34" s="70" t="str">
        <f>IF(L$2="Y",IF(MaGic_AVM_Land!L34=0,"",MaGic_AVM_Land!L34),"")</f>
        <v/>
      </c>
      <c r="M34" s="70" t="str">
        <f>IF(M$2="Y",IF(MaGic_AVM_Land!M34=0,"",MaGic_AVM_Land!M34),"")</f>
        <v/>
      </c>
      <c r="N34" s="70" t="str">
        <f>IF(N$2="Y",IF(MaGic_AVM_Land!N34=0,"",MaGic_AVM_Land!N34),"")</f>
        <v/>
      </c>
      <c r="O34" s="70" t="str">
        <f>IF(O$2="Y",IF(MaGic_AVM_Land!O34=0,"",MaGic_AVM_Land!O34),"")</f>
        <v/>
      </c>
      <c r="P34" s="70" t="str">
        <f>IF(P$2="Y",IF(MaGic_AVM_Land!P34=0,"",MaGic_AVM_Land!P34),"")</f>
        <v/>
      </c>
      <c r="Q34" s="70" t="str">
        <f>IF(Q$2="Y",IF(MaGic_AVM_Land!Q34=0,"",MaGic_AVM_Land!Q34),"")</f>
        <v/>
      </c>
      <c r="R34" s="70" t="str">
        <f>IF(R$2="Y",IF(MaGic_AVM_Land!R34=0,"",MaGic_AVM_Land!R34),"")</f>
        <v/>
      </c>
      <c r="S34" s="70" t="str">
        <f>IF(S$2="Y",IF(MaGic_AVM_Land!S34=0,"",MaGic_AVM_Land!S34),"")</f>
        <v/>
      </c>
      <c r="T34" s="70" t="str">
        <f>IF(T$2="Y",IF(MaGic_AVM_Land!T34=0,"",MaGic_AVM_Land!T34),"")</f>
        <v/>
      </c>
      <c r="U34" s="70" t="str">
        <f>IF(U$2="Y",IF(MaGic_AVM_Land!U34=0,"",MaGic_AVM_Land!U34),"")</f>
        <v/>
      </c>
      <c r="V34" s="70" t="str">
        <f>IF(V$2="Y",IF(MaGic_AVM_Land!V34=0,"",MaGic_AVM_Land!V34),"")</f>
        <v/>
      </c>
      <c r="W34" s="70" t="str">
        <f>IF(W$2="Y",IF(MaGic_AVM_Land!W34=0,"",MaGic_AVM_Land!W34),"")</f>
        <v/>
      </c>
      <c r="X34" s="70" t="str">
        <f>IF(X$2="Y",IF(MaGic_AVM_Land!X34=0,"",MaGic_AVM_Land!X34),"")</f>
        <v/>
      </c>
      <c r="Y34" s="70" t="str">
        <f>IF(Y$2="Y",IF(MaGic_AVM_Land!Y34=0,"",MaGic_AVM_Land!Y34),"")</f>
        <v/>
      </c>
      <c r="Z34" s="70" t="str">
        <f>IF(Z$2="Y",IF(MaGic_AVM_Land!Z34=0,"",MaGic_AVM_Land!Z34),"")</f>
        <v/>
      </c>
      <c r="AB34" s="69" t="str" cm="1">
        <f t="array" ref="AB34">_xlfn.UNIQUE(C34:Z34,TRUE,FALSE)</f>
        <v/>
      </c>
    </row>
    <row r="35" spans="1:28">
      <c r="A35" s="70">
        <v>1</v>
      </c>
      <c r="B35" s="70" t="s">
        <v>1106</v>
      </c>
      <c r="C35" s="70" t="str">
        <f>IF(C$2="Y",IF(MaGic_AVM_Land!C35=0,"",MaGic_AVM_Land!C35),"")</f>
        <v/>
      </c>
      <c r="D35" s="70" t="str">
        <f>IF(D$2="Y",IF(MaGic_AVM_Land!D35=0,"",MaGic_AVM_Land!D35),"")</f>
        <v/>
      </c>
      <c r="E35" s="70" t="str">
        <f>IF(E$2="Y",IF(MaGic_AVM_Land!E35=0,"",MaGic_AVM_Land!E35),"")</f>
        <v/>
      </c>
      <c r="F35" s="70" t="str">
        <f>IF(F$2="Y",IF(MaGic_AVM_Land!F35=0,"",MaGic_AVM_Land!F35),"")</f>
        <v/>
      </c>
      <c r="G35" s="70" t="str">
        <f>IF(G$2="Y",IF(MaGic_AVM_Land!G35=0,"",MaGic_AVM_Land!G35),"")</f>
        <v/>
      </c>
      <c r="H35" s="70" t="str">
        <f>IF(H$2="Y",IF(MaGic_AVM_Land!H35=0,"",MaGic_AVM_Land!H35),"")</f>
        <v/>
      </c>
      <c r="I35" s="70" t="str">
        <f>IF(I$2="Y",IF(MaGic_AVM_Land!I35=0,"",MaGic_AVM_Land!I35),"")</f>
        <v/>
      </c>
      <c r="J35" s="70" t="str">
        <f>IF(J$2="Y",IF(MaGic_AVM_Land!J35=0,"",MaGic_AVM_Land!J35),"")</f>
        <v/>
      </c>
      <c r="K35" s="70" t="str">
        <f>IF(K$2="Y",IF(MaGic_AVM_Land!K35=0,"",MaGic_AVM_Land!K35),"")</f>
        <v/>
      </c>
      <c r="L35" s="70" t="str">
        <f>IF(L$2="Y",IF(MaGic_AVM_Land!L35=0,"",MaGic_AVM_Land!L35),"")</f>
        <v/>
      </c>
      <c r="M35" s="70" t="str">
        <f>IF(M$2="Y",IF(MaGic_AVM_Land!M35=0,"",MaGic_AVM_Land!M35),"")</f>
        <v/>
      </c>
      <c r="N35" s="70" t="str">
        <f>IF(N$2="Y",IF(MaGic_AVM_Land!N35=0,"",MaGic_AVM_Land!N35),"")</f>
        <v/>
      </c>
      <c r="O35" s="70" t="str">
        <f>IF(O$2="Y",IF(MaGic_AVM_Land!O35=0,"",MaGic_AVM_Land!O35),"")</f>
        <v/>
      </c>
      <c r="P35" s="70" t="str">
        <f>IF(P$2="Y",IF(MaGic_AVM_Land!P35=0,"",MaGic_AVM_Land!P35),"")</f>
        <v/>
      </c>
      <c r="Q35" s="70" t="str">
        <f>IF(Q$2="Y",IF(MaGic_AVM_Land!Q35=0,"",MaGic_AVM_Land!Q35),"")</f>
        <v/>
      </c>
      <c r="R35" s="70" t="str">
        <f>IF(R$2="Y",IF(MaGic_AVM_Land!R35=0,"",MaGic_AVM_Land!R35),"")</f>
        <v/>
      </c>
      <c r="S35" s="70" t="str">
        <f>IF(S$2="Y",IF(MaGic_AVM_Land!S35=0,"",MaGic_AVM_Land!S35),"")</f>
        <v/>
      </c>
      <c r="T35" s="70" t="str">
        <f>IF(T$2="Y",IF(MaGic_AVM_Land!T35=0,"",MaGic_AVM_Land!T35),"")</f>
        <v/>
      </c>
      <c r="U35" s="70" t="str">
        <f>IF(U$2="Y",IF(MaGic_AVM_Land!U35=0,"",MaGic_AVM_Land!U35),"")</f>
        <v/>
      </c>
      <c r="V35" s="70" t="str">
        <f>IF(V$2="Y",IF(MaGic_AVM_Land!V35=0,"",MaGic_AVM_Land!V35),"")</f>
        <v/>
      </c>
      <c r="W35" s="70" t="str">
        <f>IF(W$2="Y",IF(MaGic_AVM_Land!W35=0,"",MaGic_AVM_Land!W35),"")</f>
        <v/>
      </c>
      <c r="X35" s="70" t="str">
        <f>IF(X$2="Y",IF(MaGic_AVM_Land!X35=0,"",MaGic_AVM_Land!X35),"")</f>
        <v/>
      </c>
      <c r="Y35" s="70" t="str">
        <f>IF(Y$2="Y",IF(MaGic_AVM_Land!Y35=0,"",MaGic_AVM_Land!Y35),"")</f>
        <v/>
      </c>
      <c r="Z35" s="70" t="str">
        <f>IF(Z$2="Y",IF(MaGic_AVM_Land!Z35=0,"",MaGic_AVM_Land!Z35),"")</f>
        <v/>
      </c>
      <c r="AB35" s="69" t="str" cm="1">
        <f t="array" ref="AB35">_xlfn.UNIQUE(C35:Z35,TRUE,FALSE)</f>
        <v/>
      </c>
    </row>
    <row r="36" spans="1:28">
      <c r="A36" s="70">
        <v>2</v>
      </c>
      <c r="B36" s="70" t="s">
        <v>112</v>
      </c>
      <c r="C36" s="70" t="str">
        <f>IF(C$2="Y",IF(MaGic_AVM_Land!C36=0,"",MaGic_AVM_Land!C36),"")</f>
        <v/>
      </c>
      <c r="D36" s="70" t="str">
        <f>IF(D$2="Y",IF(MaGic_AVM_Land!D36=0,"",MaGic_AVM_Land!D36),"")</f>
        <v/>
      </c>
      <c r="E36" s="70" t="str">
        <f>IF(E$2="Y",IF(MaGic_AVM_Land!E36=0,"",MaGic_AVM_Land!E36),"")</f>
        <v/>
      </c>
      <c r="F36" s="70" t="str">
        <f>IF(F$2="Y",IF(MaGic_AVM_Land!F36=0,"",MaGic_AVM_Land!F36),"")</f>
        <v/>
      </c>
      <c r="G36" s="70" t="str">
        <f>IF(G$2="Y",IF(MaGic_AVM_Land!G36=0,"",MaGic_AVM_Land!G36),"")</f>
        <v/>
      </c>
      <c r="H36" s="70" t="str">
        <f>IF(H$2="Y",IF(MaGic_AVM_Land!H36=0,"",MaGic_AVM_Land!H36),"")</f>
        <v/>
      </c>
      <c r="I36" s="70" t="str">
        <f>IF(I$2="Y",IF(MaGic_AVM_Land!I36=0,"",MaGic_AVM_Land!I36),"")</f>
        <v/>
      </c>
      <c r="J36" s="70" t="str">
        <f>IF(J$2="Y",IF(MaGic_AVM_Land!J36=0,"",MaGic_AVM_Land!J36),"")</f>
        <v/>
      </c>
      <c r="K36" s="70" t="str">
        <f>IF(K$2="Y",IF(MaGic_AVM_Land!K36=0,"",MaGic_AVM_Land!K36),"")</f>
        <v/>
      </c>
      <c r="L36" s="70" t="str">
        <f>IF(L$2="Y",IF(MaGic_AVM_Land!L36=0,"",MaGic_AVM_Land!L36),"")</f>
        <v/>
      </c>
      <c r="M36" s="70" t="str">
        <f>IF(M$2="Y",IF(MaGic_AVM_Land!M36=0,"",MaGic_AVM_Land!M36),"")</f>
        <v/>
      </c>
      <c r="N36" s="70" t="str">
        <f>IF(N$2="Y",IF(MaGic_AVM_Land!N36=0,"",MaGic_AVM_Land!N36),"")</f>
        <v/>
      </c>
      <c r="O36" s="70" t="str">
        <f>IF(O$2="Y",IF(MaGic_AVM_Land!O36=0,"",MaGic_AVM_Land!O36),"")</f>
        <v/>
      </c>
      <c r="P36" s="70" t="str">
        <f>IF(P$2="Y",IF(MaGic_AVM_Land!P36=0,"",MaGic_AVM_Land!P36),"")</f>
        <v/>
      </c>
      <c r="Q36" s="70" t="str">
        <f>IF(Q$2="Y",IF(MaGic_AVM_Land!Q36=0,"",MaGic_AVM_Land!Q36),"")</f>
        <v/>
      </c>
      <c r="R36" s="70" t="str">
        <f>IF(R$2="Y",IF(MaGic_AVM_Land!R36=0,"",MaGic_AVM_Land!R36),"")</f>
        <v/>
      </c>
      <c r="S36" s="70" t="str">
        <f>IF(S$2="Y",IF(MaGic_AVM_Land!S36=0,"",MaGic_AVM_Land!S36),"")</f>
        <v/>
      </c>
      <c r="T36" s="70" t="str">
        <f>IF(T$2="Y",IF(MaGic_AVM_Land!T36=0,"",MaGic_AVM_Land!T36),"")</f>
        <v/>
      </c>
      <c r="U36" s="70" t="str">
        <f>IF(U$2="Y",IF(MaGic_AVM_Land!U36=0,"",MaGic_AVM_Land!U36),"")</f>
        <v/>
      </c>
      <c r="V36" s="70" t="str">
        <f>IF(V$2="Y",IF(MaGic_AVM_Land!V36=0,"",MaGic_AVM_Land!V36),"")</f>
        <v/>
      </c>
      <c r="W36" s="70" t="str">
        <f>IF(W$2="Y",IF(MaGic_AVM_Land!W36=0,"",MaGic_AVM_Land!W36),"")</f>
        <v/>
      </c>
      <c r="X36" s="70" t="str">
        <f>IF(X$2="Y",IF(MaGic_AVM_Land!X36=0,"",MaGic_AVM_Land!X36),"")</f>
        <v/>
      </c>
      <c r="Y36" s="70" t="str">
        <f>IF(Y$2="Y",IF(MaGic_AVM_Land!Y36=0,"",MaGic_AVM_Land!Y36),"")</f>
        <v/>
      </c>
      <c r="Z36" s="70" t="str">
        <f>IF(Z$2="Y",IF(MaGic_AVM_Land!Z36=0,"",MaGic_AVM_Land!Z36),"")</f>
        <v/>
      </c>
      <c r="AB36" s="69" t="str" cm="1">
        <f t="array" ref="AB36">_xlfn.UNIQUE(C36:Z36,TRUE,FALSE)</f>
        <v/>
      </c>
    </row>
    <row r="37" spans="1:28">
      <c r="A37" s="70">
        <v>3</v>
      </c>
      <c r="B37" s="70" t="s">
        <v>113</v>
      </c>
      <c r="C37" s="70" t="str">
        <f>IF(C$2="Y",IF(MaGic_AVM_Land!C37=0,"",MaGic_AVM_Land!C37),"")</f>
        <v/>
      </c>
      <c r="D37" s="70" t="str">
        <f>IF(D$2="Y",IF(MaGic_AVM_Land!D37=0,"",MaGic_AVM_Land!D37),"")</f>
        <v/>
      </c>
      <c r="E37" s="70" t="str">
        <f>IF(E$2="Y",IF(MaGic_AVM_Land!E37=0,"",MaGic_AVM_Land!E37),"")</f>
        <v/>
      </c>
      <c r="F37" s="70" t="str">
        <f>IF(F$2="Y",IF(MaGic_AVM_Land!F37=0,"",MaGic_AVM_Land!F37),"")</f>
        <v/>
      </c>
      <c r="G37" s="70" t="str">
        <f>IF(G$2="Y",IF(MaGic_AVM_Land!G37=0,"",MaGic_AVM_Land!G37),"")</f>
        <v/>
      </c>
      <c r="H37" s="70" t="str">
        <f>IF(H$2="Y",IF(MaGic_AVM_Land!H37=0,"",MaGic_AVM_Land!H37),"")</f>
        <v/>
      </c>
      <c r="I37" s="70" t="str">
        <f>IF(I$2="Y",IF(MaGic_AVM_Land!I37=0,"",MaGic_AVM_Land!I37),"")</f>
        <v/>
      </c>
      <c r="J37" s="70" t="str">
        <f>IF(J$2="Y",IF(MaGic_AVM_Land!J37=0,"",MaGic_AVM_Land!J37),"")</f>
        <v/>
      </c>
      <c r="K37" s="70" t="str">
        <f>IF(K$2="Y",IF(MaGic_AVM_Land!K37=0,"",MaGic_AVM_Land!K37),"")</f>
        <v/>
      </c>
      <c r="L37" s="70" t="str">
        <f>IF(L$2="Y",IF(MaGic_AVM_Land!L37=0,"",MaGic_AVM_Land!L37),"")</f>
        <v/>
      </c>
      <c r="M37" s="70" t="str">
        <f>IF(M$2="Y",IF(MaGic_AVM_Land!M37=0,"",MaGic_AVM_Land!M37),"")</f>
        <v/>
      </c>
      <c r="N37" s="70" t="str">
        <f>IF(N$2="Y",IF(MaGic_AVM_Land!N37=0,"",MaGic_AVM_Land!N37),"")</f>
        <v/>
      </c>
      <c r="O37" s="70" t="str">
        <f>IF(O$2="Y",IF(MaGic_AVM_Land!O37=0,"",MaGic_AVM_Land!O37),"")</f>
        <v/>
      </c>
      <c r="P37" s="70" t="str">
        <f>IF(P$2="Y",IF(MaGic_AVM_Land!P37=0,"",MaGic_AVM_Land!P37),"")</f>
        <v/>
      </c>
      <c r="Q37" s="70" t="str">
        <f>IF(Q$2="Y",IF(MaGic_AVM_Land!Q37=0,"",MaGic_AVM_Land!Q37),"")</f>
        <v/>
      </c>
      <c r="R37" s="70" t="str">
        <f>IF(R$2="Y",IF(MaGic_AVM_Land!R37=0,"",MaGic_AVM_Land!R37),"")</f>
        <v/>
      </c>
      <c r="S37" s="70" t="str">
        <f>IF(S$2="Y",IF(MaGic_AVM_Land!S37=0,"",MaGic_AVM_Land!S37),"")</f>
        <v/>
      </c>
      <c r="T37" s="70" t="str">
        <f>IF(T$2="Y",IF(MaGic_AVM_Land!T37=0,"",MaGic_AVM_Land!T37),"")</f>
        <v/>
      </c>
      <c r="U37" s="70" t="str">
        <f>IF(U$2="Y",IF(MaGic_AVM_Land!U37=0,"",MaGic_AVM_Land!U37),"")</f>
        <v/>
      </c>
      <c r="V37" s="70" t="str">
        <f>IF(V$2="Y",IF(MaGic_AVM_Land!V37=0,"",MaGic_AVM_Land!V37),"")</f>
        <v/>
      </c>
      <c r="W37" s="70" t="str">
        <f>IF(W$2="Y",IF(MaGic_AVM_Land!W37=0,"",MaGic_AVM_Land!W37),"")</f>
        <v/>
      </c>
      <c r="X37" s="70" t="str">
        <f>IF(X$2="Y",IF(MaGic_AVM_Land!X37=0,"",MaGic_AVM_Land!X37),"")</f>
        <v/>
      </c>
      <c r="Y37" s="70" t="str">
        <f>IF(Y$2="Y",IF(MaGic_AVM_Land!Y37=0,"",MaGic_AVM_Land!Y37),"")</f>
        <v/>
      </c>
      <c r="Z37" s="70" t="str">
        <f>IF(Z$2="Y",IF(MaGic_AVM_Land!Z37=0,"",MaGic_AVM_Land!Z37),"")</f>
        <v/>
      </c>
      <c r="AB37" s="69" t="str" cm="1">
        <f t="array" ref="AB37">_xlfn.UNIQUE(C37:Z37,TRUE,FALSE)</f>
        <v/>
      </c>
    </row>
    <row r="38" spans="1:28">
      <c r="A38" s="70">
        <v>4</v>
      </c>
      <c r="B38" s="70" t="s">
        <v>114</v>
      </c>
      <c r="C38" s="70"/>
      <c r="D38" s="70"/>
      <c r="E38" s="70"/>
      <c r="F38" s="70"/>
      <c r="G38" s="70"/>
      <c r="H38" s="70"/>
      <c r="I38" s="70"/>
      <c r="J38" s="70"/>
      <c r="K38" s="70"/>
      <c r="L38" s="70"/>
      <c r="M38" s="70"/>
      <c r="N38" s="70"/>
      <c r="O38" s="70"/>
      <c r="P38" s="70"/>
      <c r="Q38" s="70"/>
      <c r="R38" s="70"/>
      <c r="S38" s="70"/>
      <c r="T38" s="70"/>
      <c r="U38" s="70"/>
      <c r="V38" s="70"/>
      <c r="W38" s="70"/>
      <c r="X38" s="70"/>
      <c r="Y38" s="70"/>
      <c r="Z38" s="70"/>
      <c r="AB38" s="69" cm="1">
        <f t="array" ref="AB38">_xlfn.UNIQUE(C38:Z38,TRUE,FALSE)</f>
        <v>0</v>
      </c>
    </row>
    <row r="39" spans="1:28">
      <c r="A39" s="70">
        <v>5</v>
      </c>
      <c r="B39" s="70" t="s">
        <v>115</v>
      </c>
      <c r="C39" s="70"/>
      <c r="D39" s="70"/>
      <c r="E39" s="70"/>
      <c r="F39" s="70"/>
      <c r="G39" s="70"/>
      <c r="H39" s="70"/>
      <c r="I39" s="70"/>
      <c r="J39" s="70"/>
      <c r="K39" s="70"/>
      <c r="L39" s="70"/>
      <c r="M39" s="70"/>
      <c r="N39" s="70"/>
      <c r="O39" s="70"/>
      <c r="P39" s="70"/>
      <c r="Q39" s="70"/>
      <c r="R39" s="70"/>
      <c r="S39" s="70"/>
      <c r="T39" s="70"/>
      <c r="U39" s="70"/>
      <c r="V39" s="70"/>
      <c r="W39" s="70"/>
      <c r="X39" s="70"/>
      <c r="Y39" s="70"/>
      <c r="Z39" s="70"/>
      <c r="AB39" s="69" cm="1">
        <f t="array" ref="AB39">_xlfn.UNIQUE(C39:Z39,TRUE,FALSE)</f>
        <v>0</v>
      </c>
    </row>
    <row r="40" spans="1:28">
      <c r="A40" s="70">
        <v>6</v>
      </c>
      <c r="B40" s="70" t="s">
        <v>116</v>
      </c>
      <c r="C40" s="70"/>
      <c r="D40" s="70"/>
      <c r="E40" s="70"/>
      <c r="F40" s="70"/>
      <c r="G40" s="70"/>
      <c r="H40" s="70"/>
      <c r="I40" s="70"/>
      <c r="J40" s="70"/>
      <c r="K40" s="70"/>
      <c r="L40" s="70"/>
      <c r="M40" s="70"/>
      <c r="N40" s="70"/>
      <c r="O40" s="70"/>
      <c r="P40" s="70"/>
      <c r="Q40" s="70"/>
      <c r="R40" s="70"/>
      <c r="S40" s="70"/>
      <c r="T40" s="70"/>
      <c r="U40" s="70"/>
      <c r="V40" s="70"/>
      <c r="W40" s="70"/>
      <c r="X40" s="70"/>
      <c r="Y40" s="70"/>
      <c r="Z40" s="70"/>
      <c r="AB40" s="69" cm="1">
        <f t="array" ref="AB40">_xlfn.UNIQUE(C40:Z40,TRUE,FALSE)</f>
        <v>0</v>
      </c>
    </row>
    <row r="41" spans="1:28">
      <c r="A41" s="70"/>
      <c r="B41" s="70" t="s">
        <v>117</v>
      </c>
      <c r="C41" s="70"/>
      <c r="D41" s="70"/>
      <c r="E41" s="70"/>
      <c r="F41" s="70"/>
      <c r="G41" s="70"/>
      <c r="H41" s="70"/>
      <c r="I41" s="70"/>
      <c r="J41" s="70"/>
      <c r="K41" s="70"/>
      <c r="L41" s="70"/>
      <c r="M41" s="70"/>
      <c r="N41" s="70"/>
      <c r="O41" s="70"/>
      <c r="P41" s="70"/>
      <c r="Q41" s="70"/>
      <c r="R41" s="70"/>
      <c r="S41" s="70"/>
      <c r="T41" s="70"/>
      <c r="U41" s="70"/>
      <c r="V41" s="70"/>
      <c r="W41" s="70"/>
      <c r="X41" s="70"/>
      <c r="Y41" s="70"/>
      <c r="Z41" s="70"/>
      <c r="AB41" s="69" cm="1">
        <f t="array" ref="AB41">_xlfn.UNIQUE(C41:Z41,TRUE,FALSE)</f>
        <v>0</v>
      </c>
    </row>
    <row r="42" spans="1:28">
      <c r="A42" s="70">
        <v>1</v>
      </c>
      <c r="B42" s="70" t="s">
        <v>118</v>
      </c>
      <c r="C42" s="70"/>
      <c r="D42" s="70"/>
      <c r="E42" s="70"/>
      <c r="F42" s="70"/>
      <c r="G42" s="70"/>
      <c r="H42" s="70"/>
      <c r="I42" s="70"/>
      <c r="J42" s="70"/>
      <c r="K42" s="70"/>
      <c r="L42" s="70"/>
      <c r="M42" s="70"/>
      <c r="N42" s="70"/>
      <c r="O42" s="70"/>
      <c r="P42" s="70"/>
      <c r="Q42" s="70"/>
      <c r="R42" s="70"/>
      <c r="S42" s="70"/>
      <c r="T42" s="70"/>
      <c r="U42" s="70"/>
      <c r="V42" s="70"/>
      <c r="W42" s="70"/>
      <c r="X42" s="70"/>
      <c r="Y42" s="70"/>
      <c r="Z42" s="70"/>
      <c r="AB42" s="69" cm="1">
        <f t="array" ref="AB42">_xlfn.UNIQUE(C42:Z42,TRUE,FALSE)</f>
        <v>0</v>
      </c>
    </row>
    <row r="43" spans="1:28">
      <c r="A43" s="70">
        <v>2</v>
      </c>
      <c r="B43" s="70" t="s">
        <v>119</v>
      </c>
      <c r="C43" s="70"/>
      <c r="D43" s="70"/>
      <c r="E43" s="70"/>
      <c r="F43" s="70"/>
      <c r="G43" s="70"/>
      <c r="H43" s="70"/>
      <c r="I43" s="70"/>
      <c r="J43" s="70"/>
      <c r="K43" s="70"/>
      <c r="L43" s="70"/>
      <c r="M43" s="70"/>
      <c r="N43" s="70"/>
      <c r="O43" s="70"/>
      <c r="P43" s="70"/>
      <c r="Q43" s="70"/>
      <c r="R43" s="70"/>
      <c r="S43" s="70"/>
      <c r="T43" s="70"/>
      <c r="U43" s="70"/>
      <c r="V43" s="70"/>
      <c r="W43" s="70"/>
      <c r="X43" s="70"/>
      <c r="Y43" s="70"/>
      <c r="Z43" s="70"/>
      <c r="AB43" s="69" cm="1">
        <f t="array" ref="AB43">_xlfn.UNIQUE(C43:Z43,TRUE,FALSE)</f>
        <v>0</v>
      </c>
    </row>
    <row r="44" spans="1:28">
      <c r="A44" s="70">
        <v>3</v>
      </c>
      <c r="B44" s="70" t="s">
        <v>120</v>
      </c>
      <c r="C44" s="70"/>
      <c r="D44" s="70"/>
      <c r="E44" s="70"/>
      <c r="F44" s="70"/>
      <c r="G44" s="70"/>
      <c r="H44" s="70"/>
      <c r="I44" s="70"/>
      <c r="J44" s="70"/>
      <c r="K44" s="70"/>
      <c r="L44" s="70"/>
      <c r="M44" s="70"/>
      <c r="N44" s="70"/>
      <c r="O44" s="70"/>
      <c r="P44" s="70"/>
      <c r="Q44" s="70"/>
      <c r="R44" s="70"/>
      <c r="S44" s="70"/>
      <c r="T44" s="70"/>
      <c r="U44" s="70"/>
      <c r="V44" s="70"/>
      <c r="W44" s="70"/>
      <c r="X44" s="70"/>
      <c r="Y44" s="70"/>
      <c r="Z44" s="70"/>
      <c r="AB44" s="69" cm="1">
        <f t="array" ref="AB44">_xlfn.UNIQUE(C44:Z44,TRUE,FALSE)</f>
        <v>0</v>
      </c>
    </row>
    <row r="45" spans="1:28">
      <c r="A45" s="70">
        <v>4</v>
      </c>
      <c r="B45" s="70" t="s">
        <v>121</v>
      </c>
      <c r="C45" s="70"/>
      <c r="D45" s="70"/>
      <c r="E45" s="70"/>
      <c r="F45" s="70"/>
      <c r="G45" s="70"/>
      <c r="H45" s="70"/>
      <c r="I45" s="70"/>
      <c r="J45" s="70"/>
      <c r="K45" s="70"/>
      <c r="L45" s="70"/>
      <c r="M45" s="70"/>
      <c r="N45" s="70"/>
      <c r="O45" s="70"/>
      <c r="P45" s="70"/>
      <c r="Q45" s="70"/>
      <c r="R45" s="70"/>
      <c r="S45" s="70"/>
      <c r="T45" s="70"/>
      <c r="U45" s="70"/>
      <c r="V45" s="70"/>
      <c r="W45" s="70"/>
      <c r="X45" s="70"/>
      <c r="Y45" s="70"/>
      <c r="Z45" s="70"/>
      <c r="AB45" s="69" cm="1">
        <f t="array" ref="AB45">_xlfn.UNIQUE(C45:Z45,TRUE,FALSE)</f>
        <v>0</v>
      </c>
    </row>
    <row r="46" spans="1:28" ht="48" customHeight="1"/>
    <row r="47" spans="1:28" hidden="1"/>
    <row r="48" spans="1:2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spans="3:27" hidden="1"/>
    <row r="98" spans="3:27" hidden="1"/>
    <row r="99" spans="3:27" hidden="1"/>
    <row r="100" spans="3:27" hidden="1"/>
    <row r="101" spans="3:27" ht="170.25" customHeight="1">
      <c r="C101" s="19" t="str">
        <f>IF(C23="","",CONCATENATE(C23," Ares of land in ",IF(C20="","",CONCATENATE($B$20,C20,", ")),IF(C21="","",CONCATENATE($B$21,C21,", ")),IF(C22="","",CONCATENATE($B$22,C22,", ")),IF(C17="","",CONCATENATE($B$17,C17,", ")),IF(C18="","",CONCATENATE($B$18,C18,", ")),IF(C19="","",CONCATENATE($B$19,C19,", ")),IF(C14="","",CONCATENATE($B$14,C14,", ")),IF(C15="","",CONCATENATE($B$15,C15,", ")),IF(C16="","",CONCATENATE($B$16,C16))))</f>
        <v/>
      </c>
      <c r="D101" s="19" t="str">
        <f>IF(D23="","",CONCATENATE(D23," Ares of land in ",IF(D20="","",CONCATENATE($B$20,D20,", ")),IF(D21="","",CONCATENATE($B$21,D21,", ")),IF(D22="","",CONCATENATE($B$22,D22,", ")),IF(D17="","",CONCATENATE($B$17,D17,", ")),IF(D18="","",CONCATENATE($B$18,D18,", ")),IF(D19="","",CONCATENATE($B$19,D19,", ")),IF(D14="","",CONCATENATE($B$14,D14,", ")),IF(D15="","",CONCATENATE($B$15,D15,", ")),IF(D16="","",CONCATENATE($B$16,D16))))</f>
        <v/>
      </c>
      <c r="E101" s="19" t="str">
        <f t="shared" ref="E101:Z101" si="4">IF(E23="","",CONCATENATE(E23," Ares of land in ",IF(E20="","",CONCATENATE($B$20,E20,", ")),IF(E21="","",CONCATENATE($B$21,E21,", ")),IF(E22="","",CONCATENATE($B$22,E22,", ")),IF(E17="","",CONCATENATE($B$17,E17,", ")),IF(E18="","",CONCATENATE($B$18,E18,", ")),IF(E19="","",CONCATENATE($B$19,E19,", ")),IF(E14="","",CONCATENATE($B$14,E14,", ")),IF(E15="","",CONCATENATE($B$15,E15,", ")),IF(E16="","",CONCATENATE($B$16,E16))))</f>
        <v/>
      </c>
      <c r="F101" s="19" t="str">
        <f t="shared" si="4"/>
        <v>4.15 Ares of land in Re-Sy Block No.3, Re-Sy No.254, Re-Sy Sub-Div No.21-2</v>
      </c>
      <c r="G101" s="19" t="str">
        <f t="shared" si="4"/>
        <v/>
      </c>
      <c r="H101" s="19" t="str">
        <f t="shared" si="4"/>
        <v/>
      </c>
      <c r="I101" s="19" t="str">
        <f t="shared" si="4"/>
        <v/>
      </c>
      <c r="J101" s="19" t="str">
        <f t="shared" si="4"/>
        <v/>
      </c>
      <c r="K101" s="19" t="str">
        <f t="shared" si="4"/>
        <v/>
      </c>
      <c r="L101" s="19" t="str">
        <f t="shared" si="4"/>
        <v/>
      </c>
      <c r="M101" s="19" t="str">
        <f t="shared" si="4"/>
        <v/>
      </c>
      <c r="N101" s="19" t="str">
        <f t="shared" si="4"/>
        <v/>
      </c>
      <c r="O101" s="19" t="str">
        <f t="shared" si="4"/>
        <v/>
      </c>
      <c r="P101" s="19" t="str">
        <f t="shared" si="4"/>
        <v/>
      </c>
      <c r="Q101" s="19" t="str">
        <f t="shared" si="4"/>
        <v/>
      </c>
      <c r="R101" s="19" t="str">
        <f t="shared" si="4"/>
        <v/>
      </c>
      <c r="S101" s="19" t="str">
        <f t="shared" si="4"/>
        <v/>
      </c>
      <c r="T101" s="19" t="str">
        <f t="shared" si="4"/>
        <v/>
      </c>
      <c r="U101" s="19" t="str">
        <f t="shared" si="4"/>
        <v/>
      </c>
      <c r="V101" s="19" t="str">
        <f t="shared" si="4"/>
        <v/>
      </c>
      <c r="W101" s="19" t="str">
        <f t="shared" si="4"/>
        <v/>
      </c>
      <c r="X101" s="19" t="str">
        <f t="shared" si="4"/>
        <v/>
      </c>
      <c r="Y101" s="19" t="str">
        <f t="shared" si="4"/>
        <v/>
      </c>
      <c r="Z101" s="19" t="str">
        <f t="shared" si="4"/>
        <v/>
      </c>
      <c r="AA101" s="19" t="str">
        <f>_xlfn.TEXTJOIN(" and ",TRUE,C101:Z101)</f>
        <v>4.15 Ares of land in Re-Sy Block No.3, Re-Sy No.254, Re-Sy Sub-Div No.21-2</v>
      </c>
    </row>
    <row r="102" spans="3:27">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v>0</v>
      </c>
      <c r="AA102" s="19" t="s">
        <v>212</v>
      </c>
    </row>
    <row r="103" spans="3:27" ht="43.5">
      <c r="Z103" s="19">
        <v>1</v>
      </c>
      <c r="AA103" s="19" t="str">
        <f>CONCATENATE(AA101," located in ",AA11,", ",AA10,", ",AA8,". ")</f>
        <v>4.15 Ares of land in Re-Sy Block No.3, Re-Sy No.254, Re-Sy Sub-Div No.21-2  located in Veilyoor Village, Thiruvanthupuram Taluk, Thiruvanthapuram District.</v>
      </c>
    </row>
    <row r="104" spans="3:27" ht="146.25" customHeight="1">
      <c r="Z104" s="69">
        <v>2</v>
      </c>
      <c r="AA104" s="19" t="str">
        <f>CONCATENATE("A total of ",AA23," ares of land, comprising ",AA101," located in ",AA11,", ",AA10,", ",AA8,". ")</f>
        <v>A total of 4.15 ares of land, comprising 4.15 Ares of land in Re-Sy Block No.3, Re-Sy No.254, Re-Sy Sub-Div No.21-2  located in Veilyoor Village, Thiruvanthupuram Taluk, Thiruvanthapuram District.</v>
      </c>
    </row>
    <row r="105" spans="3:27" ht="84.65" customHeight="1">
      <c r="Y105" s="477" t="s">
        <v>1107</v>
      </c>
      <c r="Z105" s="477"/>
      <c r="AA105" s="467" t="str">
        <f>IF(AA2&gt;2,AA104,VLOOKUP(AA2,Z102:AA104,2,FALSE))</f>
        <v>4.15 Ares of land in Re-Sy Block No.3, Re-Sy No.254, Re-Sy Sub-Div No.21-2  located in Veilyoor Village, Thiruvanthupuram Taluk, Thiruvanthapuram District.</v>
      </c>
    </row>
    <row r="106" spans="3:27">
      <c r="Y106" s="477"/>
      <c r="Z106" s="477"/>
      <c r="AA106" s="467"/>
    </row>
    <row r="107" spans="3:27">
      <c r="Y107" s="477" t="s">
        <v>1109</v>
      </c>
      <c r="Z107" s="477"/>
      <c r="AA107" s="467" t="s">
        <v>1110</v>
      </c>
    </row>
    <row r="108" spans="3:27">
      <c r="D108" s="69">
        <v>0</v>
      </c>
      <c r="Y108" s="477"/>
      <c r="Z108" s="477"/>
      <c r="AA108" s="467"/>
    </row>
    <row r="109" spans="3:27">
      <c r="Y109" s="477"/>
      <c r="Z109" s="477"/>
      <c r="AA109" s="467"/>
    </row>
    <row r="110" spans="3:27">
      <c r="Y110" s="477"/>
      <c r="Z110" s="477"/>
      <c r="AA110" s="467"/>
    </row>
    <row r="111" spans="3:27">
      <c r="Y111" s="477"/>
      <c r="Z111" s="477"/>
      <c r="AA111" s="467"/>
    </row>
    <row r="112" spans="3:27">
      <c r="Y112" s="477"/>
      <c r="Z112" s="477"/>
      <c r="AA112" s="467"/>
    </row>
    <row r="113" spans="25:30">
      <c r="Y113" s="477"/>
      <c r="Z113" s="477"/>
      <c r="AA113" s="467"/>
    </row>
    <row r="114" spans="25:30" ht="187.5" customHeight="1">
      <c r="Y114" s="477" t="s">
        <v>85</v>
      </c>
      <c r="Z114" s="477"/>
      <c r="AA114" s="19" t="s">
        <v>1121</v>
      </c>
      <c r="AB114" s="19" t="str">
        <f>IF(ISNUMBER(SEARCH("Wet",AA24)),AA114,"N")</f>
        <v>Plot is classified as wet land as per Land Tax Receipt.</v>
      </c>
      <c r="AC114" s="19">
        <f>IF(AB114="N",0,1)</f>
        <v>1</v>
      </c>
      <c r="AD114" s="69" t="str">
        <f>IF(AC114=1,AB114,"")</f>
        <v>Plot is classified as wet land as per Land Tax Receipt.</v>
      </c>
    </row>
    <row r="115" spans="25:30" ht="174.65" customHeight="1">
      <c r="Y115" s="477" t="s">
        <v>1122</v>
      </c>
      <c r="Z115" s="477"/>
      <c r="AA115" s="19" t="s">
        <v>1123</v>
      </c>
      <c r="AB115" s="19" t="str">
        <f>IF(ISNUMBER(SEARCH("Paddy",AA24)),AA115,"N")</f>
        <v>N</v>
      </c>
      <c r="AC115" s="19">
        <f>IF(AB115="N",0,1)</f>
        <v>0</v>
      </c>
      <c r="AD115" s="69" t="str">
        <f t="shared" ref="AD115:AD116" si="5">IF(AC115=1,AB115,"")</f>
        <v/>
      </c>
    </row>
    <row r="116" spans="25:30" ht="154.15" customHeight="1">
      <c r="Y116" s="477" t="s">
        <v>87</v>
      </c>
      <c r="Z116" s="477"/>
      <c r="AA116" s="19" t="s">
        <v>1124</v>
      </c>
      <c r="AB116" s="19" t="str">
        <f>IF(ISNUMBER(SEARCH("Dry",AA24)),AA116,"N")</f>
        <v>N</v>
      </c>
      <c r="AC116" s="19">
        <f>IF(AB116="N",0,1)</f>
        <v>0</v>
      </c>
      <c r="AD116" s="69" t="str">
        <f t="shared" si="5"/>
        <v/>
      </c>
    </row>
    <row r="117" spans="25:30" ht="73.5" customHeight="1">
      <c r="AC117" s="69" t="s">
        <v>1120</v>
      </c>
      <c r="AD117" s="76" t="str">
        <f>IF(AA2=0,"",CONCATENATE(AD114,AD115,AD116))</f>
        <v>Plot is classified as wet land as per Land Tax Receipt.</v>
      </c>
    </row>
  </sheetData>
  <mergeCells count="7">
    <mergeCell ref="Y114:Z114"/>
    <mergeCell ref="Y115:Z115"/>
    <mergeCell ref="Y116:Z116"/>
    <mergeCell ref="AA105:AA106"/>
    <mergeCell ref="AA107:AA113"/>
    <mergeCell ref="Y105:Z106"/>
    <mergeCell ref="Y107:Z113"/>
  </mergeCells>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dimension ref="A2:AD117"/>
  <sheetViews>
    <sheetView topLeftCell="S1" workbookViewId="0"/>
  </sheetViews>
  <sheetFormatPr defaultColWidth="9.26953125" defaultRowHeight="14.5"/>
  <cols>
    <col min="1" max="1" width="3" style="69" customWidth="1"/>
    <col min="2" max="2" width="23.26953125" style="69" customWidth="1"/>
    <col min="3" max="3" width="11.54296875" style="69" customWidth="1"/>
    <col min="4" max="4" width="14" style="69" customWidth="1"/>
    <col min="5" max="5" width="11.54296875" style="69" customWidth="1"/>
    <col min="6" max="26" width="9.26953125" style="69"/>
    <col min="27" max="27" width="52.7265625" style="69" customWidth="1"/>
    <col min="28" max="28" width="38.54296875" style="69" customWidth="1"/>
    <col min="29" max="29" width="25.26953125" style="69" customWidth="1"/>
    <col min="30" max="30" width="38.7265625" style="69" customWidth="1"/>
    <col min="31" max="31" width="29.26953125" style="69" customWidth="1"/>
    <col min="32" max="16384" width="9.26953125" style="69"/>
  </cols>
  <sheetData>
    <row r="2" spans="1:29">
      <c r="A2" s="70"/>
      <c r="B2" s="70"/>
      <c r="C2" s="70" t="str">
        <f>IF(MaGic_AVM_Land!C2="Possession Certificate","Y","N")</f>
        <v>N</v>
      </c>
      <c r="D2" s="70" t="str">
        <f>IF(MaGic_AVM_Land!D2="Possession Certificate","Y","N")</f>
        <v>N</v>
      </c>
      <c r="E2" s="70" t="str">
        <f>IF(MaGic_AVM_Land!E2="Possession Certificate","Y","N")</f>
        <v>Y</v>
      </c>
      <c r="F2" s="70" t="str">
        <f>IF(MaGic_AVM_Land!F2="Possession Certificate","Y","N")</f>
        <v>N</v>
      </c>
      <c r="G2" s="70" t="str">
        <f>IF(MaGic_AVM_Land!G2="Possession Certificate","Y","N")</f>
        <v>N</v>
      </c>
      <c r="H2" s="70" t="str">
        <f>IF(MaGic_AVM_Land!H2="Possession Certificate","Y","N")</f>
        <v>N</v>
      </c>
      <c r="I2" s="70" t="str">
        <f>IF(MaGic_AVM_Land!I2="Possession Certificate","Y","N")</f>
        <v>N</v>
      </c>
      <c r="J2" s="70" t="str">
        <f>IF(MaGic_AVM_Land!J2="Possession Certificate","Y","N")</f>
        <v>N</v>
      </c>
      <c r="K2" s="70" t="str">
        <f>IF(MaGic_AVM_Land!K2="Possession Certificate","Y","N")</f>
        <v>N</v>
      </c>
      <c r="L2" s="70" t="str">
        <f>IF(MaGic_AVM_Land!L2="Possession Certificate","Y","N")</f>
        <v>N</v>
      </c>
      <c r="M2" s="70" t="str">
        <f>IF(MaGic_AVM_Land!M2="Possession Certificate","Y","N")</f>
        <v>N</v>
      </c>
      <c r="N2" s="70" t="str">
        <f>IF(MaGic_AVM_Land!N2="Possession Certificate","Y","N")</f>
        <v>N</v>
      </c>
      <c r="O2" s="70" t="str">
        <f>IF(MaGic_AVM_Land!O2="Possession Certificate","Y","N")</f>
        <v>N</v>
      </c>
      <c r="P2" s="70" t="str">
        <f>IF(MaGic_AVM_Land!P2="Possession Certificate","Y","N")</f>
        <v>N</v>
      </c>
      <c r="Q2" s="70" t="str">
        <f>IF(MaGic_AVM_Land!Q2="Possession Certificate","Y","N")</f>
        <v>N</v>
      </c>
      <c r="R2" s="70" t="str">
        <f>IF(MaGic_AVM_Land!R2="Possession Certificate","Y","N")</f>
        <v>N</v>
      </c>
      <c r="S2" s="70" t="str">
        <f>IF(MaGic_AVM_Land!S2="Possession Certificate","Y","N")</f>
        <v>N</v>
      </c>
      <c r="T2" s="70" t="str">
        <f>IF(MaGic_AVM_Land!T2="Possession Certificate","Y","N")</f>
        <v>N</v>
      </c>
      <c r="U2" s="70" t="str">
        <f>IF(MaGic_AVM_Land!U2="Possession Certificate","Y","N")</f>
        <v>N</v>
      </c>
      <c r="V2" s="70" t="str">
        <f>IF(MaGic_AVM_Land!V2="Possession Certificate","Y","N")</f>
        <v>N</v>
      </c>
      <c r="W2" s="70" t="str">
        <f>IF(MaGic_AVM_Land!W2="Possession Certificate","Y","N")</f>
        <v>N</v>
      </c>
      <c r="X2" s="70" t="str">
        <f>IF(MaGic_AVM_Land!X2="Possession Certificate","Y","N")</f>
        <v>N</v>
      </c>
      <c r="Y2" s="70" t="str">
        <f>IF(MaGic_AVM_Land!Y2="Possession Certificate","Y","N")</f>
        <v>N</v>
      </c>
      <c r="Z2" s="70" t="str">
        <f>IF(MaGic_AVM_Land!Z2="Possession Certificate","Y","N")</f>
        <v>N</v>
      </c>
      <c r="AA2" s="69">
        <f>COUNTIF(C2:Z2,"Y")</f>
        <v>1</v>
      </c>
      <c r="AB2" s="69" t="str" cm="1">
        <f t="array" ref="AB2:AC2">_xlfn.UNIQUE(C2:Z2,TRUE,FALSE)</f>
        <v>N</v>
      </c>
      <c r="AC2" s="69" t="str">
        <v>Y</v>
      </c>
    </row>
    <row r="3" spans="1:29">
      <c r="A3" s="70">
        <v>1</v>
      </c>
      <c r="B3" s="70" t="s">
        <v>48</v>
      </c>
      <c r="C3" s="70" t="str">
        <f>IF(C$2="Y",IF(MaGic_AVM_Land!C3=0,"",MaGic_AVM_Land!C3),"")</f>
        <v/>
      </c>
      <c r="D3" s="70" t="str">
        <f>IF(D$2="Y",IF(MaGic_AVM_Land!D3=0,"",MaGic_AVM_Land!D3),"")</f>
        <v/>
      </c>
      <c r="E3" s="70" t="str">
        <f>IF(E$2="Y",IF(MaGic_AVM_Land!E3=0,"",MaGic_AVM_Land!E3),"")</f>
        <v>153/2022</v>
      </c>
      <c r="F3" s="70" t="str">
        <f>IF(F$2="Y",IF(MaGic_AVM_Land!F3=0,"",MaGic_AVM_Land!F3),"")</f>
        <v/>
      </c>
      <c r="G3" s="70" t="str">
        <f>IF(G$2="Y",IF(MaGic_AVM_Land!G3=0,"",MaGic_AVM_Land!G3),"")</f>
        <v/>
      </c>
      <c r="H3" s="70" t="str">
        <f>IF(H$2="Y",IF(MaGic_AVM_Land!H3=0,"",MaGic_AVM_Land!H3),"")</f>
        <v/>
      </c>
      <c r="I3" s="70" t="str">
        <f>IF(I$2="Y",IF(MaGic_AVM_Land!I3=0,"",MaGic_AVM_Land!I3),"")</f>
        <v/>
      </c>
      <c r="J3" s="70" t="str">
        <f>IF(J$2="Y",IF(MaGic_AVM_Land!J3=0,"",MaGic_AVM_Land!J3),"")</f>
        <v/>
      </c>
      <c r="K3" s="70" t="str">
        <f>IF(K$2="Y",IF(MaGic_AVM_Land!K3=0,"",MaGic_AVM_Land!K3),"")</f>
        <v/>
      </c>
      <c r="L3" s="70" t="str">
        <f>IF(L$2="Y",IF(MaGic_AVM_Land!L3=0,"",MaGic_AVM_Land!L3),"")</f>
        <v/>
      </c>
      <c r="M3" s="70" t="str">
        <f>IF(M$2="Y",IF(MaGic_AVM_Land!M3=0,"",MaGic_AVM_Land!M3),"")</f>
        <v/>
      </c>
      <c r="N3" s="70" t="str">
        <f>IF(N$2="Y",IF(MaGic_AVM_Land!N3=0,"",MaGic_AVM_Land!N3),"")</f>
        <v/>
      </c>
      <c r="O3" s="70" t="str">
        <f>IF(O$2="Y",IF(MaGic_AVM_Land!O3=0,"",MaGic_AVM_Land!O3),"")</f>
        <v/>
      </c>
      <c r="P3" s="70" t="str">
        <f>IF(P$2="Y",IF(MaGic_AVM_Land!P3=0,"",MaGic_AVM_Land!P3),"")</f>
        <v/>
      </c>
      <c r="Q3" s="70" t="str">
        <f>IF(Q$2="Y",IF(MaGic_AVM_Land!Q3=0,"",MaGic_AVM_Land!Q3),"")</f>
        <v/>
      </c>
      <c r="R3" s="70" t="str">
        <f>IF(R$2="Y",IF(MaGic_AVM_Land!R3=0,"",MaGic_AVM_Land!R3),"")</f>
        <v/>
      </c>
      <c r="S3" s="70" t="str">
        <f>IF(S$2="Y",IF(MaGic_AVM_Land!S3=0,"",MaGic_AVM_Land!S3),"")</f>
        <v/>
      </c>
      <c r="T3" s="70" t="str">
        <f>IF(T$2="Y",IF(MaGic_AVM_Land!T3=0,"",MaGic_AVM_Land!T3),"")</f>
        <v/>
      </c>
      <c r="U3" s="70" t="str">
        <f>IF(U$2="Y",IF(MaGic_AVM_Land!U3=0,"",MaGic_AVM_Land!U3),"")</f>
        <v/>
      </c>
      <c r="V3" s="70" t="str">
        <f>IF(V$2="Y",IF(MaGic_AVM_Land!V3=0,"",MaGic_AVM_Land!V3),"")</f>
        <v/>
      </c>
      <c r="W3" s="70" t="str">
        <f>IF(W$2="Y",IF(MaGic_AVM_Land!W3=0,"",MaGic_AVM_Land!W3),"")</f>
        <v/>
      </c>
      <c r="X3" s="70" t="str">
        <f>IF(X$2="Y",IF(MaGic_AVM_Land!X3=0,"",MaGic_AVM_Land!X3),"")</f>
        <v/>
      </c>
      <c r="Y3" s="70" t="str">
        <f>IF(Y$2="Y",IF(MaGic_AVM_Land!Y3=0,"",MaGic_AVM_Land!Y3),"")</f>
        <v/>
      </c>
      <c r="Z3" s="70" t="str">
        <f>IF(Z$2="Y",IF(MaGic_AVM_Land!Z3=0,"",MaGic_AVM_Land!Z3),"")</f>
        <v/>
      </c>
      <c r="AA3" s="69" t="str">
        <f t="shared" ref="AA3:AA7" si="0">_xlfn.TEXTJOIN(", ",TRUE,AB3:AZ3)</f>
        <v>153/2022</v>
      </c>
      <c r="AB3" s="69" t="str" cm="1">
        <f t="array" ref="AB3:AC3">_xlfn.UNIQUE(C3:Z3,TRUE,FALSE)</f>
        <v/>
      </c>
      <c r="AC3" s="69" t="str">
        <v>153/2022</v>
      </c>
    </row>
    <row r="4" spans="1:29">
      <c r="A4" s="70">
        <v>2</v>
      </c>
      <c r="B4" s="70" t="s">
        <v>51</v>
      </c>
      <c r="C4" s="70" t="str">
        <f>IF(C$2="Y",IF(MaGic_AVM_Land!C4=0,"",MaGic_AVM_Land!C4),"")</f>
        <v/>
      </c>
      <c r="D4" s="70" t="str">
        <f>IF(D$2="Y",IF(MaGic_AVM_Land!D4=0,"",MaGic_AVM_Land!D4),"")</f>
        <v/>
      </c>
      <c r="E4" s="70" t="str">
        <f>IF(E$2="Y",IF(MaGic_AVM_Land!E4=0,"",MaGic_AVM_Land!E4),"")</f>
        <v/>
      </c>
      <c r="F4" s="70" t="str">
        <f>IF(F$2="Y",IF(MaGic_AVM_Land!F4=0,"",MaGic_AVM_Land!F4),"")</f>
        <v/>
      </c>
      <c r="G4" s="70" t="str">
        <f>IF(G$2="Y",IF(MaGic_AVM_Land!G4=0,"",MaGic_AVM_Land!G4),"")</f>
        <v/>
      </c>
      <c r="H4" s="70" t="str">
        <f>IF(H$2="Y",IF(MaGic_AVM_Land!H4=0,"",MaGic_AVM_Land!H4),"")</f>
        <v/>
      </c>
      <c r="I4" s="70" t="str">
        <f>IF(I$2="Y",IF(MaGic_AVM_Land!I4=0,"",MaGic_AVM_Land!I4),"")</f>
        <v/>
      </c>
      <c r="J4" s="70" t="str">
        <f>IF(J$2="Y",IF(MaGic_AVM_Land!J4=0,"",MaGic_AVM_Land!J4),"")</f>
        <v/>
      </c>
      <c r="K4" s="70" t="str">
        <f>IF(K$2="Y",IF(MaGic_AVM_Land!K4=0,"",MaGic_AVM_Land!K4),"")</f>
        <v/>
      </c>
      <c r="L4" s="70" t="str">
        <f>IF(L$2="Y",IF(MaGic_AVM_Land!L4=0,"",MaGic_AVM_Land!L4),"")</f>
        <v/>
      </c>
      <c r="M4" s="70" t="str">
        <f>IF(M$2="Y",IF(MaGic_AVM_Land!M4=0,"",MaGic_AVM_Land!M4),"")</f>
        <v/>
      </c>
      <c r="N4" s="70" t="str">
        <f>IF(N$2="Y",IF(MaGic_AVM_Land!N4=0,"",MaGic_AVM_Land!N4),"")</f>
        <v/>
      </c>
      <c r="O4" s="70" t="str">
        <f>IF(O$2="Y",IF(MaGic_AVM_Land!O4=0,"",MaGic_AVM_Land!O4),"")</f>
        <v/>
      </c>
      <c r="P4" s="70" t="str">
        <f>IF(P$2="Y",IF(MaGic_AVM_Land!P4=0,"",MaGic_AVM_Land!P4),"")</f>
        <v/>
      </c>
      <c r="Q4" s="70" t="str">
        <f>IF(Q$2="Y",IF(MaGic_AVM_Land!Q4=0,"",MaGic_AVM_Land!Q4),"")</f>
        <v/>
      </c>
      <c r="R4" s="70" t="str">
        <f>IF(R$2="Y",IF(MaGic_AVM_Land!R4=0,"",MaGic_AVM_Land!R4),"")</f>
        <v/>
      </c>
      <c r="S4" s="70" t="str">
        <f>IF(S$2="Y",IF(MaGic_AVM_Land!S4=0,"",MaGic_AVM_Land!S4),"")</f>
        <v/>
      </c>
      <c r="T4" s="70" t="str">
        <f>IF(T$2="Y",IF(MaGic_AVM_Land!T4=0,"",MaGic_AVM_Land!T4),"")</f>
        <v/>
      </c>
      <c r="U4" s="70" t="str">
        <f>IF(U$2="Y",IF(MaGic_AVM_Land!U4=0,"",MaGic_AVM_Land!U4),"")</f>
        <v/>
      </c>
      <c r="V4" s="70" t="str">
        <f>IF(V$2="Y",IF(MaGic_AVM_Land!V4=0,"",MaGic_AVM_Land!V4),"")</f>
        <v/>
      </c>
      <c r="W4" s="70" t="str">
        <f>IF(W$2="Y",IF(MaGic_AVM_Land!W4=0,"",MaGic_AVM_Land!W4),"")</f>
        <v/>
      </c>
      <c r="X4" s="70" t="str">
        <f>IF(X$2="Y",IF(MaGic_AVM_Land!X4=0,"",MaGic_AVM_Land!X4),"")</f>
        <v/>
      </c>
      <c r="Y4" s="70" t="str">
        <f>IF(Y$2="Y",IF(MaGic_AVM_Land!Y4=0,"",MaGic_AVM_Land!Y4),"")</f>
        <v/>
      </c>
      <c r="Z4" s="70" t="str">
        <f>IF(Z$2="Y",IF(MaGic_AVM_Land!Z4=0,"",MaGic_AVM_Land!Z4),"")</f>
        <v/>
      </c>
      <c r="AA4" s="69" t="str">
        <f t="shared" si="0"/>
        <v/>
      </c>
      <c r="AB4" s="69" t="str" cm="1">
        <f t="array" ref="AB4">_xlfn.UNIQUE(C4:Z4,TRUE,FALSE)</f>
        <v/>
      </c>
    </row>
    <row r="5" spans="1:29">
      <c r="A5" s="70">
        <v>3</v>
      </c>
      <c r="B5" s="70" t="s">
        <v>52</v>
      </c>
      <c r="C5" s="70" t="str">
        <f>IF(C$2="Y",IF(MaGic_AVM_Land!C5=0,"",MaGic_AVM_Land!C5),"")</f>
        <v/>
      </c>
      <c r="D5" s="70" t="str">
        <f>IF(D$2="Y",IF(MaGic_AVM_Land!D5=0,"",MaGic_AVM_Land!D5),"")</f>
        <v/>
      </c>
      <c r="E5" s="70" t="str">
        <f>IF(E$2="Y",IF(MaGic_AVM_Land!E5=0,"",MaGic_AVM_Land!E5),"")</f>
        <v/>
      </c>
      <c r="F5" s="70" t="str">
        <f>IF(F$2="Y",IF(MaGic_AVM_Land!F5=0,"",MaGic_AVM_Land!F5),"")</f>
        <v/>
      </c>
      <c r="G5" s="70" t="str">
        <f>IF(G$2="Y",IF(MaGic_AVM_Land!G5=0,"",MaGic_AVM_Land!G5),"")</f>
        <v/>
      </c>
      <c r="H5" s="70" t="str">
        <f>IF(H$2="Y",IF(MaGic_AVM_Land!H5=0,"",MaGic_AVM_Land!H5),"")</f>
        <v/>
      </c>
      <c r="I5" s="70" t="str">
        <f>IF(I$2="Y",IF(MaGic_AVM_Land!I5=0,"",MaGic_AVM_Land!I5),"")</f>
        <v/>
      </c>
      <c r="J5" s="70" t="str">
        <f>IF(J$2="Y",IF(MaGic_AVM_Land!J5=0,"",MaGic_AVM_Land!J5),"")</f>
        <v/>
      </c>
      <c r="K5" s="70" t="str">
        <f>IF(K$2="Y",IF(MaGic_AVM_Land!K5=0,"",MaGic_AVM_Land!K5),"")</f>
        <v/>
      </c>
      <c r="L5" s="70" t="str">
        <f>IF(L$2="Y",IF(MaGic_AVM_Land!L5=0,"",MaGic_AVM_Land!L5),"")</f>
        <v/>
      </c>
      <c r="M5" s="70" t="str">
        <f>IF(M$2="Y",IF(MaGic_AVM_Land!M5=0,"",MaGic_AVM_Land!M5),"")</f>
        <v/>
      </c>
      <c r="N5" s="70" t="str">
        <f>IF(N$2="Y",IF(MaGic_AVM_Land!N5=0,"",MaGic_AVM_Land!N5),"")</f>
        <v/>
      </c>
      <c r="O5" s="70" t="str">
        <f>IF(O$2="Y",IF(MaGic_AVM_Land!O5=0,"",MaGic_AVM_Land!O5),"")</f>
        <v/>
      </c>
      <c r="P5" s="70" t="str">
        <f>IF(P$2="Y",IF(MaGic_AVM_Land!P5=0,"",MaGic_AVM_Land!P5),"")</f>
        <v/>
      </c>
      <c r="Q5" s="70" t="str">
        <f>IF(Q$2="Y",IF(MaGic_AVM_Land!Q5=0,"",MaGic_AVM_Land!Q5),"")</f>
        <v/>
      </c>
      <c r="R5" s="70" t="str">
        <f>IF(R$2="Y",IF(MaGic_AVM_Land!R5=0,"",MaGic_AVM_Land!R5),"")</f>
        <v/>
      </c>
      <c r="S5" s="70" t="str">
        <f>IF(S$2="Y",IF(MaGic_AVM_Land!S5=0,"",MaGic_AVM_Land!S5),"")</f>
        <v/>
      </c>
      <c r="T5" s="70" t="str">
        <f>IF(T$2="Y",IF(MaGic_AVM_Land!T5=0,"",MaGic_AVM_Land!T5),"")</f>
        <v/>
      </c>
      <c r="U5" s="70" t="str">
        <f>IF(U$2="Y",IF(MaGic_AVM_Land!U5=0,"",MaGic_AVM_Land!U5),"")</f>
        <v/>
      </c>
      <c r="V5" s="70" t="str">
        <f>IF(V$2="Y",IF(MaGic_AVM_Land!V5=0,"",MaGic_AVM_Land!V5),"")</f>
        <v/>
      </c>
      <c r="W5" s="70" t="str">
        <f>IF(W$2="Y",IF(MaGic_AVM_Land!W5=0,"",MaGic_AVM_Land!W5),"")</f>
        <v/>
      </c>
      <c r="X5" s="70" t="str">
        <f>IF(X$2="Y",IF(MaGic_AVM_Land!X5=0,"",MaGic_AVM_Land!X5),"")</f>
        <v/>
      </c>
      <c r="Y5" s="70" t="str">
        <f>IF(Y$2="Y",IF(MaGic_AVM_Land!Y5=0,"",MaGic_AVM_Land!Y5),"")</f>
        <v/>
      </c>
      <c r="Z5" s="70" t="str">
        <f>IF(Z$2="Y",IF(MaGic_AVM_Land!Z5=0,"",MaGic_AVM_Land!Z5),"")</f>
        <v/>
      </c>
      <c r="AA5" s="69" t="str">
        <f t="shared" si="0"/>
        <v/>
      </c>
      <c r="AB5" s="69" t="str" cm="1">
        <f t="array" ref="AB5">_xlfn.UNIQUE(C5:Z5,TRUE,FALSE)</f>
        <v/>
      </c>
    </row>
    <row r="6" spans="1:29">
      <c r="A6" s="70">
        <v>4</v>
      </c>
      <c r="B6" s="70" t="s">
        <v>1101</v>
      </c>
      <c r="C6" s="70" t="str">
        <f>IF(C$2="Y",IF(MaGic_AVM_Land!C6=0,"",MaGic_AVM_Land!C6),"")</f>
        <v/>
      </c>
      <c r="D6" s="70" t="str">
        <f>IF(D$2="Y",IF(MaGic_AVM_Land!D6=0,"",MaGic_AVM_Land!D6),"")</f>
        <v/>
      </c>
      <c r="E6" s="70" t="str">
        <f>IF(E$2="Y",IF(MaGic_AVM_Land!E6=0,"",MaGic_AVM_Land!E6),"")</f>
        <v>Jayan</v>
      </c>
      <c r="F6" s="70" t="str">
        <f>IF(F$2="Y",IF(MaGic_AVM_Land!F6=0,"",MaGic_AVM_Land!F6),"")</f>
        <v/>
      </c>
      <c r="G6" s="70" t="str">
        <f>IF(G$2="Y",IF(MaGic_AVM_Land!G6=0,"",MaGic_AVM_Land!G6),"")</f>
        <v/>
      </c>
      <c r="H6" s="70" t="str">
        <f>IF(H$2="Y",IF(MaGic_AVM_Land!H6=0,"",MaGic_AVM_Land!H6),"")</f>
        <v/>
      </c>
      <c r="I6" s="70" t="str">
        <f>IF(I$2="Y",IF(MaGic_AVM_Land!I6=0,"",MaGic_AVM_Land!I6),"")</f>
        <v/>
      </c>
      <c r="J6" s="70" t="str">
        <f>IF(J$2="Y",IF(MaGic_AVM_Land!J6=0,"",MaGic_AVM_Land!J6),"")</f>
        <v/>
      </c>
      <c r="K6" s="70" t="str">
        <f>IF(K$2="Y",IF(MaGic_AVM_Land!K6=0,"",MaGic_AVM_Land!K6),"")</f>
        <v/>
      </c>
      <c r="L6" s="70" t="str">
        <f>IF(L$2="Y",IF(MaGic_AVM_Land!L6=0,"",MaGic_AVM_Land!L6),"")</f>
        <v/>
      </c>
      <c r="M6" s="70" t="str">
        <f>IF(M$2="Y",IF(MaGic_AVM_Land!M6=0,"",MaGic_AVM_Land!M6),"")</f>
        <v/>
      </c>
      <c r="N6" s="70" t="str">
        <f>IF(N$2="Y",IF(MaGic_AVM_Land!N6=0,"",MaGic_AVM_Land!N6),"")</f>
        <v/>
      </c>
      <c r="O6" s="70" t="str">
        <f>IF(O$2="Y",IF(MaGic_AVM_Land!O6=0,"",MaGic_AVM_Land!O6),"")</f>
        <v/>
      </c>
      <c r="P6" s="70" t="str">
        <f>IF(P$2="Y",IF(MaGic_AVM_Land!P6=0,"",MaGic_AVM_Land!P6),"")</f>
        <v/>
      </c>
      <c r="Q6" s="70" t="str">
        <f>IF(Q$2="Y",IF(MaGic_AVM_Land!Q6=0,"",MaGic_AVM_Land!Q6),"")</f>
        <v/>
      </c>
      <c r="R6" s="70" t="str">
        <f>IF(R$2="Y",IF(MaGic_AVM_Land!R6=0,"",MaGic_AVM_Land!R6),"")</f>
        <v/>
      </c>
      <c r="S6" s="70" t="str">
        <f>IF(S$2="Y",IF(MaGic_AVM_Land!S6=0,"",MaGic_AVM_Land!S6),"")</f>
        <v/>
      </c>
      <c r="T6" s="70" t="str">
        <f>IF(T$2="Y",IF(MaGic_AVM_Land!T6=0,"",MaGic_AVM_Land!T6),"")</f>
        <v/>
      </c>
      <c r="U6" s="70" t="str">
        <f>IF(U$2="Y",IF(MaGic_AVM_Land!U6=0,"",MaGic_AVM_Land!U6),"")</f>
        <v/>
      </c>
      <c r="V6" s="70" t="str">
        <f>IF(V$2="Y",IF(MaGic_AVM_Land!V6=0,"",MaGic_AVM_Land!V6),"")</f>
        <v/>
      </c>
      <c r="W6" s="70" t="str">
        <f>IF(W$2="Y",IF(MaGic_AVM_Land!W6=0,"",MaGic_AVM_Land!W6),"")</f>
        <v/>
      </c>
      <c r="X6" s="70" t="str">
        <f>IF(X$2="Y",IF(MaGic_AVM_Land!X6=0,"",MaGic_AVM_Land!X6),"")</f>
        <v/>
      </c>
      <c r="Y6" s="70" t="str">
        <f>IF(Y$2="Y",IF(MaGic_AVM_Land!Y6=0,"",MaGic_AVM_Land!Y6),"")</f>
        <v/>
      </c>
      <c r="Z6" s="70" t="str">
        <f>IF(Z$2="Y",IF(MaGic_AVM_Land!Z6=0,"",MaGic_AVM_Land!Z6),"")</f>
        <v/>
      </c>
      <c r="AA6" s="69" t="str">
        <f t="shared" si="0"/>
        <v/>
      </c>
      <c r="AB6" s="69" t="s">
        <v>1125</v>
      </c>
    </row>
    <row r="7" spans="1:29">
      <c r="A7" s="70">
        <v>2</v>
      </c>
      <c r="B7" s="70" t="s">
        <v>1102</v>
      </c>
      <c r="C7" s="70" t="str">
        <f>IF(C$2="Y",IF(MaGic_AVM_Land!C7=0,"",MaGic_AVM_Land!C7),"")</f>
        <v/>
      </c>
      <c r="D7" s="70" t="str">
        <f>IF(D$2="Y",IF(MaGic_AVM_Land!D7=0,"",MaGic_AVM_Land!D7),"")</f>
        <v/>
      </c>
      <c r="E7" s="70" t="str">
        <f>IF(E$2="Y",IF(MaGic_AVM_Land!E7=0,"",MaGic_AVM_Land!E7),"")</f>
        <v>Jobin</v>
      </c>
      <c r="F7" s="70" t="str">
        <f>IF(F$2="Y",IF(MaGic_AVM_Land!F7=0,"",MaGic_AVM_Land!F7),"")</f>
        <v/>
      </c>
      <c r="G7" s="70" t="str">
        <f>IF(G$2="Y",IF(MaGic_AVM_Land!G7=0,"",MaGic_AVM_Land!G7),"")</f>
        <v/>
      </c>
      <c r="H7" s="70" t="str">
        <f>IF(H$2="Y",IF(MaGic_AVM_Land!H7=0,"",MaGic_AVM_Land!H7),"")</f>
        <v/>
      </c>
      <c r="I7" s="70" t="str">
        <f>IF(I$2="Y",IF(MaGic_AVM_Land!I7=0,"",MaGic_AVM_Land!I7),"")</f>
        <v/>
      </c>
      <c r="J7" s="70" t="str">
        <f>IF(J$2="Y",IF(MaGic_AVM_Land!J7=0,"",MaGic_AVM_Land!J7),"")</f>
        <v/>
      </c>
      <c r="K7" s="70" t="str">
        <f>IF(K$2="Y",IF(MaGic_AVM_Land!K7=0,"",MaGic_AVM_Land!K7),"")</f>
        <v/>
      </c>
      <c r="L7" s="70" t="str">
        <f>IF(L$2="Y",IF(MaGic_AVM_Land!L7=0,"",MaGic_AVM_Land!L7),"")</f>
        <v/>
      </c>
      <c r="M7" s="70" t="str">
        <f>IF(M$2="Y",IF(MaGic_AVM_Land!M7=0,"",MaGic_AVM_Land!M7),"")</f>
        <v/>
      </c>
      <c r="N7" s="70" t="str">
        <f>IF(N$2="Y",IF(MaGic_AVM_Land!N7=0,"",MaGic_AVM_Land!N7),"")</f>
        <v/>
      </c>
      <c r="O7" s="70" t="str">
        <f>IF(O$2="Y",IF(MaGic_AVM_Land!O7=0,"",MaGic_AVM_Land!O7),"")</f>
        <v/>
      </c>
      <c r="P7" s="70" t="str">
        <f>IF(P$2="Y",IF(MaGic_AVM_Land!P7=0,"",MaGic_AVM_Land!P7),"")</f>
        <v/>
      </c>
      <c r="Q7" s="70" t="str">
        <f>IF(Q$2="Y",IF(MaGic_AVM_Land!Q7=0,"",MaGic_AVM_Land!Q7),"")</f>
        <v/>
      </c>
      <c r="R7" s="70" t="str">
        <f>IF(R$2="Y",IF(MaGic_AVM_Land!R7=0,"",MaGic_AVM_Land!R7),"")</f>
        <v/>
      </c>
      <c r="S7" s="70" t="str">
        <f>IF(S$2="Y",IF(MaGic_AVM_Land!S7=0,"",MaGic_AVM_Land!S7),"")</f>
        <v/>
      </c>
      <c r="T7" s="70" t="str">
        <f>IF(T$2="Y",IF(MaGic_AVM_Land!T7=0,"",MaGic_AVM_Land!T7),"")</f>
        <v/>
      </c>
      <c r="U7" s="70" t="str">
        <f>IF(U$2="Y",IF(MaGic_AVM_Land!U7=0,"",MaGic_AVM_Land!U7),"")</f>
        <v/>
      </c>
      <c r="V7" s="70" t="str">
        <f>IF(V$2="Y",IF(MaGic_AVM_Land!V7=0,"",MaGic_AVM_Land!V7),"")</f>
        <v/>
      </c>
      <c r="W7" s="70" t="str">
        <f>IF(W$2="Y",IF(MaGic_AVM_Land!W7=0,"",MaGic_AVM_Land!W7),"")</f>
        <v/>
      </c>
      <c r="X7" s="70" t="str">
        <f>IF(X$2="Y",IF(MaGic_AVM_Land!X7=0,"",MaGic_AVM_Land!X7),"")</f>
        <v/>
      </c>
      <c r="Y7" s="70" t="str">
        <f>IF(Y$2="Y",IF(MaGic_AVM_Land!Y7=0,"",MaGic_AVM_Land!Y7),"")</f>
        <v/>
      </c>
      <c r="Z7" s="70" t="str">
        <f>IF(Z$2="Y",IF(MaGic_AVM_Land!Z7=0,"",MaGic_AVM_Land!Z7),"")</f>
        <v/>
      </c>
      <c r="AA7" s="69" t="str">
        <f t="shared" si="0"/>
        <v>Jobin</v>
      </c>
      <c r="AB7" s="69" t="str" cm="1">
        <f t="array" ref="AB7:AC7">_xlfn.UNIQUE(C7:Z7,TRUE,FALSE)</f>
        <v/>
      </c>
      <c r="AC7" s="69" t="str">
        <v>Jobin</v>
      </c>
    </row>
    <row r="8" spans="1:29">
      <c r="A8" s="70">
        <v>6</v>
      </c>
      <c r="B8" s="70" t="s">
        <v>31</v>
      </c>
      <c r="C8" s="70" t="str">
        <f>IF(C$2="Y",IF(MaGic_AVM_Land!C8=0,"",MaGic_AVM_Land!C8),"")</f>
        <v/>
      </c>
      <c r="D8" s="70" t="str">
        <f>IF(D$2="Y",IF(MaGic_AVM_Land!D8=0,"",MaGic_AVM_Land!D8),"")</f>
        <v/>
      </c>
      <c r="E8" s="70" t="str">
        <f>IF(E$2="Y",IF(MaGic_AVM_Land!E8=0,"",MaGic_AVM_Land!E8),"")</f>
        <v/>
      </c>
      <c r="F8" s="70" t="str">
        <f>IF(F$2="Y",IF(MaGic_AVM_Land!F8=0,"",MaGic_AVM_Land!F8),"")</f>
        <v/>
      </c>
      <c r="G8" s="70" t="str">
        <f>IF(G$2="Y",IF(MaGic_AVM_Land!G8=0,"",MaGic_AVM_Land!G8),"")</f>
        <v/>
      </c>
      <c r="H8" s="70" t="str">
        <f>IF(H$2="Y",IF(MaGic_AVM_Land!H8=0,"",MaGic_AVM_Land!H8),"")</f>
        <v/>
      </c>
      <c r="I8" s="70" t="str">
        <f>IF(I$2="Y",IF(MaGic_AVM_Land!I8=0,"",MaGic_AVM_Land!I8),"")</f>
        <v/>
      </c>
      <c r="J8" s="70" t="str">
        <f>IF(J$2="Y",IF(MaGic_AVM_Land!J8=0,"",MaGic_AVM_Land!J8),"")</f>
        <v/>
      </c>
      <c r="K8" s="70" t="str">
        <f>IF(K$2="Y",IF(MaGic_AVM_Land!K8=0,"",MaGic_AVM_Land!K8),"")</f>
        <v/>
      </c>
      <c r="L8" s="70" t="str">
        <f>IF(L$2="Y",IF(MaGic_AVM_Land!L8=0,"",MaGic_AVM_Land!L8),"")</f>
        <v/>
      </c>
      <c r="M8" s="70" t="str">
        <f>IF(M$2="Y",IF(MaGic_AVM_Land!M8=0,"",MaGic_AVM_Land!M8),"")</f>
        <v/>
      </c>
      <c r="N8" s="70" t="str">
        <f>IF(N$2="Y",IF(MaGic_AVM_Land!N8=0,"",MaGic_AVM_Land!N8),"")</f>
        <v/>
      </c>
      <c r="O8" s="70" t="str">
        <f>IF(O$2="Y",IF(MaGic_AVM_Land!O8=0,"",MaGic_AVM_Land!O8),"")</f>
        <v/>
      </c>
      <c r="P8" s="70" t="str">
        <f>IF(P$2="Y",IF(MaGic_AVM_Land!P8=0,"",MaGic_AVM_Land!P8),"")</f>
        <v/>
      </c>
      <c r="Q8" s="70" t="str">
        <f>IF(Q$2="Y",IF(MaGic_AVM_Land!Q8=0,"",MaGic_AVM_Land!Q8),"")</f>
        <v/>
      </c>
      <c r="R8" s="70" t="str">
        <f>IF(R$2="Y",IF(MaGic_AVM_Land!R8=0,"",MaGic_AVM_Land!R8),"")</f>
        <v/>
      </c>
      <c r="S8" s="70" t="str">
        <f>IF(S$2="Y",IF(MaGic_AVM_Land!S8=0,"",MaGic_AVM_Land!S8),"")</f>
        <v/>
      </c>
      <c r="T8" s="70" t="str">
        <f>IF(T$2="Y",IF(MaGic_AVM_Land!T8=0,"",MaGic_AVM_Land!T8),"")</f>
        <v/>
      </c>
      <c r="U8" s="70" t="str">
        <f>IF(U$2="Y",IF(MaGic_AVM_Land!U8=0,"",MaGic_AVM_Land!U8),"")</f>
        <v/>
      </c>
      <c r="V8" s="70" t="str">
        <f>IF(V$2="Y",IF(MaGic_AVM_Land!V8=0,"",MaGic_AVM_Land!V8),"")</f>
        <v/>
      </c>
      <c r="W8" s="70" t="str">
        <f>IF(W$2="Y",IF(MaGic_AVM_Land!W8=0,"",MaGic_AVM_Land!W8),"")</f>
        <v/>
      </c>
      <c r="X8" s="70" t="str">
        <f>IF(X$2="Y",IF(MaGic_AVM_Land!X8=0,"",MaGic_AVM_Land!X8),"")</f>
        <v/>
      </c>
      <c r="Y8" s="70" t="str">
        <f>IF(Y$2="Y",IF(MaGic_AVM_Land!Y8=0,"",MaGic_AVM_Land!Y8),"")</f>
        <v/>
      </c>
      <c r="Z8" s="70" t="str">
        <f>IF(Z$2="Y",IF(MaGic_AVM_Land!Z8=0,"",MaGic_AVM_Land!Z8),"")</f>
        <v/>
      </c>
      <c r="AA8" s="69" t="str">
        <f>CONCATENATE(IF(AB8="",AC8,AB8)," District")</f>
        <v>District</v>
      </c>
      <c r="AB8" s="69" t="str" cm="1">
        <f t="array" ref="AB8">_xlfn.UNIQUE(C8:Z8,TRUE,FALSE)</f>
        <v/>
      </c>
    </row>
    <row r="9" spans="1:29">
      <c r="A9" s="70">
        <v>7</v>
      </c>
      <c r="B9" s="70" t="s">
        <v>59</v>
      </c>
      <c r="C9" s="70" t="str">
        <f>IF(C$2="Y",IF(MaGic_AVM_Land!C9=0,"",MaGic_AVM_Land!C9),"")</f>
        <v/>
      </c>
      <c r="D9" s="70" t="str">
        <f>IF(D$2="Y",IF(MaGic_AVM_Land!D9=0,"",MaGic_AVM_Land!D9),"")</f>
        <v/>
      </c>
      <c r="E9" s="70" t="str">
        <f>IF(E$2="Y",IF(MaGic_AVM_Land!E9=0,"",MaGic_AVM_Land!E9),"")</f>
        <v/>
      </c>
      <c r="F9" s="70" t="str">
        <f>IF(F$2="Y",IF(MaGic_AVM_Land!F9=0,"",MaGic_AVM_Land!F9),"")</f>
        <v/>
      </c>
      <c r="G9" s="70" t="str">
        <f>IF(G$2="Y",IF(MaGic_AVM_Land!G9=0,"",MaGic_AVM_Land!G9),"")</f>
        <v/>
      </c>
      <c r="H9" s="70" t="str">
        <f>IF(H$2="Y",IF(MaGic_AVM_Land!H9=0,"",MaGic_AVM_Land!H9),"")</f>
        <v/>
      </c>
      <c r="I9" s="70" t="str">
        <f>IF(I$2="Y",IF(MaGic_AVM_Land!I9=0,"",MaGic_AVM_Land!I9),"")</f>
        <v/>
      </c>
      <c r="J9" s="70" t="str">
        <f>IF(J$2="Y",IF(MaGic_AVM_Land!J9=0,"",MaGic_AVM_Land!J9),"")</f>
        <v/>
      </c>
      <c r="K9" s="70" t="str">
        <f>IF(K$2="Y",IF(MaGic_AVM_Land!K9=0,"",MaGic_AVM_Land!K9),"")</f>
        <v/>
      </c>
      <c r="L9" s="70" t="str">
        <f>IF(L$2="Y",IF(MaGic_AVM_Land!L9=0,"",MaGic_AVM_Land!L9),"")</f>
        <v/>
      </c>
      <c r="M9" s="70" t="str">
        <f>IF(M$2="Y",IF(MaGic_AVM_Land!M9=0,"",MaGic_AVM_Land!M9),"")</f>
        <v/>
      </c>
      <c r="N9" s="70" t="str">
        <f>IF(N$2="Y",IF(MaGic_AVM_Land!N9=0,"",MaGic_AVM_Land!N9),"")</f>
        <v/>
      </c>
      <c r="O9" s="70" t="str">
        <f>IF(O$2="Y",IF(MaGic_AVM_Land!O9=0,"",MaGic_AVM_Land!O9),"")</f>
        <v/>
      </c>
      <c r="P9" s="70" t="str">
        <f>IF(P$2="Y",IF(MaGic_AVM_Land!P9=0,"",MaGic_AVM_Land!P9),"")</f>
        <v/>
      </c>
      <c r="Q9" s="70" t="str">
        <f>IF(Q$2="Y",IF(MaGic_AVM_Land!Q9=0,"",MaGic_AVM_Land!Q9),"")</f>
        <v/>
      </c>
      <c r="R9" s="70" t="str">
        <f>IF(R$2="Y",IF(MaGic_AVM_Land!R9=0,"",MaGic_AVM_Land!R9),"")</f>
        <v/>
      </c>
      <c r="S9" s="70" t="str">
        <f>IF(S$2="Y",IF(MaGic_AVM_Land!S9=0,"",MaGic_AVM_Land!S9),"")</f>
        <v/>
      </c>
      <c r="T9" s="70" t="str">
        <f>IF(T$2="Y",IF(MaGic_AVM_Land!T9=0,"",MaGic_AVM_Land!T9),"")</f>
        <v/>
      </c>
      <c r="U9" s="70" t="str">
        <f>IF(U$2="Y",IF(MaGic_AVM_Land!U9=0,"",MaGic_AVM_Land!U9),"")</f>
        <v/>
      </c>
      <c r="V9" s="70" t="str">
        <f>IF(V$2="Y",IF(MaGic_AVM_Land!V9=0,"",MaGic_AVM_Land!V9),"")</f>
        <v/>
      </c>
      <c r="W9" s="70" t="str">
        <f>IF(W$2="Y",IF(MaGic_AVM_Land!W9=0,"",MaGic_AVM_Land!W9),"")</f>
        <v/>
      </c>
      <c r="X9" s="70" t="str">
        <f>IF(X$2="Y",IF(MaGic_AVM_Land!X9=0,"",MaGic_AVM_Land!X9),"")</f>
        <v/>
      </c>
      <c r="Y9" s="70" t="str">
        <f>IF(Y$2="Y",IF(MaGic_AVM_Land!Y9=0,"",MaGic_AVM_Land!Y9),"")</f>
        <v/>
      </c>
      <c r="Z9" s="70" t="str">
        <f>IF(Z$2="Y",IF(MaGic_AVM_Land!Z9=0,"",MaGic_AVM_Land!Z9),"")</f>
        <v/>
      </c>
      <c r="AA9" s="69" t="str">
        <f>CONCATENATE(IF(AB9="",AC9,AB9)," SRO")</f>
        <v>SRO</v>
      </c>
      <c r="AB9" s="69" t="str" cm="1">
        <f t="array" ref="AB9">_xlfn.UNIQUE(C9:Z9,TRUE,FALSE)</f>
        <v/>
      </c>
    </row>
    <row r="10" spans="1:29">
      <c r="A10" s="70">
        <v>8</v>
      </c>
      <c r="B10" s="70" t="s">
        <v>61</v>
      </c>
      <c r="C10" s="70" t="str">
        <f>IF(C$2="Y",IF(MaGic_AVM_Land!C10=0,"",MaGic_AVM_Land!C10),"")</f>
        <v/>
      </c>
      <c r="D10" s="70" t="str">
        <f>IF(D$2="Y",IF(MaGic_AVM_Land!D10=0,"",MaGic_AVM_Land!D10),"")</f>
        <v/>
      </c>
      <c r="E10" s="70" t="str">
        <f>IF(E$2="Y",IF(MaGic_AVM_Land!E10=0,"",MaGic_AVM_Land!E10),"")</f>
        <v/>
      </c>
      <c r="F10" s="70" t="str">
        <f>IF(F$2="Y",IF(MaGic_AVM_Land!F10=0,"",MaGic_AVM_Land!F10),"")</f>
        <v/>
      </c>
      <c r="G10" s="70" t="str">
        <f>IF(G$2="Y",IF(MaGic_AVM_Land!G10=0,"",MaGic_AVM_Land!G10),"")</f>
        <v/>
      </c>
      <c r="H10" s="70" t="str">
        <f>IF(H$2="Y",IF(MaGic_AVM_Land!H10=0,"",MaGic_AVM_Land!H10),"")</f>
        <v/>
      </c>
      <c r="I10" s="70" t="str">
        <f>IF(I$2="Y",IF(MaGic_AVM_Land!I10=0,"",MaGic_AVM_Land!I10),"")</f>
        <v/>
      </c>
      <c r="J10" s="70" t="str">
        <f>IF(J$2="Y",IF(MaGic_AVM_Land!J10=0,"",MaGic_AVM_Land!J10),"")</f>
        <v/>
      </c>
      <c r="K10" s="70" t="str">
        <f>IF(K$2="Y",IF(MaGic_AVM_Land!K10=0,"",MaGic_AVM_Land!K10),"")</f>
        <v/>
      </c>
      <c r="L10" s="70" t="str">
        <f>IF(L$2="Y",IF(MaGic_AVM_Land!L10=0,"",MaGic_AVM_Land!L10),"")</f>
        <v/>
      </c>
      <c r="M10" s="70" t="str">
        <f>IF(M$2="Y",IF(MaGic_AVM_Land!M10=0,"",MaGic_AVM_Land!M10),"")</f>
        <v/>
      </c>
      <c r="N10" s="70" t="str">
        <f>IF(N$2="Y",IF(MaGic_AVM_Land!N10=0,"",MaGic_AVM_Land!N10),"")</f>
        <v/>
      </c>
      <c r="O10" s="70" t="str">
        <f>IF(O$2="Y",IF(MaGic_AVM_Land!O10=0,"",MaGic_AVM_Land!O10),"")</f>
        <v/>
      </c>
      <c r="P10" s="70" t="str">
        <f>IF(P$2="Y",IF(MaGic_AVM_Land!P10=0,"",MaGic_AVM_Land!P10),"")</f>
        <v/>
      </c>
      <c r="Q10" s="70" t="str">
        <f>IF(Q$2="Y",IF(MaGic_AVM_Land!Q10=0,"",MaGic_AVM_Land!Q10),"")</f>
        <v/>
      </c>
      <c r="R10" s="70" t="str">
        <f>IF(R$2="Y",IF(MaGic_AVM_Land!R10=0,"",MaGic_AVM_Land!R10),"")</f>
        <v/>
      </c>
      <c r="S10" s="70" t="str">
        <f>IF(S$2="Y",IF(MaGic_AVM_Land!S10=0,"",MaGic_AVM_Land!S10),"")</f>
        <v/>
      </c>
      <c r="T10" s="70" t="str">
        <f>IF(T$2="Y",IF(MaGic_AVM_Land!T10=0,"",MaGic_AVM_Land!T10),"")</f>
        <v/>
      </c>
      <c r="U10" s="70" t="str">
        <f>IF(U$2="Y",IF(MaGic_AVM_Land!U10=0,"",MaGic_AVM_Land!U10),"")</f>
        <v/>
      </c>
      <c r="V10" s="70" t="str">
        <f>IF(V$2="Y",IF(MaGic_AVM_Land!V10=0,"",MaGic_AVM_Land!V10),"")</f>
        <v/>
      </c>
      <c r="W10" s="70" t="str">
        <f>IF(W$2="Y",IF(MaGic_AVM_Land!W10=0,"",MaGic_AVM_Land!W10),"")</f>
        <v/>
      </c>
      <c r="X10" s="70" t="str">
        <f>IF(X$2="Y",IF(MaGic_AVM_Land!X10=0,"",MaGic_AVM_Land!X10),"")</f>
        <v/>
      </c>
      <c r="Y10" s="70" t="str">
        <f>IF(Y$2="Y",IF(MaGic_AVM_Land!Y10=0,"",MaGic_AVM_Land!Y10),"")</f>
        <v/>
      </c>
      <c r="Z10" s="70" t="str">
        <f>IF(Z$2="Y",IF(MaGic_AVM_Land!Z10=0,"",MaGic_AVM_Land!Z10),"")</f>
        <v/>
      </c>
      <c r="AA10" s="69" t="str">
        <f>CONCATENATE(IF(AB10="",AC10,AB10)," Taluk")</f>
        <v>Taluk</v>
      </c>
      <c r="AB10" s="69" t="str" cm="1">
        <f t="array" ref="AB10">_xlfn.UNIQUE(C10:Z10,TRUE,FALSE)</f>
        <v/>
      </c>
    </row>
    <row r="11" spans="1:29">
      <c r="A11" s="70">
        <v>9</v>
      </c>
      <c r="B11" s="70" t="s">
        <v>63</v>
      </c>
      <c r="C11" s="70" t="str">
        <f>IF(C$2="Y",IF(MaGic_AVM_Land!C11=0,"",MaGic_AVM_Land!C11),"")</f>
        <v/>
      </c>
      <c r="D11" s="70" t="str">
        <f>IF(D$2="Y",IF(MaGic_AVM_Land!D11=0,"",MaGic_AVM_Land!D11),"")</f>
        <v/>
      </c>
      <c r="E11" s="70" t="str">
        <f>IF(E$2="Y",IF(MaGic_AVM_Land!E11=0,"",MaGic_AVM_Land!E11),"")</f>
        <v/>
      </c>
      <c r="F11" s="70" t="str">
        <f>IF(F$2="Y",IF(MaGic_AVM_Land!F11=0,"",MaGic_AVM_Land!F11),"")</f>
        <v/>
      </c>
      <c r="G11" s="70" t="str">
        <f>IF(G$2="Y",IF(MaGic_AVM_Land!G11=0,"",MaGic_AVM_Land!G11),"")</f>
        <v/>
      </c>
      <c r="H11" s="70" t="str">
        <f>IF(H$2="Y",IF(MaGic_AVM_Land!H11=0,"",MaGic_AVM_Land!H11),"")</f>
        <v/>
      </c>
      <c r="I11" s="70" t="str">
        <f>IF(I$2="Y",IF(MaGic_AVM_Land!I11=0,"",MaGic_AVM_Land!I11),"")</f>
        <v/>
      </c>
      <c r="J11" s="70" t="str">
        <f>IF(J$2="Y",IF(MaGic_AVM_Land!J11=0,"",MaGic_AVM_Land!J11),"")</f>
        <v/>
      </c>
      <c r="K11" s="70" t="str">
        <f>IF(K$2="Y",IF(MaGic_AVM_Land!K11=0,"",MaGic_AVM_Land!K11),"")</f>
        <v/>
      </c>
      <c r="L11" s="70" t="str">
        <f>IF(L$2="Y",IF(MaGic_AVM_Land!L11=0,"",MaGic_AVM_Land!L11),"")</f>
        <v/>
      </c>
      <c r="M11" s="70" t="str">
        <f>IF(M$2="Y",IF(MaGic_AVM_Land!M11=0,"",MaGic_AVM_Land!M11),"")</f>
        <v/>
      </c>
      <c r="N11" s="70" t="str">
        <f>IF(N$2="Y",IF(MaGic_AVM_Land!N11=0,"",MaGic_AVM_Land!N11),"")</f>
        <v/>
      </c>
      <c r="O11" s="70" t="str">
        <f>IF(O$2="Y",IF(MaGic_AVM_Land!O11=0,"",MaGic_AVM_Land!O11),"")</f>
        <v/>
      </c>
      <c r="P11" s="70" t="str">
        <f>IF(P$2="Y",IF(MaGic_AVM_Land!P11=0,"",MaGic_AVM_Land!P11),"")</f>
        <v/>
      </c>
      <c r="Q11" s="70" t="str">
        <f>IF(Q$2="Y",IF(MaGic_AVM_Land!Q11=0,"",MaGic_AVM_Land!Q11),"")</f>
        <v/>
      </c>
      <c r="R11" s="70" t="str">
        <f>IF(R$2="Y",IF(MaGic_AVM_Land!R11=0,"",MaGic_AVM_Land!R11),"")</f>
        <v/>
      </c>
      <c r="S11" s="70" t="str">
        <f>IF(S$2="Y",IF(MaGic_AVM_Land!S11=0,"",MaGic_AVM_Land!S11),"")</f>
        <v/>
      </c>
      <c r="T11" s="70" t="str">
        <f>IF(T$2="Y",IF(MaGic_AVM_Land!T11=0,"",MaGic_AVM_Land!T11),"")</f>
        <v/>
      </c>
      <c r="U11" s="70" t="str">
        <f>IF(U$2="Y",IF(MaGic_AVM_Land!U11=0,"",MaGic_AVM_Land!U11),"")</f>
        <v/>
      </c>
      <c r="V11" s="70" t="str">
        <f>IF(V$2="Y",IF(MaGic_AVM_Land!V11=0,"",MaGic_AVM_Land!V11),"")</f>
        <v/>
      </c>
      <c r="W11" s="70" t="str">
        <f>IF(W$2="Y",IF(MaGic_AVM_Land!W11=0,"",MaGic_AVM_Land!W11),"")</f>
        <v/>
      </c>
      <c r="X11" s="70" t="str">
        <f>IF(X$2="Y",IF(MaGic_AVM_Land!X11=0,"",MaGic_AVM_Land!X11),"")</f>
        <v/>
      </c>
      <c r="Y11" s="70" t="str">
        <f>IF(Y$2="Y",IF(MaGic_AVM_Land!Y11=0,"",MaGic_AVM_Land!Y11),"")</f>
        <v/>
      </c>
      <c r="Z11" s="70" t="str">
        <f>IF(Z$2="Y",IF(MaGic_AVM_Land!Z11=0,"",MaGic_AVM_Land!Z11),"")</f>
        <v/>
      </c>
      <c r="AA11" s="69" t="str">
        <f>CONCATENATE(IF(AB11="",AC11,AB11)," Village")</f>
        <v>Village</v>
      </c>
      <c r="AB11" s="69" t="str" cm="1">
        <f t="array" ref="AB11">_xlfn.UNIQUE(C11:Z11,TRUE,FALSE)</f>
        <v/>
      </c>
    </row>
    <row r="12" spans="1:29">
      <c r="A12" s="70">
        <v>10</v>
      </c>
      <c r="B12" s="70" t="s">
        <v>65</v>
      </c>
      <c r="C12" s="70" t="str">
        <f>IF(C$2="Y",IF(MaGic_AVM_Land!C12=0,"",MaGic_AVM_Land!C12),"")</f>
        <v/>
      </c>
      <c r="D12" s="70" t="str">
        <f>IF(D$2="Y",IF(MaGic_AVM_Land!D12=0,"",MaGic_AVM_Land!D12),"")</f>
        <v/>
      </c>
      <c r="E12" s="70" t="str">
        <f>IF(E$2="Y",IF(MaGic_AVM_Land!E12=0,"",MaGic_AVM_Land!E12),"")</f>
        <v/>
      </c>
      <c r="F12" s="70" t="str">
        <f>IF(F$2="Y",IF(MaGic_AVM_Land!F12=0,"",MaGic_AVM_Land!F12),"")</f>
        <v/>
      </c>
      <c r="G12" s="70" t="str">
        <f>IF(G$2="Y",IF(MaGic_AVM_Land!G12=0,"",MaGic_AVM_Land!G12),"")</f>
        <v/>
      </c>
      <c r="H12" s="70" t="str">
        <f>IF(H$2="Y",IF(MaGic_AVM_Land!H12=0,"",MaGic_AVM_Land!H12),"")</f>
        <v/>
      </c>
      <c r="I12" s="70" t="str">
        <f>IF(I$2="Y",IF(MaGic_AVM_Land!I12=0,"",MaGic_AVM_Land!I12),"")</f>
        <v/>
      </c>
      <c r="J12" s="70" t="str">
        <f>IF(J$2="Y",IF(MaGic_AVM_Land!J12=0,"",MaGic_AVM_Land!J12),"")</f>
        <v/>
      </c>
      <c r="K12" s="70" t="str">
        <f>IF(K$2="Y",IF(MaGic_AVM_Land!K12=0,"",MaGic_AVM_Land!K12),"")</f>
        <v/>
      </c>
      <c r="L12" s="70" t="str">
        <f>IF(L$2="Y",IF(MaGic_AVM_Land!L12=0,"",MaGic_AVM_Land!L12),"")</f>
        <v/>
      </c>
      <c r="M12" s="70" t="str">
        <f>IF(M$2="Y",IF(MaGic_AVM_Land!M12=0,"",MaGic_AVM_Land!M12),"")</f>
        <v/>
      </c>
      <c r="N12" s="70" t="str">
        <f>IF(N$2="Y",IF(MaGic_AVM_Land!N12=0,"",MaGic_AVM_Land!N12),"")</f>
        <v/>
      </c>
      <c r="O12" s="70" t="str">
        <f>IF(O$2="Y",IF(MaGic_AVM_Land!O12=0,"",MaGic_AVM_Land!O12),"")</f>
        <v/>
      </c>
      <c r="P12" s="70" t="str">
        <f>IF(P$2="Y",IF(MaGic_AVM_Land!P12=0,"",MaGic_AVM_Land!P12),"")</f>
        <v/>
      </c>
      <c r="Q12" s="70" t="str">
        <f>IF(Q$2="Y",IF(MaGic_AVM_Land!Q12=0,"",MaGic_AVM_Land!Q12),"")</f>
        <v/>
      </c>
      <c r="R12" s="70" t="str">
        <f>IF(R$2="Y",IF(MaGic_AVM_Land!R12=0,"",MaGic_AVM_Land!R12),"")</f>
        <v/>
      </c>
      <c r="S12" s="70" t="str">
        <f>IF(S$2="Y",IF(MaGic_AVM_Land!S12=0,"",MaGic_AVM_Land!S12),"")</f>
        <v/>
      </c>
      <c r="T12" s="70" t="str">
        <f>IF(T$2="Y",IF(MaGic_AVM_Land!T12=0,"",MaGic_AVM_Land!T12),"")</f>
        <v/>
      </c>
      <c r="U12" s="70" t="str">
        <f>IF(U$2="Y",IF(MaGic_AVM_Land!U12=0,"",MaGic_AVM_Land!U12),"")</f>
        <v/>
      </c>
      <c r="V12" s="70" t="str">
        <f>IF(V$2="Y",IF(MaGic_AVM_Land!V12=0,"",MaGic_AVM_Land!V12),"")</f>
        <v/>
      </c>
      <c r="W12" s="70" t="str">
        <f>IF(W$2="Y",IF(MaGic_AVM_Land!W12=0,"",MaGic_AVM_Land!W12),"")</f>
        <v/>
      </c>
      <c r="X12" s="70" t="str">
        <f>IF(X$2="Y",IF(MaGic_AVM_Land!X12=0,"",MaGic_AVM_Land!X12),"")</f>
        <v/>
      </c>
      <c r="Y12" s="70" t="str">
        <f>IF(Y$2="Y",IF(MaGic_AVM_Land!Y12=0,"",MaGic_AVM_Land!Y12),"")</f>
        <v/>
      </c>
      <c r="Z12" s="70" t="str">
        <f>IF(Z$2="Y",IF(MaGic_AVM_Land!Z12=0,"",MaGic_AVM_Land!Z12),"")</f>
        <v/>
      </c>
      <c r="AA12" s="69" t="str">
        <f>CONCATENATE(IF(AB12="",AC12,AB12))</f>
        <v/>
      </c>
      <c r="AB12" s="69" t="str" cm="1">
        <f t="array" ref="AB12">_xlfn.UNIQUE(C12:Z12,TRUE,FALSE)</f>
        <v/>
      </c>
    </row>
    <row r="13" spans="1:29">
      <c r="A13" s="70">
        <v>11</v>
      </c>
      <c r="B13" s="70" t="s">
        <v>67</v>
      </c>
      <c r="C13" s="71" t="str">
        <f>IF(C$2="Y",IF(MaGic_AVM_Land!C13=0,"",MaGic_AVM_Land!C13),"")</f>
        <v/>
      </c>
      <c r="D13" s="71" t="str">
        <f>IF(D$2="Y",IF(MaGic_AVM_Land!D13=0,"",MaGic_AVM_Land!D13),"")</f>
        <v/>
      </c>
      <c r="E13" s="71" t="str">
        <f>IF(E$2="Y",IF(MaGic_AVM_Land!E13=0,"",MaGic_AVM_Land!E13),"")</f>
        <v/>
      </c>
      <c r="F13" s="71" t="str">
        <f>IF(F$2="Y",IF(MaGic_AVM_Land!F13=0,"",MaGic_AVM_Land!F13),"")</f>
        <v/>
      </c>
      <c r="G13" s="71" t="str">
        <f>IF(G$2="Y",IF(MaGic_AVM_Land!G13=0,"",MaGic_AVM_Land!G13),"")</f>
        <v/>
      </c>
      <c r="H13" s="71" t="str">
        <f>IF(H$2="Y",IF(MaGic_AVM_Land!H13=0,"",MaGic_AVM_Land!H13),"")</f>
        <v/>
      </c>
      <c r="I13" s="71" t="str">
        <f>IF(I$2="Y",IF(MaGic_AVM_Land!I13=0,"",MaGic_AVM_Land!I13),"")</f>
        <v/>
      </c>
      <c r="J13" s="71" t="str">
        <f>IF(J$2="Y",IF(MaGic_AVM_Land!J13=0,"",MaGic_AVM_Land!J13),"")</f>
        <v/>
      </c>
      <c r="K13" s="71" t="str">
        <f>IF(K$2="Y",IF(MaGic_AVM_Land!K13=0,"",MaGic_AVM_Land!K13),"")</f>
        <v/>
      </c>
      <c r="L13" s="71" t="str">
        <f>IF(L$2="Y",IF(MaGic_AVM_Land!L13=0,"",MaGic_AVM_Land!L13),"")</f>
        <v/>
      </c>
      <c r="M13" s="71" t="str">
        <f>IF(M$2="Y",IF(MaGic_AVM_Land!M13=0,"",MaGic_AVM_Land!M13),"")</f>
        <v/>
      </c>
      <c r="N13" s="71" t="str">
        <f>IF(N$2="Y",IF(MaGic_AVM_Land!N13=0,"",MaGic_AVM_Land!N13),"")</f>
        <v/>
      </c>
      <c r="O13" s="71" t="str">
        <f>IF(O$2="Y",IF(MaGic_AVM_Land!O13=0,"",MaGic_AVM_Land!O13),"")</f>
        <v/>
      </c>
      <c r="P13" s="71" t="str">
        <f>IF(P$2="Y",IF(MaGic_AVM_Land!P13=0,"",MaGic_AVM_Land!P13),"")</f>
        <v/>
      </c>
      <c r="Q13" s="71" t="str">
        <f>IF(Q$2="Y",IF(MaGic_AVM_Land!Q13=0,"",MaGic_AVM_Land!Q13),"")</f>
        <v/>
      </c>
      <c r="R13" s="71" t="str">
        <f>IF(R$2="Y",IF(MaGic_AVM_Land!R13=0,"",MaGic_AVM_Land!R13),"")</f>
        <v/>
      </c>
      <c r="S13" s="71" t="str">
        <f>IF(S$2="Y",IF(MaGic_AVM_Land!S13=0,"",MaGic_AVM_Land!S13),"")</f>
        <v/>
      </c>
      <c r="T13" s="71" t="str">
        <f>IF(T$2="Y",IF(MaGic_AVM_Land!T13=0,"",MaGic_AVM_Land!T13),"")</f>
        <v/>
      </c>
      <c r="U13" s="71" t="str">
        <f>IF(U$2="Y",IF(MaGic_AVM_Land!U13=0,"",MaGic_AVM_Land!U13),"")</f>
        <v/>
      </c>
      <c r="V13" s="71" t="str">
        <f>IF(V$2="Y",IF(MaGic_AVM_Land!V13=0,"",MaGic_AVM_Land!V13),"")</f>
        <v/>
      </c>
      <c r="W13" s="71" t="str">
        <f>IF(W$2="Y",IF(MaGic_AVM_Land!W13=0,"",MaGic_AVM_Land!W13),"")</f>
        <v/>
      </c>
      <c r="X13" s="71" t="str">
        <f>IF(X$2="Y",IF(MaGic_AVM_Land!X13=0,"",MaGic_AVM_Land!X13),"")</f>
        <v/>
      </c>
      <c r="Y13" s="71" t="str">
        <f>IF(Y$2="Y",IF(MaGic_AVM_Land!Y13=0,"",MaGic_AVM_Land!Y13),"")</f>
        <v/>
      </c>
      <c r="Z13" s="71" t="str">
        <f>IF(Z$2="Y",IF(MaGic_AVM_Land!Z13=0,"",MaGic_AVM_Land!Z13),"")</f>
        <v/>
      </c>
      <c r="AA13" s="69" t="str">
        <f>CONCATENATE(IF(AB13="",AC13,AB13)," ",AA12)</f>
        <v/>
      </c>
      <c r="AB13" s="69" t="str" cm="1">
        <f t="array" ref="AB13">_xlfn.UNIQUE(C13:Z13,TRUE,FALSE)</f>
        <v/>
      </c>
    </row>
    <row r="14" spans="1:29">
      <c r="A14" s="70">
        <v>12</v>
      </c>
      <c r="B14" s="70" t="s">
        <v>69</v>
      </c>
      <c r="C14" s="71" t="str">
        <f>IF(C$2="Y",IF(MaGic_AVM_Land!C14=0,"",MaGic_AVM_Land!C14),"")</f>
        <v/>
      </c>
      <c r="D14" s="71" t="str">
        <f>IF(D$2="Y",IF(MaGic_AVM_Land!D14=0,"",MaGic_AVM_Land!D14),"")</f>
        <v/>
      </c>
      <c r="E14" s="71">
        <f>IF(E$2="Y",IF(MaGic_AVM_Land!E14=0,"",MaGic_AVM_Land!E14),"")</f>
        <v>3</v>
      </c>
      <c r="F14" s="71" t="str">
        <f>IF(F$2="Y",IF(MaGic_AVM_Land!F14=0,"",MaGic_AVM_Land!F14),"")</f>
        <v/>
      </c>
      <c r="G14" s="71" t="str">
        <f>IF(G$2="Y",IF(MaGic_AVM_Land!G14=0,"",MaGic_AVM_Land!G14),"")</f>
        <v/>
      </c>
      <c r="H14" s="71" t="str">
        <f>IF(H$2="Y",IF(MaGic_AVM_Land!H14=0,"",MaGic_AVM_Land!H14),"")</f>
        <v/>
      </c>
      <c r="I14" s="71" t="str">
        <f>IF(I$2="Y",IF(MaGic_AVM_Land!I14=0,"",MaGic_AVM_Land!I14),"")</f>
        <v/>
      </c>
      <c r="J14" s="71" t="str">
        <f>IF(J$2="Y",IF(MaGic_AVM_Land!J14=0,"",MaGic_AVM_Land!J14),"")</f>
        <v/>
      </c>
      <c r="K14" s="71" t="str">
        <f>IF(K$2="Y",IF(MaGic_AVM_Land!K14=0,"",MaGic_AVM_Land!K14),"")</f>
        <v/>
      </c>
      <c r="L14" s="71" t="str">
        <f>IF(L$2="Y",IF(MaGic_AVM_Land!L14=0,"",MaGic_AVM_Land!L14),"")</f>
        <v/>
      </c>
      <c r="M14" s="71" t="str">
        <f>IF(M$2="Y",IF(MaGic_AVM_Land!M14=0,"",MaGic_AVM_Land!M14),"")</f>
        <v/>
      </c>
      <c r="N14" s="71" t="str">
        <f>IF(N$2="Y",IF(MaGic_AVM_Land!N14=0,"",MaGic_AVM_Land!N14),"")</f>
        <v/>
      </c>
      <c r="O14" s="71" t="str">
        <f>IF(O$2="Y",IF(MaGic_AVM_Land!O14=0,"",MaGic_AVM_Land!O14),"")</f>
        <v/>
      </c>
      <c r="P14" s="71" t="str">
        <f>IF(P$2="Y",IF(MaGic_AVM_Land!P14=0,"",MaGic_AVM_Land!P14),"")</f>
        <v/>
      </c>
      <c r="Q14" s="71" t="str">
        <f>IF(Q$2="Y",IF(MaGic_AVM_Land!Q14=0,"",MaGic_AVM_Land!Q14),"")</f>
        <v/>
      </c>
      <c r="R14" s="71" t="str">
        <f>IF(R$2="Y",IF(MaGic_AVM_Land!R14=0,"",MaGic_AVM_Land!R14),"")</f>
        <v/>
      </c>
      <c r="S14" s="71" t="str">
        <f>IF(S$2="Y",IF(MaGic_AVM_Land!S14=0,"",MaGic_AVM_Land!S14),"")</f>
        <v/>
      </c>
      <c r="T14" s="71" t="str">
        <f>IF(T$2="Y",IF(MaGic_AVM_Land!T14=0,"",MaGic_AVM_Land!T14),"")</f>
        <v/>
      </c>
      <c r="U14" s="71" t="str">
        <f>IF(U$2="Y",IF(MaGic_AVM_Land!U14=0,"",MaGic_AVM_Land!U14),"")</f>
        <v/>
      </c>
      <c r="V14" s="71" t="str">
        <f>IF(V$2="Y",IF(MaGic_AVM_Land!V14=0,"",MaGic_AVM_Land!V14),"")</f>
        <v/>
      </c>
      <c r="W14" s="71" t="str">
        <f>IF(W$2="Y",IF(MaGic_AVM_Land!W14=0,"",MaGic_AVM_Land!W14),"")</f>
        <v/>
      </c>
      <c r="X14" s="71" t="str">
        <f>IF(X$2="Y",IF(MaGic_AVM_Land!X14=0,"",MaGic_AVM_Land!X14),"")</f>
        <v/>
      </c>
      <c r="Y14" s="71" t="str">
        <f>IF(Y$2="Y",IF(MaGic_AVM_Land!Y14=0,"",MaGic_AVM_Land!Y14),"")</f>
        <v/>
      </c>
      <c r="Z14" s="71" t="str">
        <f>IF(Z$2="Y",IF(MaGic_AVM_Land!Z14=0,"",MaGic_AVM_Land!Z14),"")</f>
        <v/>
      </c>
      <c r="AA14" s="69" t="str">
        <f t="shared" ref="AA14:AA18" si="1">_xlfn.TEXTJOIN(",",TRUE,AB14:AZ14)</f>
        <v>3</v>
      </c>
      <c r="AB14" s="69" t="str" cm="1">
        <f t="array" ref="AB14:AC14">_xlfn.UNIQUE(C14:Z14,TRUE,FALSE)</f>
        <v/>
      </c>
      <c r="AC14" s="69">
        <v>3</v>
      </c>
    </row>
    <row r="15" spans="1:29">
      <c r="A15" s="70">
        <v>13</v>
      </c>
      <c r="B15" s="70" t="s">
        <v>70</v>
      </c>
      <c r="C15" s="71" t="str">
        <f>IF(C$2="Y",IF(MaGic_AVM_Land!C15=0,"",MaGic_AVM_Land!C15),"")</f>
        <v/>
      </c>
      <c r="D15" s="71" t="str">
        <f>IF(D$2="Y",IF(MaGic_AVM_Land!D15=0,"",MaGic_AVM_Land!D15),"")</f>
        <v/>
      </c>
      <c r="E15" s="71">
        <f>IF(E$2="Y",IF(MaGic_AVM_Land!E15=0,"",MaGic_AVM_Land!E15),"")</f>
        <v>254</v>
      </c>
      <c r="F15" s="71" t="str">
        <f>IF(F$2="Y",IF(MaGic_AVM_Land!F15=0,"",MaGic_AVM_Land!F15),"")</f>
        <v/>
      </c>
      <c r="G15" s="71" t="str">
        <f>IF(G$2="Y",IF(MaGic_AVM_Land!G15=0,"",MaGic_AVM_Land!G15),"")</f>
        <v/>
      </c>
      <c r="H15" s="71" t="str">
        <f>IF(H$2="Y",IF(MaGic_AVM_Land!H15=0,"",MaGic_AVM_Land!H15),"")</f>
        <v/>
      </c>
      <c r="I15" s="71" t="str">
        <f>IF(I$2="Y",IF(MaGic_AVM_Land!I15=0,"",MaGic_AVM_Land!I15),"")</f>
        <v/>
      </c>
      <c r="J15" s="71" t="str">
        <f>IF(J$2="Y",IF(MaGic_AVM_Land!J15=0,"",MaGic_AVM_Land!J15),"")</f>
        <v/>
      </c>
      <c r="K15" s="71" t="str">
        <f>IF(K$2="Y",IF(MaGic_AVM_Land!K15=0,"",MaGic_AVM_Land!K15),"")</f>
        <v/>
      </c>
      <c r="L15" s="71" t="str">
        <f>IF(L$2="Y",IF(MaGic_AVM_Land!L15=0,"",MaGic_AVM_Land!L15),"")</f>
        <v/>
      </c>
      <c r="M15" s="71" t="str">
        <f>IF(M$2="Y",IF(MaGic_AVM_Land!M15=0,"",MaGic_AVM_Land!M15),"")</f>
        <v/>
      </c>
      <c r="N15" s="71" t="str">
        <f>IF(N$2="Y",IF(MaGic_AVM_Land!N15=0,"",MaGic_AVM_Land!N15),"")</f>
        <v/>
      </c>
      <c r="O15" s="71" t="str">
        <f>IF(O$2="Y",IF(MaGic_AVM_Land!O15=0,"",MaGic_AVM_Land!O15),"")</f>
        <v/>
      </c>
      <c r="P15" s="71" t="str">
        <f>IF(P$2="Y",IF(MaGic_AVM_Land!P15=0,"",MaGic_AVM_Land!P15),"")</f>
        <v/>
      </c>
      <c r="Q15" s="71" t="str">
        <f>IF(Q$2="Y",IF(MaGic_AVM_Land!Q15=0,"",MaGic_AVM_Land!Q15),"")</f>
        <v/>
      </c>
      <c r="R15" s="71" t="str">
        <f>IF(R$2="Y",IF(MaGic_AVM_Land!R15=0,"",MaGic_AVM_Land!R15),"")</f>
        <v/>
      </c>
      <c r="S15" s="71" t="str">
        <f>IF(S$2="Y",IF(MaGic_AVM_Land!S15=0,"",MaGic_AVM_Land!S15),"")</f>
        <v/>
      </c>
      <c r="T15" s="71" t="str">
        <f>IF(T$2="Y",IF(MaGic_AVM_Land!T15=0,"",MaGic_AVM_Land!T15),"")</f>
        <v/>
      </c>
      <c r="U15" s="71" t="str">
        <f>IF(U$2="Y",IF(MaGic_AVM_Land!U15=0,"",MaGic_AVM_Land!U15),"")</f>
        <v/>
      </c>
      <c r="V15" s="71" t="str">
        <f>IF(V$2="Y",IF(MaGic_AVM_Land!V15=0,"",MaGic_AVM_Land!V15),"")</f>
        <v/>
      </c>
      <c r="W15" s="71" t="str">
        <f>IF(W$2="Y",IF(MaGic_AVM_Land!W15=0,"",MaGic_AVM_Land!W15),"")</f>
        <v/>
      </c>
      <c r="X15" s="71" t="str">
        <f>IF(X$2="Y",IF(MaGic_AVM_Land!X15=0,"",MaGic_AVM_Land!X15),"")</f>
        <v/>
      </c>
      <c r="Y15" s="71" t="str">
        <f>IF(Y$2="Y",IF(MaGic_AVM_Land!Y15=0,"",MaGic_AVM_Land!Y15),"")</f>
        <v/>
      </c>
      <c r="Z15" s="71" t="str">
        <f>IF(Z$2="Y",IF(MaGic_AVM_Land!Z15=0,"",MaGic_AVM_Land!Z15),"")</f>
        <v/>
      </c>
      <c r="AA15" s="69" t="str">
        <f t="shared" si="1"/>
        <v>254</v>
      </c>
      <c r="AB15" s="69" t="str" cm="1">
        <f t="array" ref="AB15:AC15">_xlfn.UNIQUE(C15:Z15,TRUE,FALSE)</f>
        <v/>
      </c>
      <c r="AC15" s="69">
        <v>254</v>
      </c>
    </row>
    <row r="16" spans="1:29">
      <c r="A16" s="70">
        <v>14</v>
      </c>
      <c r="B16" s="70" t="s">
        <v>71</v>
      </c>
      <c r="C16" s="71" t="str">
        <f>IF(C$2="Y",IF(MaGic_AVM_Land!C16=0,"",MaGic_AVM_Land!C16),"")</f>
        <v/>
      </c>
      <c r="D16" s="71" t="str">
        <f>IF(D$2="Y",IF(MaGic_AVM_Land!D16=0,"",MaGic_AVM_Land!D16),"")</f>
        <v/>
      </c>
      <c r="E16" s="71" t="str">
        <f>IF(E$2="Y",IF(MaGic_AVM_Land!E16=0,"",MaGic_AVM_Land!E16),"")</f>
        <v>21</v>
      </c>
      <c r="F16" s="71" t="str">
        <f>IF(F$2="Y",IF(MaGic_AVM_Land!F16=0,"",MaGic_AVM_Land!F16),"")</f>
        <v/>
      </c>
      <c r="G16" s="71" t="str">
        <f>IF(G$2="Y",IF(MaGic_AVM_Land!G16=0,"",MaGic_AVM_Land!G16),"")</f>
        <v/>
      </c>
      <c r="H16" s="71" t="str">
        <f>IF(H$2="Y",IF(MaGic_AVM_Land!H16=0,"",MaGic_AVM_Land!H16),"")</f>
        <v/>
      </c>
      <c r="I16" s="71" t="str">
        <f>IF(I$2="Y",IF(MaGic_AVM_Land!I16=0,"",MaGic_AVM_Land!I16),"")</f>
        <v/>
      </c>
      <c r="J16" s="71" t="str">
        <f>IF(J$2="Y",IF(MaGic_AVM_Land!J16=0,"",MaGic_AVM_Land!J16),"")</f>
        <v/>
      </c>
      <c r="K16" s="71" t="str">
        <f>IF(K$2="Y",IF(MaGic_AVM_Land!K16=0,"",MaGic_AVM_Land!K16),"")</f>
        <v/>
      </c>
      <c r="L16" s="71" t="str">
        <f>IF(L$2="Y",IF(MaGic_AVM_Land!L16=0,"",MaGic_AVM_Land!L16),"")</f>
        <v/>
      </c>
      <c r="M16" s="71" t="str">
        <f>IF(M$2="Y",IF(MaGic_AVM_Land!M16=0,"",MaGic_AVM_Land!M16),"")</f>
        <v/>
      </c>
      <c r="N16" s="71" t="str">
        <f>IF(N$2="Y",IF(MaGic_AVM_Land!N16=0,"",MaGic_AVM_Land!N16),"")</f>
        <v/>
      </c>
      <c r="O16" s="71" t="str">
        <f>IF(O$2="Y",IF(MaGic_AVM_Land!O16=0,"",MaGic_AVM_Land!O16),"")</f>
        <v/>
      </c>
      <c r="P16" s="71" t="str">
        <f>IF(P$2="Y",IF(MaGic_AVM_Land!P16=0,"",MaGic_AVM_Land!P16),"")</f>
        <v/>
      </c>
      <c r="Q16" s="71" t="str">
        <f>IF(Q$2="Y",IF(MaGic_AVM_Land!Q16=0,"",MaGic_AVM_Land!Q16),"")</f>
        <v/>
      </c>
      <c r="R16" s="71" t="str">
        <f>IF(R$2="Y",IF(MaGic_AVM_Land!R16=0,"",MaGic_AVM_Land!R16),"")</f>
        <v/>
      </c>
      <c r="S16" s="71" t="str">
        <f>IF(S$2="Y",IF(MaGic_AVM_Land!S16=0,"",MaGic_AVM_Land!S16),"")</f>
        <v/>
      </c>
      <c r="T16" s="71" t="str">
        <f>IF(T$2="Y",IF(MaGic_AVM_Land!T16=0,"",MaGic_AVM_Land!T16),"")</f>
        <v/>
      </c>
      <c r="U16" s="71" t="str">
        <f>IF(U$2="Y",IF(MaGic_AVM_Land!U16=0,"",MaGic_AVM_Land!U16),"")</f>
        <v/>
      </c>
      <c r="V16" s="71" t="str">
        <f>IF(V$2="Y",IF(MaGic_AVM_Land!V16=0,"",MaGic_AVM_Land!V16),"")</f>
        <v/>
      </c>
      <c r="W16" s="71" t="str">
        <f>IF(W$2="Y",IF(MaGic_AVM_Land!W16=0,"",MaGic_AVM_Land!W16),"")</f>
        <v/>
      </c>
      <c r="X16" s="71" t="str">
        <f>IF(X$2="Y",IF(MaGic_AVM_Land!X16=0,"",MaGic_AVM_Land!X16),"")</f>
        <v/>
      </c>
      <c r="Y16" s="71" t="str">
        <f>IF(Y$2="Y",IF(MaGic_AVM_Land!Y16=0,"",MaGic_AVM_Land!Y16),"")</f>
        <v/>
      </c>
      <c r="Z16" s="71" t="str">
        <f>IF(Z$2="Y",IF(MaGic_AVM_Land!Z16=0,"",MaGic_AVM_Land!Z16),"")</f>
        <v/>
      </c>
      <c r="AA16" s="69" t="str">
        <f t="shared" si="1"/>
        <v>21</v>
      </c>
      <c r="AB16" s="69" t="str" cm="1">
        <f t="array" ref="AB16:AC16">_xlfn.UNIQUE(C16:Z16,TRUE,FALSE)</f>
        <v/>
      </c>
      <c r="AC16" s="69" t="str">
        <v>21</v>
      </c>
    </row>
    <row r="17" spans="1:29">
      <c r="A17" s="70">
        <v>15</v>
      </c>
      <c r="B17" s="70" t="s">
        <v>77</v>
      </c>
      <c r="C17" s="71" t="str">
        <f>IF(C$2="Y",IF(MaGic_AVM_Land!C17=0,"",MaGic_AVM_Land!C17),"")</f>
        <v/>
      </c>
      <c r="D17" s="71" t="str">
        <f>IF(D$2="Y",IF(MaGic_AVM_Land!D17=0,"",MaGic_AVM_Land!D17),"")</f>
        <v/>
      </c>
      <c r="E17" s="71" t="str">
        <f>IF(E$2="Y",IF(MaGic_AVM_Land!E17=0,"",MaGic_AVM_Land!E17),"")</f>
        <v/>
      </c>
      <c r="F17" s="71" t="str">
        <f>IF(F$2="Y",IF(MaGic_AVM_Land!F17=0,"",MaGic_AVM_Land!F17),"")</f>
        <v/>
      </c>
      <c r="G17" s="71" t="str">
        <f>IF(G$2="Y",IF(MaGic_AVM_Land!G17=0,"",MaGic_AVM_Land!G17),"")</f>
        <v/>
      </c>
      <c r="H17" s="71" t="str">
        <f>IF(H$2="Y",IF(MaGic_AVM_Land!H17=0,"",MaGic_AVM_Land!H17),"")</f>
        <v/>
      </c>
      <c r="I17" s="71" t="str">
        <f>IF(I$2="Y",IF(MaGic_AVM_Land!I17=0,"",MaGic_AVM_Land!I17),"")</f>
        <v/>
      </c>
      <c r="J17" s="71" t="str">
        <f>IF(J$2="Y",IF(MaGic_AVM_Land!J17=0,"",MaGic_AVM_Land!J17),"")</f>
        <v/>
      </c>
      <c r="K17" s="71" t="str">
        <f>IF(K$2="Y",IF(MaGic_AVM_Land!K17=0,"",MaGic_AVM_Land!K17),"")</f>
        <v/>
      </c>
      <c r="L17" s="71" t="str">
        <f>IF(L$2="Y",IF(MaGic_AVM_Land!L17=0,"",MaGic_AVM_Land!L17),"")</f>
        <v/>
      </c>
      <c r="M17" s="71" t="str">
        <f>IF(M$2="Y",IF(MaGic_AVM_Land!M17=0,"",MaGic_AVM_Land!M17),"")</f>
        <v/>
      </c>
      <c r="N17" s="71" t="str">
        <f>IF(N$2="Y",IF(MaGic_AVM_Land!N17=0,"",MaGic_AVM_Land!N17),"")</f>
        <v/>
      </c>
      <c r="O17" s="71" t="str">
        <f>IF(O$2="Y",IF(MaGic_AVM_Land!O17=0,"",MaGic_AVM_Land!O17),"")</f>
        <v/>
      </c>
      <c r="P17" s="71" t="str">
        <f>IF(P$2="Y",IF(MaGic_AVM_Land!P17=0,"",MaGic_AVM_Land!P17),"")</f>
        <v/>
      </c>
      <c r="Q17" s="71" t="str">
        <f>IF(Q$2="Y",IF(MaGic_AVM_Land!Q17=0,"",MaGic_AVM_Land!Q17),"")</f>
        <v/>
      </c>
      <c r="R17" s="71" t="str">
        <f>IF(R$2="Y",IF(MaGic_AVM_Land!R17=0,"",MaGic_AVM_Land!R17),"")</f>
        <v/>
      </c>
      <c r="S17" s="71" t="str">
        <f>IF(S$2="Y",IF(MaGic_AVM_Land!S17=0,"",MaGic_AVM_Land!S17),"")</f>
        <v/>
      </c>
      <c r="T17" s="71" t="str">
        <f>IF(T$2="Y",IF(MaGic_AVM_Land!T17=0,"",MaGic_AVM_Land!T17),"")</f>
        <v/>
      </c>
      <c r="U17" s="71" t="str">
        <f>IF(U$2="Y",IF(MaGic_AVM_Land!U17=0,"",MaGic_AVM_Land!U17),"")</f>
        <v/>
      </c>
      <c r="V17" s="71" t="str">
        <f>IF(V$2="Y",IF(MaGic_AVM_Land!V17=0,"",MaGic_AVM_Land!V17),"")</f>
        <v/>
      </c>
      <c r="W17" s="71" t="str">
        <f>IF(W$2="Y",IF(MaGic_AVM_Land!W17=0,"",MaGic_AVM_Land!W17),"")</f>
        <v/>
      </c>
      <c r="X17" s="71" t="str">
        <f>IF(X$2="Y",IF(MaGic_AVM_Land!X17=0,"",MaGic_AVM_Land!X17),"")</f>
        <v/>
      </c>
      <c r="Y17" s="71" t="str">
        <f>IF(Y$2="Y",IF(MaGic_AVM_Land!Y17=0,"",MaGic_AVM_Land!Y17),"")</f>
        <v/>
      </c>
      <c r="Z17" s="71" t="str">
        <f>IF(Z$2="Y",IF(MaGic_AVM_Land!Z17=0,"",MaGic_AVM_Land!Z17),"")</f>
        <v/>
      </c>
      <c r="AA17" s="69" t="str">
        <f t="shared" si="1"/>
        <v/>
      </c>
      <c r="AB17" s="69" t="str" cm="1">
        <f t="array" ref="AB17">_xlfn.UNIQUE(C17:Z17,TRUE,FALSE)</f>
        <v/>
      </c>
    </row>
    <row r="18" spans="1:29">
      <c r="A18" s="70">
        <v>16</v>
      </c>
      <c r="B18" s="70" t="s">
        <v>78</v>
      </c>
      <c r="C18" s="71" t="str">
        <f>IF(C$2="Y",IF(MaGic_AVM_Land!C18=0,"",MaGic_AVM_Land!C18),"")</f>
        <v/>
      </c>
      <c r="D18" s="71" t="str">
        <f>IF(D$2="Y",IF(MaGic_AVM_Land!D18=0,"",MaGic_AVM_Land!D18),"")</f>
        <v/>
      </c>
      <c r="E18" s="71" t="str">
        <f>IF(E$2="Y",IF(MaGic_AVM_Land!E18=0,"",MaGic_AVM_Land!E18),"")</f>
        <v/>
      </c>
      <c r="F18" s="71" t="str">
        <f>IF(F$2="Y",IF(MaGic_AVM_Land!F18=0,"",MaGic_AVM_Land!F18),"")</f>
        <v/>
      </c>
      <c r="G18" s="71" t="str">
        <f>IF(G$2="Y",IF(MaGic_AVM_Land!G18=0,"",MaGic_AVM_Land!G18),"")</f>
        <v/>
      </c>
      <c r="H18" s="71" t="str">
        <f>IF(H$2="Y",IF(MaGic_AVM_Land!H18=0,"",MaGic_AVM_Land!H18),"")</f>
        <v/>
      </c>
      <c r="I18" s="71" t="str">
        <f>IF(I$2="Y",IF(MaGic_AVM_Land!I18=0,"",MaGic_AVM_Land!I18),"")</f>
        <v/>
      </c>
      <c r="J18" s="71" t="str">
        <f>IF(J$2="Y",IF(MaGic_AVM_Land!J18=0,"",MaGic_AVM_Land!J18),"")</f>
        <v/>
      </c>
      <c r="K18" s="71" t="str">
        <f>IF(K$2="Y",IF(MaGic_AVM_Land!K18=0,"",MaGic_AVM_Land!K18),"")</f>
        <v/>
      </c>
      <c r="L18" s="71" t="str">
        <f>IF(L$2="Y",IF(MaGic_AVM_Land!L18=0,"",MaGic_AVM_Land!L18),"")</f>
        <v/>
      </c>
      <c r="M18" s="71" t="str">
        <f>IF(M$2="Y",IF(MaGic_AVM_Land!M18=0,"",MaGic_AVM_Land!M18),"")</f>
        <v/>
      </c>
      <c r="N18" s="71" t="str">
        <f>IF(N$2="Y",IF(MaGic_AVM_Land!N18=0,"",MaGic_AVM_Land!N18),"")</f>
        <v/>
      </c>
      <c r="O18" s="71" t="str">
        <f>IF(O$2="Y",IF(MaGic_AVM_Land!O18=0,"",MaGic_AVM_Land!O18),"")</f>
        <v/>
      </c>
      <c r="P18" s="71" t="str">
        <f>IF(P$2="Y",IF(MaGic_AVM_Land!P18=0,"",MaGic_AVM_Land!P18),"")</f>
        <v/>
      </c>
      <c r="Q18" s="71" t="str">
        <f>IF(Q$2="Y",IF(MaGic_AVM_Land!Q18=0,"",MaGic_AVM_Land!Q18),"")</f>
        <v/>
      </c>
      <c r="R18" s="71" t="str">
        <f>IF(R$2="Y",IF(MaGic_AVM_Land!R18=0,"",MaGic_AVM_Land!R18),"")</f>
        <v/>
      </c>
      <c r="S18" s="71" t="str">
        <f>IF(S$2="Y",IF(MaGic_AVM_Land!S18=0,"",MaGic_AVM_Land!S18),"")</f>
        <v/>
      </c>
      <c r="T18" s="71" t="str">
        <f>IF(T$2="Y",IF(MaGic_AVM_Land!T18=0,"",MaGic_AVM_Land!T18),"")</f>
        <v/>
      </c>
      <c r="U18" s="71" t="str">
        <f>IF(U$2="Y",IF(MaGic_AVM_Land!U18=0,"",MaGic_AVM_Land!U18),"")</f>
        <v/>
      </c>
      <c r="V18" s="71" t="str">
        <f>IF(V$2="Y",IF(MaGic_AVM_Land!V18=0,"",MaGic_AVM_Land!V18),"")</f>
        <v/>
      </c>
      <c r="W18" s="71" t="str">
        <f>IF(W$2="Y",IF(MaGic_AVM_Land!W18=0,"",MaGic_AVM_Land!W18),"")</f>
        <v/>
      </c>
      <c r="X18" s="71" t="str">
        <f>IF(X$2="Y",IF(MaGic_AVM_Land!X18=0,"",MaGic_AVM_Land!X18),"")</f>
        <v/>
      </c>
      <c r="Y18" s="71" t="str">
        <f>IF(Y$2="Y",IF(MaGic_AVM_Land!Y18=0,"",MaGic_AVM_Land!Y18),"")</f>
        <v/>
      </c>
      <c r="Z18" s="71" t="str">
        <f>IF(Z$2="Y",IF(MaGic_AVM_Land!Z18=0,"",MaGic_AVM_Land!Z18),"")</f>
        <v/>
      </c>
      <c r="AA18" s="69" t="str">
        <f t="shared" si="1"/>
        <v/>
      </c>
      <c r="AB18" s="69" t="str" cm="1">
        <f t="array" ref="AB18">_xlfn.UNIQUE(C18:Z18,TRUE,FALSE)</f>
        <v/>
      </c>
    </row>
    <row r="19" spans="1:29">
      <c r="A19" s="70">
        <v>17</v>
      </c>
      <c r="B19" s="70" t="s">
        <v>79</v>
      </c>
      <c r="C19" s="71" t="str">
        <f>IF(C$2="Y",IF(MaGic_AVM_Land!C19=0,"",MaGic_AVM_Land!C19),"")</f>
        <v/>
      </c>
      <c r="D19" s="71" t="str">
        <f>IF(D$2="Y",IF(MaGic_AVM_Land!D19=0,"",MaGic_AVM_Land!D19),"")</f>
        <v/>
      </c>
      <c r="E19" s="71" t="str">
        <f>IF(E$2="Y",IF(MaGic_AVM_Land!E19=0,"",MaGic_AVM_Land!E19),"")</f>
        <v/>
      </c>
      <c r="F19" s="71" t="str">
        <f>IF(F$2="Y",IF(MaGic_AVM_Land!F19=0,"",MaGic_AVM_Land!F19),"")</f>
        <v/>
      </c>
      <c r="G19" s="71" t="str">
        <f>IF(G$2="Y",IF(MaGic_AVM_Land!G19=0,"",MaGic_AVM_Land!G19),"")</f>
        <v/>
      </c>
      <c r="H19" s="71" t="str">
        <f>IF(H$2="Y",IF(MaGic_AVM_Land!H19=0,"",MaGic_AVM_Land!H19),"")</f>
        <v/>
      </c>
      <c r="I19" s="71" t="str">
        <f>IF(I$2="Y",IF(MaGic_AVM_Land!I19=0,"",MaGic_AVM_Land!I19),"")</f>
        <v/>
      </c>
      <c r="J19" s="71" t="str">
        <f>IF(J$2="Y",IF(MaGic_AVM_Land!J19=0,"",MaGic_AVM_Land!J19),"")</f>
        <v/>
      </c>
      <c r="K19" s="71" t="str">
        <f>IF(K$2="Y",IF(MaGic_AVM_Land!K19=0,"",MaGic_AVM_Land!K19),"")</f>
        <v/>
      </c>
      <c r="L19" s="71" t="str">
        <f>IF(L$2="Y",IF(MaGic_AVM_Land!L19=0,"",MaGic_AVM_Land!L19),"")</f>
        <v/>
      </c>
      <c r="M19" s="71" t="str">
        <f>IF(M$2="Y",IF(MaGic_AVM_Land!M19=0,"",MaGic_AVM_Land!M19),"")</f>
        <v/>
      </c>
      <c r="N19" s="71" t="str">
        <f>IF(N$2="Y",IF(MaGic_AVM_Land!N19=0,"",MaGic_AVM_Land!N19),"")</f>
        <v/>
      </c>
      <c r="O19" s="71" t="str">
        <f>IF(O$2="Y",IF(MaGic_AVM_Land!O19=0,"",MaGic_AVM_Land!O19),"")</f>
        <v/>
      </c>
      <c r="P19" s="71" t="str">
        <f>IF(P$2="Y",IF(MaGic_AVM_Land!P19=0,"",MaGic_AVM_Land!P19),"")</f>
        <v/>
      </c>
      <c r="Q19" s="71" t="str">
        <f>IF(Q$2="Y",IF(MaGic_AVM_Land!Q19=0,"",MaGic_AVM_Land!Q19),"")</f>
        <v/>
      </c>
      <c r="R19" s="71" t="str">
        <f>IF(R$2="Y",IF(MaGic_AVM_Land!R19=0,"",MaGic_AVM_Land!R19),"")</f>
        <v/>
      </c>
      <c r="S19" s="71" t="str">
        <f>IF(S$2="Y",IF(MaGic_AVM_Land!S19=0,"",MaGic_AVM_Land!S19),"")</f>
        <v/>
      </c>
      <c r="T19" s="71" t="str">
        <f>IF(T$2="Y",IF(MaGic_AVM_Land!T19=0,"",MaGic_AVM_Land!T19),"")</f>
        <v/>
      </c>
      <c r="U19" s="71" t="str">
        <f>IF(U$2="Y",IF(MaGic_AVM_Land!U19=0,"",MaGic_AVM_Land!U19),"")</f>
        <v/>
      </c>
      <c r="V19" s="71" t="str">
        <f>IF(V$2="Y",IF(MaGic_AVM_Land!V19=0,"",MaGic_AVM_Land!V19),"")</f>
        <v/>
      </c>
      <c r="W19" s="71" t="str">
        <f>IF(W$2="Y",IF(MaGic_AVM_Land!W19=0,"",MaGic_AVM_Land!W19),"")</f>
        <v/>
      </c>
      <c r="X19" s="71" t="str">
        <f>IF(X$2="Y",IF(MaGic_AVM_Land!X19=0,"",MaGic_AVM_Land!X19),"")</f>
        <v/>
      </c>
      <c r="Y19" s="71" t="str">
        <f>IF(Y$2="Y",IF(MaGic_AVM_Land!Y19=0,"",MaGic_AVM_Land!Y19),"")</f>
        <v/>
      </c>
      <c r="Z19" s="71" t="str">
        <f>IF(Z$2="Y",IF(MaGic_AVM_Land!Z19=0,"",MaGic_AVM_Land!Z19),"")</f>
        <v/>
      </c>
      <c r="AA19" s="69" t="str">
        <f t="shared" ref="AA19:AA22" si="2">_xlfn.TEXTJOIN(",",TRUE,AB19:AZ19)</f>
        <v/>
      </c>
      <c r="AB19" s="69" t="str" cm="1">
        <f t="array" ref="AB19">_xlfn.UNIQUE(C19:Z19,TRUE,FALSE)</f>
        <v/>
      </c>
    </row>
    <row r="20" spans="1:29">
      <c r="A20" s="70">
        <v>18</v>
      </c>
      <c r="B20" s="70" t="s">
        <v>80</v>
      </c>
      <c r="C20" s="71" t="str">
        <f>IF(C$2="Y",IF(MaGic_AVM_Land!C20=0,"",MaGic_AVM_Land!C20),"")</f>
        <v/>
      </c>
      <c r="D20" s="71" t="str">
        <f>IF(D$2="Y",IF(MaGic_AVM_Land!D20=0,"",MaGic_AVM_Land!D20),"")</f>
        <v/>
      </c>
      <c r="E20" s="71" t="str">
        <f>IF(E$2="Y",IF(MaGic_AVM_Land!E20=0,"",MaGic_AVM_Land!E20),"")</f>
        <v/>
      </c>
      <c r="F20" s="71" t="str">
        <f>IF(F$2="Y",IF(MaGic_AVM_Land!F20=0,"",MaGic_AVM_Land!F20),"")</f>
        <v/>
      </c>
      <c r="G20" s="71" t="str">
        <f>IF(G$2="Y",IF(MaGic_AVM_Land!G20=0,"",MaGic_AVM_Land!G20),"")</f>
        <v/>
      </c>
      <c r="H20" s="71" t="str">
        <f>IF(H$2="Y",IF(MaGic_AVM_Land!H20=0,"",MaGic_AVM_Land!H20),"")</f>
        <v/>
      </c>
      <c r="I20" s="71" t="str">
        <f>IF(I$2="Y",IF(MaGic_AVM_Land!I20=0,"",MaGic_AVM_Land!I20),"")</f>
        <v/>
      </c>
      <c r="J20" s="71" t="str">
        <f>IF(J$2="Y",IF(MaGic_AVM_Land!J20=0,"",MaGic_AVM_Land!J20),"")</f>
        <v/>
      </c>
      <c r="K20" s="71" t="str">
        <f>IF(K$2="Y",IF(MaGic_AVM_Land!K20=0,"",MaGic_AVM_Land!K20),"")</f>
        <v/>
      </c>
      <c r="L20" s="71" t="str">
        <f>IF(L$2="Y",IF(MaGic_AVM_Land!L20=0,"",MaGic_AVM_Land!L20),"")</f>
        <v/>
      </c>
      <c r="M20" s="71" t="str">
        <f>IF(M$2="Y",IF(MaGic_AVM_Land!M20=0,"",MaGic_AVM_Land!M20),"")</f>
        <v/>
      </c>
      <c r="N20" s="71" t="str">
        <f>IF(N$2="Y",IF(MaGic_AVM_Land!N20=0,"",MaGic_AVM_Land!N20),"")</f>
        <v/>
      </c>
      <c r="O20" s="71" t="str">
        <f>IF(O$2="Y",IF(MaGic_AVM_Land!O20=0,"",MaGic_AVM_Land!O20),"")</f>
        <v/>
      </c>
      <c r="P20" s="71" t="str">
        <f>IF(P$2="Y",IF(MaGic_AVM_Land!P20=0,"",MaGic_AVM_Land!P20),"")</f>
        <v/>
      </c>
      <c r="Q20" s="71" t="str">
        <f>IF(Q$2="Y",IF(MaGic_AVM_Land!Q20=0,"",MaGic_AVM_Land!Q20),"")</f>
        <v/>
      </c>
      <c r="R20" s="71" t="str">
        <f>IF(R$2="Y",IF(MaGic_AVM_Land!R20=0,"",MaGic_AVM_Land!R20),"")</f>
        <v/>
      </c>
      <c r="S20" s="71" t="str">
        <f>IF(S$2="Y",IF(MaGic_AVM_Land!S20=0,"",MaGic_AVM_Land!S20),"")</f>
        <v/>
      </c>
      <c r="T20" s="71" t="str">
        <f>IF(T$2="Y",IF(MaGic_AVM_Land!T20=0,"",MaGic_AVM_Land!T20),"")</f>
        <v/>
      </c>
      <c r="U20" s="71" t="str">
        <f>IF(U$2="Y",IF(MaGic_AVM_Land!U20=0,"",MaGic_AVM_Land!U20),"")</f>
        <v/>
      </c>
      <c r="V20" s="71" t="str">
        <f>IF(V$2="Y",IF(MaGic_AVM_Land!V20=0,"",MaGic_AVM_Land!V20),"")</f>
        <v/>
      </c>
      <c r="W20" s="71" t="str">
        <f>IF(W$2="Y",IF(MaGic_AVM_Land!W20=0,"",MaGic_AVM_Land!W20),"")</f>
        <v/>
      </c>
      <c r="X20" s="71" t="str">
        <f>IF(X$2="Y",IF(MaGic_AVM_Land!X20=0,"",MaGic_AVM_Land!X20),"")</f>
        <v/>
      </c>
      <c r="Y20" s="71" t="str">
        <f>IF(Y$2="Y",IF(MaGic_AVM_Land!Y20=0,"",MaGic_AVM_Land!Y20),"")</f>
        <v/>
      </c>
      <c r="Z20" s="71" t="str">
        <f>IF(Z$2="Y",IF(MaGic_AVM_Land!Z20=0,"",MaGic_AVM_Land!Z20),"")</f>
        <v/>
      </c>
      <c r="AA20" s="69" t="str">
        <f t="shared" si="2"/>
        <v/>
      </c>
      <c r="AB20" s="69" t="str" cm="1">
        <f t="array" ref="AB20">_xlfn.UNIQUE(C20:Z20,TRUE,FALSE)</f>
        <v/>
      </c>
    </row>
    <row r="21" spans="1:29">
      <c r="A21" s="70">
        <v>19</v>
      </c>
      <c r="B21" s="70" t="s">
        <v>81</v>
      </c>
      <c r="C21" s="71" t="str">
        <f>IF(C$2="Y",IF(MaGic_AVM_Land!C21=0,"",MaGic_AVM_Land!C21),"")</f>
        <v/>
      </c>
      <c r="D21" s="71" t="str">
        <f>IF(D$2="Y",IF(MaGic_AVM_Land!D21=0,"",MaGic_AVM_Land!D21),"")</f>
        <v/>
      </c>
      <c r="E21" s="71" t="str">
        <f>IF(E$2="Y",IF(MaGic_AVM_Land!E21=0,"",MaGic_AVM_Land!E21),"")</f>
        <v/>
      </c>
      <c r="F21" s="71" t="str">
        <f>IF(F$2="Y",IF(MaGic_AVM_Land!F21=0,"",MaGic_AVM_Land!F21),"")</f>
        <v/>
      </c>
      <c r="G21" s="71" t="str">
        <f>IF(G$2="Y",IF(MaGic_AVM_Land!G21=0,"",MaGic_AVM_Land!G21),"")</f>
        <v/>
      </c>
      <c r="H21" s="71" t="str">
        <f>IF(H$2="Y",IF(MaGic_AVM_Land!H21=0,"",MaGic_AVM_Land!H21),"")</f>
        <v/>
      </c>
      <c r="I21" s="71" t="str">
        <f>IF(I$2="Y",IF(MaGic_AVM_Land!I21=0,"",MaGic_AVM_Land!I21),"")</f>
        <v/>
      </c>
      <c r="J21" s="71" t="str">
        <f>IF(J$2="Y",IF(MaGic_AVM_Land!J21=0,"",MaGic_AVM_Land!J21),"")</f>
        <v/>
      </c>
      <c r="K21" s="71" t="str">
        <f>IF(K$2="Y",IF(MaGic_AVM_Land!K21=0,"",MaGic_AVM_Land!K21),"")</f>
        <v/>
      </c>
      <c r="L21" s="71" t="str">
        <f>IF(L$2="Y",IF(MaGic_AVM_Land!L21=0,"",MaGic_AVM_Land!L21),"")</f>
        <v/>
      </c>
      <c r="M21" s="71" t="str">
        <f>IF(M$2="Y",IF(MaGic_AVM_Land!M21=0,"",MaGic_AVM_Land!M21),"")</f>
        <v/>
      </c>
      <c r="N21" s="71" t="str">
        <f>IF(N$2="Y",IF(MaGic_AVM_Land!N21=0,"",MaGic_AVM_Land!N21),"")</f>
        <v/>
      </c>
      <c r="O21" s="71" t="str">
        <f>IF(O$2="Y",IF(MaGic_AVM_Land!O21=0,"",MaGic_AVM_Land!O21),"")</f>
        <v/>
      </c>
      <c r="P21" s="71" t="str">
        <f>IF(P$2="Y",IF(MaGic_AVM_Land!P21=0,"",MaGic_AVM_Land!P21),"")</f>
        <v/>
      </c>
      <c r="Q21" s="71" t="str">
        <f>IF(Q$2="Y",IF(MaGic_AVM_Land!Q21=0,"",MaGic_AVM_Land!Q21),"")</f>
        <v/>
      </c>
      <c r="R21" s="71" t="str">
        <f>IF(R$2="Y",IF(MaGic_AVM_Land!R21=0,"",MaGic_AVM_Land!R21),"")</f>
        <v/>
      </c>
      <c r="S21" s="71" t="str">
        <f>IF(S$2="Y",IF(MaGic_AVM_Land!S21=0,"",MaGic_AVM_Land!S21),"")</f>
        <v/>
      </c>
      <c r="T21" s="71" t="str">
        <f>IF(T$2="Y",IF(MaGic_AVM_Land!T21=0,"",MaGic_AVM_Land!T21),"")</f>
        <v/>
      </c>
      <c r="U21" s="71" t="str">
        <f>IF(U$2="Y",IF(MaGic_AVM_Land!U21=0,"",MaGic_AVM_Land!U21),"")</f>
        <v/>
      </c>
      <c r="V21" s="71" t="str">
        <f>IF(V$2="Y",IF(MaGic_AVM_Land!V21=0,"",MaGic_AVM_Land!V21),"")</f>
        <v/>
      </c>
      <c r="W21" s="71" t="str">
        <f>IF(W$2="Y",IF(MaGic_AVM_Land!W21=0,"",MaGic_AVM_Land!W21),"")</f>
        <v/>
      </c>
      <c r="X21" s="71" t="str">
        <f>IF(X$2="Y",IF(MaGic_AVM_Land!X21=0,"",MaGic_AVM_Land!X21),"")</f>
        <v/>
      </c>
      <c r="Y21" s="71" t="str">
        <f>IF(Y$2="Y",IF(MaGic_AVM_Land!Y21=0,"",MaGic_AVM_Land!Y21),"")</f>
        <v/>
      </c>
      <c r="Z21" s="71" t="str">
        <f>IF(Z$2="Y",IF(MaGic_AVM_Land!Z21=0,"",MaGic_AVM_Land!Z21),"")</f>
        <v/>
      </c>
      <c r="AA21" s="69" t="str">
        <f t="shared" si="2"/>
        <v/>
      </c>
      <c r="AB21" s="69" t="str" cm="1">
        <f t="array" ref="AB21">_xlfn.UNIQUE(C21:Z21,TRUE,FALSE)</f>
        <v/>
      </c>
    </row>
    <row r="22" spans="1:29">
      <c r="A22" s="70">
        <v>20</v>
      </c>
      <c r="B22" s="70" t="s">
        <v>82</v>
      </c>
      <c r="C22" s="71" t="str">
        <f>IF(C$2="Y",IF(MaGic_AVM_Land!C22=0,"",MaGic_AVM_Land!C22),"")</f>
        <v/>
      </c>
      <c r="D22" s="71" t="str">
        <f>IF(D$2="Y",IF(MaGic_AVM_Land!D22=0,"",MaGic_AVM_Land!D22),"")</f>
        <v/>
      </c>
      <c r="E22" s="71" t="str">
        <f>IF(E$2="Y",IF(MaGic_AVM_Land!E22=0,"",MaGic_AVM_Land!E22),"")</f>
        <v/>
      </c>
      <c r="F22" s="71" t="str">
        <f>IF(F$2="Y",IF(MaGic_AVM_Land!F22=0,"",MaGic_AVM_Land!F22),"")</f>
        <v/>
      </c>
      <c r="G22" s="71" t="str">
        <f>IF(G$2="Y",IF(MaGic_AVM_Land!G22=0,"",MaGic_AVM_Land!G22),"")</f>
        <v/>
      </c>
      <c r="H22" s="71" t="str">
        <f>IF(H$2="Y",IF(MaGic_AVM_Land!H22=0,"",MaGic_AVM_Land!H22),"")</f>
        <v/>
      </c>
      <c r="I22" s="71" t="str">
        <f>IF(I$2="Y",IF(MaGic_AVM_Land!I22=0,"",MaGic_AVM_Land!I22),"")</f>
        <v/>
      </c>
      <c r="J22" s="71" t="str">
        <f>IF(J$2="Y",IF(MaGic_AVM_Land!J22=0,"",MaGic_AVM_Land!J22),"")</f>
        <v/>
      </c>
      <c r="K22" s="71" t="str">
        <f>IF(K$2="Y",IF(MaGic_AVM_Land!K22=0,"",MaGic_AVM_Land!K22),"")</f>
        <v/>
      </c>
      <c r="L22" s="71" t="str">
        <f>IF(L$2="Y",IF(MaGic_AVM_Land!L22=0,"",MaGic_AVM_Land!L22),"")</f>
        <v/>
      </c>
      <c r="M22" s="71" t="str">
        <f>IF(M$2="Y",IF(MaGic_AVM_Land!M22=0,"",MaGic_AVM_Land!M22),"")</f>
        <v/>
      </c>
      <c r="N22" s="71" t="str">
        <f>IF(N$2="Y",IF(MaGic_AVM_Land!N22=0,"",MaGic_AVM_Land!N22),"")</f>
        <v/>
      </c>
      <c r="O22" s="71" t="str">
        <f>IF(O$2="Y",IF(MaGic_AVM_Land!O22=0,"",MaGic_AVM_Land!O22),"")</f>
        <v/>
      </c>
      <c r="P22" s="71" t="str">
        <f>IF(P$2="Y",IF(MaGic_AVM_Land!P22=0,"",MaGic_AVM_Land!P22),"")</f>
        <v/>
      </c>
      <c r="Q22" s="71" t="str">
        <f>IF(Q$2="Y",IF(MaGic_AVM_Land!Q22=0,"",MaGic_AVM_Land!Q22),"")</f>
        <v/>
      </c>
      <c r="R22" s="71" t="str">
        <f>IF(R$2="Y",IF(MaGic_AVM_Land!R22=0,"",MaGic_AVM_Land!R22),"")</f>
        <v/>
      </c>
      <c r="S22" s="71" t="str">
        <f>IF(S$2="Y",IF(MaGic_AVM_Land!S22=0,"",MaGic_AVM_Land!S22),"")</f>
        <v/>
      </c>
      <c r="T22" s="71" t="str">
        <f>IF(T$2="Y",IF(MaGic_AVM_Land!T22=0,"",MaGic_AVM_Land!T22),"")</f>
        <v/>
      </c>
      <c r="U22" s="71" t="str">
        <f>IF(U$2="Y",IF(MaGic_AVM_Land!U22=0,"",MaGic_AVM_Land!U22),"")</f>
        <v/>
      </c>
      <c r="V22" s="71" t="str">
        <f>IF(V$2="Y",IF(MaGic_AVM_Land!V22=0,"",MaGic_AVM_Land!V22),"")</f>
        <v/>
      </c>
      <c r="W22" s="71" t="str">
        <f>IF(W$2="Y",IF(MaGic_AVM_Land!W22=0,"",MaGic_AVM_Land!W22),"")</f>
        <v/>
      </c>
      <c r="X22" s="71" t="str">
        <f>IF(X$2="Y",IF(MaGic_AVM_Land!X22=0,"",MaGic_AVM_Land!X22),"")</f>
        <v/>
      </c>
      <c r="Y22" s="71" t="str">
        <f>IF(Y$2="Y",IF(MaGic_AVM_Land!Y22=0,"",MaGic_AVM_Land!Y22),"")</f>
        <v/>
      </c>
      <c r="Z22" s="71" t="str">
        <f>IF(Z$2="Y",IF(MaGic_AVM_Land!Z22=0,"",MaGic_AVM_Land!Z22),"")</f>
        <v/>
      </c>
      <c r="AA22" s="69" t="str">
        <f t="shared" si="2"/>
        <v/>
      </c>
      <c r="AB22" s="69" t="str" cm="1">
        <f t="array" ref="AB22">_xlfn.UNIQUE(C22:Z22,TRUE,FALSE)</f>
        <v/>
      </c>
    </row>
    <row r="23" spans="1:29">
      <c r="A23" s="70">
        <v>21</v>
      </c>
      <c r="B23" s="70" t="s">
        <v>83</v>
      </c>
      <c r="C23" s="70" t="str">
        <f>IF(C$2="Y",IF(MaGic_AVM_Land!C23=0,"",MaGic_AVM_Land!C23),"")</f>
        <v/>
      </c>
      <c r="D23" s="70" t="str">
        <f>IF(D$2="Y",IF(MaGic_AVM_Land!D23=0,"",MaGic_AVM_Land!D23),"")</f>
        <v/>
      </c>
      <c r="E23" s="70">
        <f>IF(E$2="Y",IF(MaGic_AVM_Land!E23=0,"",MaGic_AVM_Land!E23),"")</f>
        <v>0.79</v>
      </c>
      <c r="F23" s="70" t="str">
        <f>IF(F$2="Y",IF(MaGic_AVM_Land!F23=0,"",MaGic_AVM_Land!F23),"")</f>
        <v/>
      </c>
      <c r="G23" s="70" t="str">
        <f>IF(G$2="Y",IF(MaGic_AVM_Land!G23=0,"",MaGic_AVM_Land!G23),"")</f>
        <v/>
      </c>
      <c r="H23" s="70" t="str">
        <f>IF(H$2="Y",IF(MaGic_AVM_Land!H23=0,"",MaGic_AVM_Land!H23),"")</f>
        <v/>
      </c>
      <c r="I23" s="70" t="str">
        <f>IF(I$2="Y",IF(MaGic_AVM_Land!I23=0,"",MaGic_AVM_Land!I23),"")</f>
        <v/>
      </c>
      <c r="J23" s="70" t="str">
        <f>IF(J$2="Y",IF(MaGic_AVM_Land!J23=0,"",MaGic_AVM_Land!J23),"")</f>
        <v/>
      </c>
      <c r="K23" s="70" t="str">
        <f>IF(K$2="Y",IF(MaGic_AVM_Land!K23=0,"",MaGic_AVM_Land!K23),"")</f>
        <v/>
      </c>
      <c r="L23" s="70" t="str">
        <f>IF(L$2="Y",IF(MaGic_AVM_Land!L23=0,"",MaGic_AVM_Land!L23),"")</f>
        <v/>
      </c>
      <c r="M23" s="70" t="str">
        <f>IF(M$2="Y",IF(MaGic_AVM_Land!M23=0,"",MaGic_AVM_Land!M23),"")</f>
        <v/>
      </c>
      <c r="N23" s="70" t="str">
        <f>IF(N$2="Y",IF(MaGic_AVM_Land!N23=0,"",MaGic_AVM_Land!N23),"")</f>
        <v/>
      </c>
      <c r="O23" s="70" t="str">
        <f>IF(O$2="Y",IF(MaGic_AVM_Land!O23=0,"",MaGic_AVM_Land!O23),"")</f>
        <v/>
      </c>
      <c r="P23" s="70" t="str">
        <f>IF(P$2="Y",IF(MaGic_AVM_Land!P23=0,"",MaGic_AVM_Land!P23),"")</f>
        <v/>
      </c>
      <c r="Q23" s="70" t="str">
        <f>IF(Q$2="Y",IF(MaGic_AVM_Land!Q23=0,"",MaGic_AVM_Land!Q23),"")</f>
        <v/>
      </c>
      <c r="R23" s="70" t="str">
        <f>IF(R$2="Y",IF(MaGic_AVM_Land!R23=0,"",MaGic_AVM_Land!R23),"")</f>
        <v/>
      </c>
      <c r="S23" s="70" t="str">
        <f>IF(S$2="Y",IF(MaGic_AVM_Land!S23=0,"",MaGic_AVM_Land!S23),"")</f>
        <v/>
      </c>
      <c r="T23" s="70" t="str">
        <f>IF(T$2="Y",IF(MaGic_AVM_Land!T23=0,"",MaGic_AVM_Land!T23),"")</f>
        <v/>
      </c>
      <c r="U23" s="70" t="str">
        <f>IF(U$2="Y",IF(MaGic_AVM_Land!U23=0,"",MaGic_AVM_Land!U23),"")</f>
        <v/>
      </c>
      <c r="V23" s="70" t="str">
        <f>IF(V$2="Y",IF(MaGic_AVM_Land!V23=0,"",MaGic_AVM_Land!V23),"")</f>
        <v/>
      </c>
      <c r="W23" s="70" t="str">
        <f>IF(W$2="Y",IF(MaGic_AVM_Land!W23=0,"",MaGic_AVM_Land!W23),"")</f>
        <v/>
      </c>
      <c r="X23" s="70" t="str">
        <f>IF(X$2="Y",IF(MaGic_AVM_Land!X23=0,"",MaGic_AVM_Land!X23),"")</f>
        <v/>
      </c>
      <c r="Y23" s="70" t="str">
        <f>IF(Y$2="Y",IF(MaGic_AVM_Land!Y23=0,"",MaGic_AVM_Land!Y23),"")</f>
        <v/>
      </c>
      <c r="Z23" s="70" t="str">
        <f>IF(Z$2="Y",IF(MaGic_AVM_Land!Z23=0,"",MaGic_AVM_Land!Z23),"")</f>
        <v/>
      </c>
      <c r="AA23" s="69">
        <f>SUM(C23:Z23)</f>
        <v>0.79</v>
      </c>
      <c r="AB23" s="69" t="str" cm="1">
        <f t="array" ref="AB23:AC23">_xlfn.UNIQUE(C23:Z23,TRUE,FALSE)</f>
        <v/>
      </c>
      <c r="AC23" s="69">
        <v>0.79</v>
      </c>
    </row>
    <row r="24" spans="1:29">
      <c r="A24" s="70">
        <v>22</v>
      </c>
      <c r="B24" s="70" t="s">
        <v>84</v>
      </c>
      <c r="C24" s="70" t="str">
        <f>IF(C$2="Y",IF(MaGic_AVM_Land!C24=0,"",MaGic_AVM_Land!C24),"")</f>
        <v/>
      </c>
      <c r="D24" s="70" t="str">
        <f>IF(D$2="Y",IF(MaGic_AVM_Land!D24=0,"",MaGic_AVM_Land!D24),"")</f>
        <v/>
      </c>
      <c r="E24" s="70" t="str">
        <f>IF(E$2="Y",IF(MaGic_AVM_Land!E24=0,"",MaGic_AVM_Land!E24),"")</f>
        <v/>
      </c>
      <c r="F24" s="70" t="str">
        <f>IF(F$2="Y",IF(MaGic_AVM_Land!F24=0,"",MaGic_AVM_Land!F24),"")</f>
        <v/>
      </c>
      <c r="G24" s="70" t="str">
        <f>IF(G$2="Y",IF(MaGic_AVM_Land!G24=0,"",MaGic_AVM_Land!G24),"")</f>
        <v/>
      </c>
      <c r="H24" s="70" t="str">
        <f>IF(H$2="Y",IF(MaGic_AVM_Land!H24=0,"",MaGic_AVM_Land!H24),"")</f>
        <v/>
      </c>
      <c r="I24" s="70" t="str">
        <f>IF(I$2="Y",IF(MaGic_AVM_Land!I24=0,"",MaGic_AVM_Land!I24),"")</f>
        <v/>
      </c>
      <c r="J24" s="70" t="str">
        <f>IF(J$2="Y",IF(MaGic_AVM_Land!J24=0,"",MaGic_AVM_Land!J24),"")</f>
        <v/>
      </c>
      <c r="K24" s="70" t="str">
        <f>IF(K$2="Y",IF(MaGic_AVM_Land!K24=0,"",MaGic_AVM_Land!K24),"")</f>
        <v/>
      </c>
      <c r="L24" s="70" t="str">
        <f>IF(L$2="Y",IF(MaGic_AVM_Land!L24=0,"",MaGic_AVM_Land!L24),"")</f>
        <v/>
      </c>
      <c r="M24" s="70" t="str">
        <f>IF(M$2="Y",IF(MaGic_AVM_Land!M24=0,"",MaGic_AVM_Land!M24),"")</f>
        <v/>
      </c>
      <c r="N24" s="70" t="str">
        <f>IF(N$2="Y",IF(MaGic_AVM_Land!N24=0,"",MaGic_AVM_Land!N24),"")</f>
        <v/>
      </c>
      <c r="O24" s="70" t="str">
        <f>IF(O$2="Y",IF(MaGic_AVM_Land!O24=0,"",MaGic_AVM_Land!O24),"")</f>
        <v/>
      </c>
      <c r="P24" s="70" t="str">
        <f>IF(P$2="Y",IF(MaGic_AVM_Land!P24=0,"",MaGic_AVM_Land!P24),"")</f>
        <v/>
      </c>
      <c r="Q24" s="70" t="str">
        <f>IF(Q$2="Y",IF(MaGic_AVM_Land!Q24=0,"",MaGic_AVM_Land!Q24),"")</f>
        <v/>
      </c>
      <c r="R24" s="70" t="str">
        <f>IF(R$2="Y",IF(MaGic_AVM_Land!R24=0,"",MaGic_AVM_Land!R24),"")</f>
        <v/>
      </c>
      <c r="S24" s="70" t="str">
        <f>IF(S$2="Y",IF(MaGic_AVM_Land!S24=0,"",MaGic_AVM_Land!S24),"")</f>
        <v/>
      </c>
      <c r="T24" s="70" t="str">
        <f>IF(T$2="Y",IF(MaGic_AVM_Land!T24=0,"",MaGic_AVM_Land!T24),"")</f>
        <v/>
      </c>
      <c r="U24" s="70" t="str">
        <f>IF(U$2="Y",IF(MaGic_AVM_Land!U24=0,"",MaGic_AVM_Land!U24),"")</f>
        <v/>
      </c>
      <c r="V24" s="70" t="str">
        <f>IF(V$2="Y",IF(MaGic_AVM_Land!V24=0,"",MaGic_AVM_Land!V24),"")</f>
        <v/>
      </c>
      <c r="W24" s="70" t="str">
        <f>IF(W$2="Y",IF(MaGic_AVM_Land!W24=0,"",MaGic_AVM_Land!W24),"")</f>
        <v/>
      </c>
      <c r="X24" s="70" t="str">
        <f>IF(X$2="Y",IF(MaGic_AVM_Land!X24=0,"",MaGic_AVM_Land!X24),"")</f>
        <v/>
      </c>
      <c r="Y24" s="70" t="str">
        <f>IF(Y$2="Y",IF(MaGic_AVM_Land!Y24=0,"",MaGic_AVM_Land!Y24),"")</f>
        <v/>
      </c>
      <c r="Z24" s="70" t="str">
        <f>IF(Z$2="Y",IF(MaGic_AVM_Land!Z24=0,"",MaGic_AVM_Land!Z24),"")</f>
        <v/>
      </c>
      <c r="AA24" s="69" t="str">
        <f>_xlfn.TEXTJOIN(", ",TRUE,AB24:AZ24)</f>
        <v/>
      </c>
      <c r="AB24" s="69" t="str" cm="1">
        <f t="array" ref="AB24">_xlfn.UNIQUE(C24:Z24,TRUE,FALSE)</f>
        <v/>
      </c>
    </row>
    <row r="25" spans="1:29">
      <c r="A25" s="70"/>
      <c r="B25" s="70" t="s">
        <v>168</v>
      </c>
      <c r="C25" s="70" t="str">
        <f>IF(C$2="Y",IF(MaGic_AVM_Land!C25=0,"",MaGic_AVM_Land!C25),"")</f>
        <v/>
      </c>
      <c r="D25" s="70" t="str">
        <f>IF(D$2="Y",IF(MaGic_AVM_Land!D25=0,"",MaGic_AVM_Land!D25),"")</f>
        <v/>
      </c>
      <c r="E25" s="70" t="str">
        <f>IF(E$2="Y",IF(MaGic_AVM_Land!E25=0,"",MaGic_AVM_Land!E25),"")</f>
        <v/>
      </c>
      <c r="F25" s="70" t="str">
        <f>IF(F$2="Y",IF(MaGic_AVM_Land!F25=0,"",MaGic_AVM_Land!F25),"")</f>
        <v/>
      </c>
      <c r="G25" s="70" t="str">
        <f>IF(G$2="Y",IF(MaGic_AVM_Land!G25=0,"",MaGic_AVM_Land!G25),"")</f>
        <v/>
      </c>
      <c r="H25" s="70" t="str">
        <f>IF(H$2="Y",IF(MaGic_AVM_Land!H25=0,"",MaGic_AVM_Land!H25),"")</f>
        <v/>
      </c>
      <c r="I25" s="70" t="str">
        <f>IF(I$2="Y",IF(MaGic_AVM_Land!I25=0,"",MaGic_AVM_Land!I25),"")</f>
        <v/>
      </c>
      <c r="J25" s="70" t="str">
        <f>IF(J$2="Y",IF(MaGic_AVM_Land!J25=0,"",MaGic_AVM_Land!J25),"")</f>
        <v/>
      </c>
      <c r="K25" s="70" t="str">
        <f>IF(K$2="Y",IF(MaGic_AVM_Land!K25=0,"",MaGic_AVM_Land!K25),"")</f>
        <v/>
      </c>
      <c r="L25" s="70" t="str">
        <f>IF(L$2="Y",IF(MaGic_AVM_Land!L25=0,"",MaGic_AVM_Land!L25),"")</f>
        <v/>
      </c>
      <c r="M25" s="70" t="str">
        <f>IF(M$2="Y",IF(MaGic_AVM_Land!M25=0,"",MaGic_AVM_Land!M25),"")</f>
        <v/>
      </c>
      <c r="N25" s="70" t="str">
        <f>IF(N$2="Y",IF(MaGic_AVM_Land!N25=0,"",MaGic_AVM_Land!N25),"")</f>
        <v/>
      </c>
      <c r="O25" s="70" t="str">
        <f>IF(O$2="Y",IF(MaGic_AVM_Land!O25=0,"",MaGic_AVM_Land!O25),"")</f>
        <v/>
      </c>
      <c r="P25" s="70" t="str">
        <f>IF(P$2="Y",IF(MaGic_AVM_Land!P25=0,"",MaGic_AVM_Land!P25),"")</f>
        <v/>
      </c>
      <c r="Q25" s="70" t="str">
        <f>IF(Q$2="Y",IF(MaGic_AVM_Land!Q25=0,"",MaGic_AVM_Land!Q25),"")</f>
        <v/>
      </c>
      <c r="R25" s="70" t="str">
        <f>IF(R$2="Y",IF(MaGic_AVM_Land!R25=0,"",MaGic_AVM_Land!R25),"")</f>
        <v/>
      </c>
      <c r="S25" s="70" t="str">
        <f>IF(S$2="Y",IF(MaGic_AVM_Land!S25=0,"",MaGic_AVM_Land!S25),"")</f>
        <v/>
      </c>
      <c r="T25" s="70" t="str">
        <f>IF(T$2="Y",IF(MaGic_AVM_Land!T25=0,"",MaGic_AVM_Land!T25),"")</f>
        <v/>
      </c>
      <c r="U25" s="70" t="str">
        <f>IF(U$2="Y",IF(MaGic_AVM_Land!U25=0,"",MaGic_AVM_Land!U25),"")</f>
        <v/>
      </c>
      <c r="V25" s="70" t="str">
        <f>IF(V$2="Y",IF(MaGic_AVM_Land!V25=0,"",MaGic_AVM_Land!V25),"")</f>
        <v/>
      </c>
      <c r="W25" s="70" t="str">
        <f>IF(W$2="Y",IF(MaGic_AVM_Land!W25=0,"",MaGic_AVM_Land!W25),"")</f>
        <v/>
      </c>
      <c r="X25" s="70" t="str">
        <f>IF(X$2="Y",IF(MaGic_AVM_Land!X25=0,"",MaGic_AVM_Land!X25),"")</f>
        <v/>
      </c>
      <c r="Y25" s="70" t="str">
        <f>IF(Y$2="Y",IF(MaGic_AVM_Land!Y25=0,"",MaGic_AVM_Land!Y25),"")</f>
        <v/>
      </c>
      <c r="Z25" s="70" t="str">
        <f>IF(Z$2="Y",IF(MaGic_AVM_Land!Z25=0,"",MaGic_AVM_Land!Z25),"")</f>
        <v/>
      </c>
      <c r="AB25" s="69" t="str" cm="1">
        <f t="array" ref="AB25">_xlfn.UNIQUE(C25:Z25,TRUE,FALSE)</f>
        <v/>
      </c>
    </row>
    <row r="26" spans="1:29" s="68" customFormat="1">
      <c r="A26" s="72">
        <v>24</v>
      </c>
      <c r="B26" s="72" t="s">
        <v>91</v>
      </c>
      <c r="C26" s="72" t="str">
        <f>IF(C$2="Y",IF(MaGic_AVM_Land!C26=0,"",MaGic_AVM_Land!C26),"")</f>
        <v/>
      </c>
      <c r="D26" s="72" t="str">
        <f>IF(D$2="Y",IF(MaGic_AVM_Land!D26=0,"",MaGic_AVM_Land!D26),"")</f>
        <v/>
      </c>
      <c r="E26" s="72" t="str">
        <f>IF(E$2="Y",IF(MaGic_AVM_Land!E26=0,"",MaGic_AVM_Land!E26),"")</f>
        <v/>
      </c>
      <c r="F26" s="72" t="str">
        <f>IF(F$2="Y",IF(MaGic_AVM_Land!F26=0,"",MaGic_AVM_Land!F26),"")</f>
        <v/>
      </c>
      <c r="G26" s="72" t="str">
        <f>IF(G$2="Y",IF(MaGic_AVM_Land!G26=0,"",MaGic_AVM_Land!G26),"")</f>
        <v/>
      </c>
      <c r="H26" s="72" t="str">
        <f>IF(H$2="Y",IF(MaGic_AVM_Land!H26=0,"",MaGic_AVM_Land!H26),"")</f>
        <v/>
      </c>
      <c r="I26" s="72" t="str">
        <f>IF(I$2="Y",IF(MaGic_AVM_Land!I26=0,"",MaGic_AVM_Land!I26),"")</f>
        <v/>
      </c>
      <c r="J26" s="72" t="str">
        <f>IF(J$2="Y",IF(MaGic_AVM_Land!J26=0,"",MaGic_AVM_Land!J26),"")</f>
        <v/>
      </c>
      <c r="K26" s="72" t="str">
        <f>IF(K$2="Y",IF(MaGic_AVM_Land!K26=0,"",MaGic_AVM_Land!K26),"")</f>
        <v/>
      </c>
      <c r="L26" s="72" t="str">
        <f>IF(L$2="Y",IF(MaGic_AVM_Land!L26=0,"",MaGic_AVM_Land!L26),"")</f>
        <v/>
      </c>
      <c r="M26" s="72" t="str">
        <f>IF(M$2="Y",IF(MaGic_AVM_Land!M26=0,"",MaGic_AVM_Land!M26),"")</f>
        <v/>
      </c>
      <c r="N26" s="72" t="str">
        <f>IF(N$2="Y",IF(MaGic_AVM_Land!N26=0,"",MaGic_AVM_Land!N26),"")</f>
        <v/>
      </c>
      <c r="O26" s="72" t="str">
        <f>IF(O$2="Y",IF(MaGic_AVM_Land!O26=0,"",MaGic_AVM_Land!O26),"")</f>
        <v/>
      </c>
      <c r="P26" s="72" t="str">
        <f>IF(P$2="Y",IF(MaGic_AVM_Land!P26=0,"",MaGic_AVM_Land!P26),"")</f>
        <v/>
      </c>
      <c r="Q26" s="72" t="str">
        <f>IF(Q$2="Y",IF(MaGic_AVM_Land!Q26=0,"",MaGic_AVM_Land!Q26),"")</f>
        <v/>
      </c>
      <c r="R26" s="72" t="str">
        <f>IF(R$2="Y",IF(MaGic_AVM_Land!R26=0,"",MaGic_AVM_Land!R26),"")</f>
        <v/>
      </c>
      <c r="S26" s="72" t="str">
        <f>IF(S$2="Y",IF(MaGic_AVM_Land!S26=0,"",MaGic_AVM_Land!S26),"")</f>
        <v/>
      </c>
      <c r="T26" s="72" t="str">
        <f>IF(T$2="Y",IF(MaGic_AVM_Land!T26=0,"",MaGic_AVM_Land!T26),"")</f>
        <v/>
      </c>
      <c r="U26" s="72" t="str">
        <f>IF(U$2="Y",IF(MaGic_AVM_Land!U26=0,"",MaGic_AVM_Land!U26),"")</f>
        <v/>
      </c>
      <c r="V26" s="72" t="str">
        <f>IF(V$2="Y",IF(MaGic_AVM_Land!V26=0,"",MaGic_AVM_Land!V26),"")</f>
        <v/>
      </c>
      <c r="W26" s="72" t="str">
        <f>IF(W$2="Y",IF(MaGic_AVM_Land!W26=0,"",MaGic_AVM_Land!W26),"")</f>
        <v/>
      </c>
      <c r="X26" s="72" t="str">
        <f>IF(X$2="Y",IF(MaGic_AVM_Land!X26=0,"",MaGic_AVM_Land!X26),"")</f>
        <v/>
      </c>
      <c r="Y26" s="72" t="str">
        <f>IF(Y$2="Y",IF(MaGic_AVM_Land!Y26=0,"",MaGic_AVM_Land!Y26),"")</f>
        <v/>
      </c>
      <c r="Z26" s="72" t="str">
        <f>IF(Z$2="Y",IF(MaGic_AVM_Land!Z26=0,"",MaGic_AVM_Land!Z26),"")</f>
        <v/>
      </c>
      <c r="AA26" s="68" t="str">
        <f>_xlfn.TEXTJOIN(",",TRUE,AB26:AZ26)</f>
        <v/>
      </c>
      <c r="AB26" s="68" t="str" cm="1">
        <f t="array" ref="AB26">_xlfn.UNIQUE(C26:Z26,TRUE,FALSE)</f>
        <v/>
      </c>
    </row>
    <row r="27" spans="1:29" s="68" customFormat="1">
      <c r="A27" s="72">
        <v>25</v>
      </c>
      <c r="B27" s="72" t="s">
        <v>94</v>
      </c>
      <c r="C27" s="72" t="str">
        <f>IF(C$2="Y",IF(MaGic_AVM_Land!C27=0,"",MaGic_AVM_Land!C27),"")</f>
        <v/>
      </c>
      <c r="D27" s="72" t="str">
        <f>IF(D$2="Y",IF(MaGic_AVM_Land!D27=0,"",MaGic_AVM_Land!D27),"")</f>
        <v/>
      </c>
      <c r="E27" s="72" t="str">
        <f>IF(E$2="Y",IF(MaGic_AVM_Land!E27=0,"",MaGic_AVM_Land!E27),"")</f>
        <v/>
      </c>
      <c r="F27" s="72" t="str">
        <f>IF(F$2="Y",IF(MaGic_AVM_Land!F27=0,"",MaGic_AVM_Land!F27),"")</f>
        <v/>
      </c>
      <c r="G27" s="72" t="str">
        <f>IF(G$2="Y",IF(MaGic_AVM_Land!G27=0,"",MaGic_AVM_Land!G27),"")</f>
        <v/>
      </c>
      <c r="H27" s="72" t="str">
        <f>IF(H$2="Y",IF(MaGic_AVM_Land!H27=0,"",MaGic_AVM_Land!H27),"")</f>
        <v/>
      </c>
      <c r="I27" s="72" t="str">
        <f>IF(I$2="Y",IF(MaGic_AVM_Land!I27=0,"",MaGic_AVM_Land!I27),"")</f>
        <v/>
      </c>
      <c r="J27" s="72" t="str">
        <f>IF(J$2="Y",IF(MaGic_AVM_Land!J27=0,"",MaGic_AVM_Land!J27),"")</f>
        <v/>
      </c>
      <c r="K27" s="72" t="str">
        <f>IF(K$2="Y",IF(MaGic_AVM_Land!K27=0,"",MaGic_AVM_Land!K27),"")</f>
        <v/>
      </c>
      <c r="L27" s="72" t="str">
        <f>IF(L$2="Y",IF(MaGic_AVM_Land!L27=0,"",MaGic_AVM_Land!L27),"")</f>
        <v/>
      </c>
      <c r="M27" s="72" t="str">
        <f>IF(M$2="Y",IF(MaGic_AVM_Land!M27=0,"",MaGic_AVM_Land!M27),"")</f>
        <v/>
      </c>
      <c r="N27" s="72" t="str">
        <f>IF(N$2="Y",IF(MaGic_AVM_Land!N27=0,"",MaGic_AVM_Land!N27),"")</f>
        <v/>
      </c>
      <c r="O27" s="72" t="str">
        <f>IF(O$2="Y",IF(MaGic_AVM_Land!O27=0,"",MaGic_AVM_Land!O27),"")</f>
        <v/>
      </c>
      <c r="P27" s="72" t="str">
        <f>IF(P$2="Y",IF(MaGic_AVM_Land!P27=0,"",MaGic_AVM_Land!P27),"")</f>
        <v/>
      </c>
      <c r="Q27" s="72" t="str">
        <f>IF(Q$2="Y",IF(MaGic_AVM_Land!Q27=0,"",MaGic_AVM_Land!Q27),"")</f>
        <v/>
      </c>
      <c r="R27" s="72" t="str">
        <f>IF(R$2="Y",IF(MaGic_AVM_Land!R27=0,"",MaGic_AVM_Land!R27),"")</f>
        <v/>
      </c>
      <c r="S27" s="72" t="str">
        <f>IF(S$2="Y",IF(MaGic_AVM_Land!S27=0,"",MaGic_AVM_Land!S27),"")</f>
        <v/>
      </c>
      <c r="T27" s="72" t="str">
        <f>IF(T$2="Y",IF(MaGic_AVM_Land!T27=0,"",MaGic_AVM_Land!T27),"")</f>
        <v/>
      </c>
      <c r="U27" s="72" t="str">
        <f>IF(U$2="Y",IF(MaGic_AVM_Land!U27=0,"",MaGic_AVM_Land!U27),"")</f>
        <v/>
      </c>
      <c r="V27" s="72" t="str">
        <f>IF(V$2="Y",IF(MaGic_AVM_Land!V27=0,"",MaGic_AVM_Land!V27),"")</f>
        <v/>
      </c>
      <c r="W27" s="72" t="str">
        <f>IF(W$2="Y",IF(MaGic_AVM_Land!W27=0,"",MaGic_AVM_Land!W27),"")</f>
        <v/>
      </c>
      <c r="X27" s="72" t="str">
        <f>IF(X$2="Y",IF(MaGic_AVM_Land!X27=0,"",MaGic_AVM_Land!X27),"")</f>
        <v/>
      </c>
      <c r="Y27" s="72" t="str">
        <f>IF(Y$2="Y",IF(MaGic_AVM_Land!Y27=0,"",MaGic_AVM_Land!Y27),"")</f>
        <v/>
      </c>
      <c r="Z27" s="72" t="str">
        <f>IF(Z$2="Y",IF(MaGic_AVM_Land!Z27=0,"",MaGic_AVM_Land!Z27),"")</f>
        <v/>
      </c>
      <c r="AA27" s="68" t="str">
        <f t="shared" ref="AA27:AA29" si="3">_xlfn.TEXTJOIN(",",TRUE,AB27:AZ27)</f>
        <v/>
      </c>
      <c r="AB27" s="68" t="str" cm="1">
        <f t="array" ref="AB27">_xlfn.UNIQUE(C27:Z27,TRUE,FALSE)</f>
        <v/>
      </c>
    </row>
    <row r="28" spans="1:29" s="68" customFormat="1">
      <c r="A28" s="72">
        <v>26</v>
      </c>
      <c r="B28" s="72" t="s">
        <v>97</v>
      </c>
      <c r="C28" s="72" t="str">
        <f>IF(C$2="Y",IF(MaGic_AVM_Land!C28=0,"",MaGic_AVM_Land!C28),"")</f>
        <v/>
      </c>
      <c r="D28" s="72" t="str">
        <f>IF(D$2="Y",IF(MaGic_AVM_Land!D28=0,"",MaGic_AVM_Land!D28),"")</f>
        <v/>
      </c>
      <c r="E28" s="72" t="str">
        <f>IF(E$2="Y",IF(MaGic_AVM_Land!E28=0,"",MaGic_AVM_Land!E28),"")</f>
        <v/>
      </c>
      <c r="F28" s="72" t="str">
        <f>IF(F$2="Y",IF(MaGic_AVM_Land!F28=0,"",MaGic_AVM_Land!F28),"")</f>
        <v/>
      </c>
      <c r="G28" s="72" t="str">
        <f>IF(G$2="Y",IF(MaGic_AVM_Land!G28=0,"",MaGic_AVM_Land!G28),"")</f>
        <v/>
      </c>
      <c r="H28" s="72" t="str">
        <f>IF(H$2="Y",IF(MaGic_AVM_Land!H28=0,"",MaGic_AVM_Land!H28),"")</f>
        <v/>
      </c>
      <c r="I28" s="72" t="str">
        <f>IF(I$2="Y",IF(MaGic_AVM_Land!I28=0,"",MaGic_AVM_Land!I28),"")</f>
        <v/>
      </c>
      <c r="J28" s="72" t="str">
        <f>IF(J$2="Y",IF(MaGic_AVM_Land!J28=0,"",MaGic_AVM_Land!J28),"")</f>
        <v/>
      </c>
      <c r="K28" s="72" t="str">
        <f>IF(K$2="Y",IF(MaGic_AVM_Land!K28=0,"",MaGic_AVM_Land!K28),"")</f>
        <v/>
      </c>
      <c r="L28" s="72" t="str">
        <f>IF(L$2="Y",IF(MaGic_AVM_Land!L28=0,"",MaGic_AVM_Land!L28),"")</f>
        <v/>
      </c>
      <c r="M28" s="72" t="str">
        <f>IF(M$2="Y",IF(MaGic_AVM_Land!M28=0,"",MaGic_AVM_Land!M28),"")</f>
        <v/>
      </c>
      <c r="N28" s="72" t="str">
        <f>IF(N$2="Y",IF(MaGic_AVM_Land!N28=0,"",MaGic_AVM_Land!N28),"")</f>
        <v/>
      </c>
      <c r="O28" s="72" t="str">
        <f>IF(O$2="Y",IF(MaGic_AVM_Land!O28=0,"",MaGic_AVM_Land!O28),"")</f>
        <v/>
      </c>
      <c r="P28" s="72" t="str">
        <f>IF(P$2="Y",IF(MaGic_AVM_Land!P28=0,"",MaGic_AVM_Land!P28),"")</f>
        <v/>
      </c>
      <c r="Q28" s="72" t="str">
        <f>IF(Q$2="Y",IF(MaGic_AVM_Land!Q28=0,"",MaGic_AVM_Land!Q28),"")</f>
        <v/>
      </c>
      <c r="R28" s="72" t="str">
        <f>IF(R$2="Y",IF(MaGic_AVM_Land!R28=0,"",MaGic_AVM_Land!R28),"")</f>
        <v/>
      </c>
      <c r="S28" s="72" t="str">
        <f>IF(S$2="Y",IF(MaGic_AVM_Land!S28=0,"",MaGic_AVM_Land!S28),"")</f>
        <v/>
      </c>
      <c r="T28" s="72" t="str">
        <f>IF(T$2="Y",IF(MaGic_AVM_Land!T28=0,"",MaGic_AVM_Land!T28),"")</f>
        <v/>
      </c>
      <c r="U28" s="72" t="str">
        <f>IF(U$2="Y",IF(MaGic_AVM_Land!U28=0,"",MaGic_AVM_Land!U28),"")</f>
        <v/>
      </c>
      <c r="V28" s="72" t="str">
        <f>IF(V$2="Y",IF(MaGic_AVM_Land!V28=0,"",MaGic_AVM_Land!V28),"")</f>
        <v/>
      </c>
      <c r="W28" s="72" t="str">
        <f>IF(W$2="Y",IF(MaGic_AVM_Land!W28=0,"",MaGic_AVM_Land!W28),"")</f>
        <v/>
      </c>
      <c r="X28" s="72" t="str">
        <f>IF(X$2="Y",IF(MaGic_AVM_Land!X28=0,"",MaGic_AVM_Land!X28),"")</f>
        <v/>
      </c>
      <c r="Y28" s="72" t="str">
        <f>IF(Y$2="Y",IF(MaGic_AVM_Land!Y28=0,"",MaGic_AVM_Land!Y28),"")</f>
        <v/>
      </c>
      <c r="Z28" s="72" t="str">
        <f>IF(Z$2="Y",IF(MaGic_AVM_Land!Z28=0,"",MaGic_AVM_Land!Z28),"")</f>
        <v/>
      </c>
      <c r="AA28" s="68" t="str">
        <f t="shared" si="3"/>
        <v/>
      </c>
      <c r="AB28" s="68" t="str" cm="1">
        <f t="array" ref="AB28">_xlfn.UNIQUE(C28:Z28,TRUE,FALSE)</f>
        <v/>
      </c>
    </row>
    <row r="29" spans="1:29" s="68" customFormat="1">
      <c r="A29" s="72">
        <v>27</v>
      </c>
      <c r="B29" s="72" t="s">
        <v>100</v>
      </c>
      <c r="C29" s="72" t="str">
        <f>IF(C$2="Y",IF(MaGic_AVM_Land!C29=0,"",MaGic_AVM_Land!C29),"")</f>
        <v/>
      </c>
      <c r="D29" s="72" t="str">
        <f>IF(D$2="Y",IF(MaGic_AVM_Land!D29=0,"",MaGic_AVM_Land!D29),"")</f>
        <v/>
      </c>
      <c r="E29" s="72" t="str">
        <f>IF(E$2="Y",IF(MaGic_AVM_Land!E29=0,"",MaGic_AVM_Land!E29),"")</f>
        <v/>
      </c>
      <c r="F29" s="72" t="str">
        <f>IF(F$2="Y",IF(MaGic_AVM_Land!F29=0,"",MaGic_AVM_Land!F29),"")</f>
        <v/>
      </c>
      <c r="G29" s="72" t="str">
        <f>IF(G$2="Y",IF(MaGic_AVM_Land!G29=0,"",MaGic_AVM_Land!G29),"")</f>
        <v/>
      </c>
      <c r="H29" s="72" t="str">
        <f>IF(H$2="Y",IF(MaGic_AVM_Land!H29=0,"",MaGic_AVM_Land!H29),"")</f>
        <v/>
      </c>
      <c r="I29" s="72" t="str">
        <f>IF(I$2="Y",IF(MaGic_AVM_Land!I29=0,"",MaGic_AVM_Land!I29),"")</f>
        <v/>
      </c>
      <c r="J29" s="72" t="str">
        <f>IF(J$2="Y",IF(MaGic_AVM_Land!J29=0,"",MaGic_AVM_Land!J29),"")</f>
        <v/>
      </c>
      <c r="K29" s="72" t="str">
        <f>IF(K$2="Y",IF(MaGic_AVM_Land!K29=0,"",MaGic_AVM_Land!K29),"")</f>
        <v/>
      </c>
      <c r="L29" s="72" t="str">
        <f>IF(L$2="Y",IF(MaGic_AVM_Land!L29=0,"",MaGic_AVM_Land!L29),"")</f>
        <v/>
      </c>
      <c r="M29" s="72" t="str">
        <f>IF(M$2="Y",IF(MaGic_AVM_Land!M29=0,"",MaGic_AVM_Land!M29),"")</f>
        <v/>
      </c>
      <c r="N29" s="72" t="str">
        <f>IF(N$2="Y",IF(MaGic_AVM_Land!N29=0,"",MaGic_AVM_Land!N29),"")</f>
        <v/>
      </c>
      <c r="O29" s="72" t="str">
        <f>IF(O$2="Y",IF(MaGic_AVM_Land!O29=0,"",MaGic_AVM_Land!O29),"")</f>
        <v/>
      </c>
      <c r="P29" s="72" t="str">
        <f>IF(P$2="Y",IF(MaGic_AVM_Land!P29=0,"",MaGic_AVM_Land!P29),"")</f>
        <v/>
      </c>
      <c r="Q29" s="72" t="str">
        <f>IF(Q$2="Y",IF(MaGic_AVM_Land!Q29=0,"",MaGic_AVM_Land!Q29),"")</f>
        <v/>
      </c>
      <c r="R29" s="72" t="str">
        <f>IF(R$2="Y",IF(MaGic_AVM_Land!R29=0,"",MaGic_AVM_Land!R29),"")</f>
        <v/>
      </c>
      <c r="S29" s="72" t="str">
        <f>IF(S$2="Y",IF(MaGic_AVM_Land!S29=0,"",MaGic_AVM_Land!S29),"")</f>
        <v/>
      </c>
      <c r="T29" s="72" t="str">
        <f>IF(T$2="Y",IF(MaGic_AVM_Land!T29=0,"",MaGic_AVM_Land!T29),"")</f>
        <v/>
      </c>
      <c r="U29" s="72" t="str">
        <f>IF(U$2="Y",IF(MaGic_AVM_Land!U29=0,"",MaGic_AVM_Land!U29),"")</f>
        <v/>
      </c>
      <c r="V29" s="72" t="str">
        <f>IF(V$2="Y",IF(MaGic_AVM_Land!V29=0,"",MaGic_AVM_Land!V29),"")</f>
        <v/>
      </c>
      <c r="W29" s="72" t="str">
        <f>IF(W$2="Y",IF(MaGic_AVM_Land!W29=0,"",MaGic_AVM_Land!W29),"")</f>
        <v/>
      </c>
      <c r="X29" s="72" t="str">
        <f>IF(X$2="Y",IF(MaGic_AVM_Land!X29=0,"",MaGic_AVM_Land!X29),"")</f>
        <v/>
      </c>
      <c r="Y29" s="72" t="str">
        <f>IF(Y$2="Y",IF(MaGic_AVM_Land!Y29=0,"",MaGic_AVM_Land!Y29),"")</f>
        <v/>
      </c>
      <c r="Z29" s="72" t="str">
        <f>IF(Z$2="Y",IF(MaGic_AVM_Land!Z29=0,"",MaGic_AVM_Land!Z29),"")</f>
        <v/>
      </c>
      <c r="AA29" s="68" t="str">
        <f t="shared" si="3"/>
        <v/>
      </c>
      <c r="AB29" s="68" t="str" cm="1">
        <f t="array" ref="AB29">_xlfn.UNIQUE(C29:Z29,TRUE,FALSE)</f>
        <v/>
      </c>
    </row>
    <row r="30" spans="1:29">
      <c r="A30" s="70">
        <v>28</v>
      </c>
      <c r="B30" s="70" t="s">
        <v>175</v>
      </c>
      <c r="C30" s="70" t="str">
        <f>IF(C$2="Y",IF(MaGic_AVM_Land!C30=0,"",MaGic_AVM_Land!C30),"")</f>
        <v/>
      </c>
      <c r="D30" s="70" t="str">
        <f>IF(D$2="Y",IF(MaGic_AVM_Land!D30=0,"",MaGic_AVM_Land!D30),"")</f>
        <v/>
      </c>
      <c r="E30" s="70" t="str">
        <f>IF(E$2="Y",IF(MaGic_AVM_Land!E30=0,"",MaGic_AVM_Land!E30),"")</f>
        <v>Nil</v>
      </c>
      <c r="F30" s="70" t="str">
        <f>IF(F$2="Y",IF(MaGic_AVM_Land!F30=0,"",MaGic_AVM_Land!F30),"")</f>
        <v/>
      </c>
      <c r="G30" s="70" t="str">
        <f>IF(G$2="Y",IF(MaGic_AVM_Land!G30=0,"",MaGic_AVM_Land!G30),"")</f>
        <v/>
      </c>
      <c r="H30" s="70" t="str">
        <f>IF(H$2="Y",IF(MaGic_AVM_Land!H30=0,"",MaGic_AVM_Land!H30),"")</f>
        <v/>
      </c>
      <c r="I30" s="70" t="str">
        <f>IF(I$2="Y",IF(MaGic_AVM_Land!I30=0,"",MaGic_AVM_Land!I30),"")</f>
        <v/>
      </c>
      <c r="J30" s="70" t="str">
        <f>IF(J$2="Y",IF(MaGic_AVM_Land!J30=0,"",MaGic_AVM_Land!J30),"")</f>
        <v/>
      </c>
      <c r="K30" s="70" t="str">
        <f>IF(K$2="Y",IF(MaGic_AVM_Land!K30=0,"",MaGic_AVM_Land!K30),"")</f>
        <v/>
      </c>
      <c r="L30" s="70" t="str">
        <f>IF(L$2="Y",IF(MaGic_AVM_Land!L30=0,"",MaGic_AVM_Land!L30),"")</f>
        <v/>
      </c>
      <c r="M30" s="70" t="str">
        <f>IF(M$2="Y",IF(MaGic_AVM_Land!M30=0,"",MaGic_AVM_Land!M30),"")</f>
        <v/>
      </c>
      <c r="N30" s="70" t="str">
        <f>IF(N$2="Y",IF(MaGic_AVM_Land!N30=0,"",MaGic_AVM_Land!N30),"")</f>
        <v/>
      </c>
      <c r="O30" s="70" t="str">
        <f>IF(O$2="Y",IF(MaGic_AVM_Land!O30=0,"",MaGic_AVM_Land!O30),"")</f>
        <v/>
      </c>
      <c r="P30" s="70" t="str">
        <f>IF(P$2="Y",IF(MaGic_AVM_Land!P30=0,"",MaGic_AVM_Land!P30),"")</f>
        <v/>
      </c>
      <c r="Q30" s="70" t="str">
        <f>IF(Q$2="Y",IF(MaGic_AVM_Land!Q30=0,"",MaGic_AVM_Land!Q30),"")</f>
        <v/>
      </c>
      <c r="R30" s="70" t="str">
        <f>IF(R$2="Y",IF(MaGic_AVM_Land!R30=0,"",MaGic_AVM_Land!R30),"")</f>
        <v/>
      </c>
      <c r="S30" s="70" t="str">
        <f>IF(S$2="Y",IF(MaGic_AVM_Land!S30=0,"",MaGic_AVM_Land!S30),"")</f>
        <v/>
      </c>
      <c r="T30" s="70" t="str">
        <f>IF(T$2="Y",IF(MaGic_AVM_Land!T30=0,"",MaGic_AVM_Land!T30),"")</f>
        <v/>
      </c>
      <c r="U30" s="70" t="str">
        <f>IF(U$2="Y",IF(MaGic_AVM_Land!U30=0,"",MaGic_AVM_Land!U30),"")</f>
        <v/>
      </c>
      <c r="V30" s="70" t="str">
        <f>IF(V$2="Y",IF(MaGic_AVM_Land!V30=0,"",MaGic_AVM_Land!V30),"")</f>
        <v/>
      </c>
      <c r="W30" s="70" t="str">
        <f>IF(W$2="Y",IF(MaGic_AVM_Land!W30=0,"",MaGic_AVM_Land!W30),"")</f>
        <v/>
      </c>
      <c r="X30" s="70" t="str">
        <f>IF(X$2="Y",IF(MaGic_AVM_Land!X30=0,"",MaGic_AVM_Land!X30),"")</f>
        <v/>
      </c>
      <c r="Y30" s="70" t="str">
        <f>IF(Y$2="Y",IF(MaGic_AVM_Land!Y30=0,"",MaGic_AVM_Land!Y30),"")</f>
        <v/>
      </c>
      <c r="Z30" s="70" t="str">
        <f>IF(Z$2="Y",IF(MaGic_AVM_Land!Z30=0,"",MaGic_AVM_Land!Z30),"")</f>
        <v/>
      </c>
      <c r="AB30" s="69" t="str" cm="1">
        <f t="array" ref="AB30:AC30">_xlfn.UNIQUE(C30:Z30,TRUE,FALSE)</f>
        <v/>
      </c>
      <c r="AC30" s="69" t="str">
        <v>Nil</v>
      </c>
    </row>
    <row r="31" spans="1:29">
      <c r="A31" s="70">
        <v>29</v>
      </c>
      <c r="B31" s="70" t="s">
        <v>1103</v>
      </c>
      <c r="C31" s="70" t="str">
        <f>IF(C$2="Y",IF(MaGic_AVM_Land!C31=0,"",MaGic_AVM_Land!C31),"")</f>
        <v/>
      </c>
      <c r="D31" s="70" t="str">
        <f>IF(D$2="Y",IF(MaGic_AVM_Land!D31=0,"",MaGic_AVM_Land!D31),"")</f>
        <v/>
      </c>
      <c r="E31" s="70" t="str">
        <f>IF(E$2="Y",IF(MaGic_AVM_Land!E31=0,"",MaGic_AVM_Land!E31),"")</f>
        <v/>
      </c>
      <c r="F31" s="70" t="str">
        <f>IF(F$2="Y",IF(MaGic_AVM_Land!F31=0,"",MaGic_AVM_Land!F31),"")</f>
        <v/>
      </c>
      <c r="G31" s="70" t="str">
        <f>IF(G$2="Y",IF(MaGic_AVM_Land!G31=0,"",MaGic_AVM_Land!G31),"")</f>
        <v/>
      </c>
      <c r="H31" s="70" t="str">
        <f>IF(H$2="Y",IF(MaGic_AVM_Land!H31=0,"",MaGic_AVM_Land!H31),"")</f>
        <v/>
      </c>
      <c r="I31" s="70" t="str">
        <f>IF(I$2="Y",IF(MaGic_AVM_Land!I31=0,"",MaGic_AVM_Land!I31),"")</f>
        <v/>
      </c>
      <c r="J31" s="70" t="str">
        <f>IF(J$2="Y",IF(MaGic_AVM_Land!J31=0,"",MaGic_AVM_Land!J31),"")</f>
        <v/>
      </c>
      <c r="K31" s="70" t="str">
        <f>IF(K$2="Y",IF(MaGic_AVM_Land!K31=0,"",MaGic_AVM_Land!K31),"")</f>
        <v/>
      </c>
      <c r="L31" s="70" t="str">
        <f>IF(L$2="Y",IF(MaGic_AVM_Land!L31=0,"",MaGic_AVM_Land!L31),"")</f>
        <v/>
      </c>
      <c r="M31" s="70" t="str">
        <f>IF(M$2="Y",IF(MaGic_AVM_Land!M31=0,"",MaGic_AVM_Land!M31),"")</f>
        <v/>
      </c>
      <c r="N31" s="70" t="str">
        <f>IF(N$2="Y",IF(MaGic_AVM_Land!N31=0,"",MaGic_AVM_Land!N31),"")</f>
        <v/>
      </c>
      <c r="O31" s="70" t="str">
        <f>IF(O$2="Y",IF(MaGic_AVM_Land!O31=0,"",MaGic_AVM_Land!O31),"")</f>
        <v/>
      </c>
      <c r="P31" s="70" t="str">
        <f>IF(P$2="Y",IF(MaGic_AVM_Land!P31=0,"",MaGic_AVM_Land!P31),"")</f>
        <v/>
      </c>
      <c r="Q31" s="70" t="str">
        <f>IF(Q$2="Y",IF(MaGic_AVM_Land!Q31=0,"",MaGic_AVM_Land!Q31),"")</f>
        <v/>
      </c>
      <c r="R31" s="70" t="str">
        <f>IF(R$2="Y",IF(MaGic_AVM_Land!R31=0,"",MaGic_AVM_Land!R31),"")</f>
        <v/>
      </c>
      <c r="S31" s="70" t="str">
        <f>IF(S$2="Y",IF(MaGic_AVM_Land!S31=0,"",MaGic_AVM_Land!S31),"")</f>
        <v/>
      </c>
      <c r="T31" s="70" t="str">
        <f>IF(T$2="Y",IF(MaGic_AVM_Land!T31=0,"",MaGic_AVM_Land!T31),"")</f>
        <v/>
      </c>
      <c r="U31" s="70" t="str">
        <f>IF(U$2="Y",IF(MaGic_AVM_Land!U31=0,"",MaGic_AVM_Land!U31),"")</f>
        <v/>
      </c>
      <c r="V31" s="70" t="str">
        <f>IF(V$2="Y",IF(MaGic_AVM_Land!V31=0,"",MaGic_AVM_Land!V31),"")</f>
        <v/>
      </c>
      <c r="W31" s="70" t="str">
        <f>IF(W$2="Y",IF(MaGic_AVM_Land!W31=0,"",MaGic_AVM_Land!W31),"")</f>
        <v/>
      </c>
      <c r="X31" s="70" t="str">
        <f>IF(X$2="Y",IF(MaGic_AVM_Land!X31=0,"",MaGic_AVM_Land!X31),"")</f>
        <v/>
      </c>
      <c r="Y31" s="70" t="str">
        <f>IF(Y$2="Y",IF(MaGic_AVM_Land!Y31=0,"",MaGic_AVM_Land!Y31),"")</f>
        <v/>
      </c>
      <c r="Z31" s="70" t="str">
        <f>IF(Z$2="Y",IF(MaGic_AVM_Land!Z31=0,"",MaGic_AVM_Land!Z31),"")</f>
        <v/>
      </c>
      <c r="AB31" s="69" t="str" cm="1">
        <f t="array" ref="AB31">_xlfn.UNIQUE(C31:Z31,TRUE,FALSE)</f>
        <v/>
      </c>
    </row>
    <row r="32" spans="1:29">
      <c r="A32" s="70">
        <v>30</v>
      </c>
      <c r="B32" s="70" t="s">
        <v>1104</v>
      </c>
      <c r="C32" s="70" t="str">
        <f>IF(C$2="Y",IF(MaGic_AVM_Land!C32=0,"",MaGic_AVM_Land!C32),"")</f>
        <v/>
      </c>
      <c r="D32" s="70" t="str">
        <f>IF(D$2="Y",IF(MaGic_AVM_Land!D32=0,"",MaGic_AVM_Land!D32),"")</f>
        <v/>
      </c>
      <c r="E32" s="70" t="str">
        <f>IF(E$2="Y",IF(MaGic_AVM_Land!E32=0,"",MaGic_AVM_Land!E32),"")</f>
        <v/>
      </c>
      <c r="F32" s="70" t="str">
        <f>IF(F$2="Y",IF(MaGic_AVM_Land!F32=0,"",MaGic_AVM_Land!F32),"")</f>
        <v/>
      </c>
      <c r="G32" s="70" t="str">
        <f>IF(G$2="Y",IF(MaGic_AVM_Land!G32=0,"",MaGic_AVM_Land!G32),"")</f>
        <v/>
      </c>
      <c r="H32" s="70" t="str">
        <f>IF(H$2="Y",IF(MaGic_AVM_Land!H32=0,"",MaGic_AVM_Land!H32),"")</f>
        <v/>
      </c>
      <c r="I32" s="70" t="str">
        <f>IF(I$2="Y",IF(MaGic_AVM_Land!I32=0,"",MaGic_AVM_Land!I32),"")</f>
        <v/>
      </c>
      <c r="J32" s="70" t="str">
        <f>IF(J$2="Y",IF(MaGic_AVM_Land!J32=0,"",MaGic_AVM_Land!J32),"")</f>
        <v/>
      </c>
      <c r="K32" s="70" t="str">
        <f>IF(K$2="Y",IF(MaGic_AVM_Land!K32=0,"",MaGic_AVM_Land!K32),"")</f>
        <v/>
      </c>
      <c r="L32" s="70" t="str">
        <f>IF(L$2="Y",IF(MaGic_AVM_Land!L32=0,"",MaGic_AVM_Land!L32),"")</f>
        <v/>
      </c>
      <c r="M32" s="70" t="str">
        <f>IF(M$2="Y",IF(MaGic_AVM_Land!M32=0,"",MaGic_AVM_Land!M32),"")</f>
        <v/>
      </c>
      <c r="N32" s="70" t="str">
        <f>IF(N$2="Y",IF(MaGic_AVM_Land!N32=0,"",MaGic_AVM_Land!N32),"")</f>
        <v/>
      </c>
      <c r="O32" s="70" t="str">
        <f>IF(O$2="Y",IF(MaGic_AVM_Land!O32=0,"",MaGic_AVM_Land!O32),"")</f>
        <v/>
      </c>
      <c r="P32" s="70" t="str">
        <f>IF(P$2="Y",IF(MaGic_AVM_Land!P32=0,"",MaGic_AVM_Land!P32),"")</f>
        <v/>
      </c>
      <c r="Q32" s="70" t="str">
        <f>IF(Q$2="Y",IF(MaGic_AVM_Land!Q32=0,"",MaGic_AVM_Land!Q32),"")</f>
        <v/>
      </c>
      <c r="R32" s="70" t="str">
        <f>IF(R$2="Y",IF(MaGic_AVM_Land!R32=0,"",MaGic_AVM_Land!R32),"")</f>
        <v/>
      </c>
      <c r="S32" s="70" t="str">
        <f>IF(S$2="Y",IF(MaGic_AVM_Land!S32=0,"",MaGic_AVM_Land!S32),"")</f>
        <v/>
      </c>
      <c r="T32" s="70" t="str">
        <f>IF(T$2="Y",IF(MaGic_AVM_Land!T32=0,"",MaGic_AVM_Land!T32),"")</f>
        <v/>
      </c>
      <c r="U32" s="70" t="str">
        <f>IF(U$2="Y",IF(MaGic_AVM_Land!U32=0,"",MaGic_AVM_Land!U32),"")</f>
        <v/>
      </c>
      <c r="V32" s="70" t="str">
        <f>IF(V$2="Y",IF(MaGic_AVM_Land!V32=0,"",MaGic_AVM_Land!V32),"")</f>
        <v/>
      </c>
      <c r="W32" s="70" t="str">
        <f>IF(W$2="Y",IF(MaGic_AVM_Land!W32=0,"",MaGic_AVM_Land!W32),"")</f>
        <v/>
      </c>
      <c r="X32" s="70" t="str">
        <f>IF(X$2="Y",IF(MaGic_AVM_Land!X32=0,"",MaGic_AVM_Land!X32),"")</f>
        <v/>
      </c>
      <c r="Y32" s="70" t="str">
        <f>IF(Y$2="Y",IF(MaGic_AVM_Land!Y32=0,"",MaGic_AVM_Land!Y32),"")</f>
        <v/>
      </c>
      <c r="Z32" s="70" t="str">
        <f>IF(Z$2="Y",IF(MaGic_AVM_Land!Z32=0,"",MaGic_AVM_Land!Z32),"")</f>
        <v/>
      </c>
      <c r="AB32" s="69" t="str" cm="1">
        <f t="array" ref="AB32">_xlfn.UNIQUE(C32:Z32,TRUE,FALSE)</f>
        <v/>
      </c>
    </row>
    <row r="33" spans="1:28">
      <c r="A33" s="70">
        <v>31</v>
      </c>
      <c r="B33" s="70" t="s">
        <v>1105</v>
      </c>
      <c r="C33" s="70" t="str">
        <f>IF(C$2="Y",IF(MaGic_AVM_Land!C33=0,"",MaGic_AVM_Land!C33),"")</f>
        <v/>
      </c>
      <c r="D33" s="70" t="str">
        <f>IF(D$2="Y",IF(MaGic_AVM_Land!D33=0,"",MaGic_AVM_Land!D33),"")</f>
        <v/>
      </c>
      <c r="E33" s="70" t="str">
        <f>IF(E$2="Y",IF(MaGic_AVM_Land!E33=0,"",MaGic_AVM_Land!E33),"")</f>
        <v/>
      </c>
      <c r="F33" s="70" t="str">
        <f>IF(F$2="Y",IF(MaGic_AVM_Land!F33=0,"",MaGic_AVM_Land!F33),"")</f>
        <v/>
      </c>
      <c r="G33" s="70" t="str">
        <f>IF(G$2="Y",IF(MaGic_AVM_Land!G33=0,"",MaGic_AVM_Land!G33),"")</f>
        <v/>
      </c>
      <c r="H33" s="70" t="str">
        <f>IF(H$2="Y",IF(MaGic_AVM_Land!H33=0,"",MaGic_AVM_Land!H33),"")</f>
        <v/>
      </c>
      <c r="I33" s="70" t="str">
        <f>IF(I$2="Y",IF(MaGic_AVM_Land!I33=0,"",MaGic_AVM_Land!I33),"")</f>
        <v/>
      </c>
      <c r="J33" s="70" t="str">
        <f>IF(J$2="Y",IF(MaGic_AVM_Land!J33=0,"",MaGic_AVM_Land!J33),"")</f>
        <v/>
      </c>
      <c r="K33" s="70" t="str">
        <f>IF(K$2="Y",IF(MaGic_AVM_Land!K33=0,"",MaGic_AVM_Land!K33),"")</f>
        <v/>
      </c>
      <c r="L33" s="70" t="str">
        <f>IF(L$2="Y",IF(MaGic_AVM_Land!L33=0,"",MaGic_AVM_Land!L33),"")</f>
        <v/>
      </c>
      <c r="M33" s="70" t="str">
        <f>IF(M$2="Y",IF(MaGic_AVM_Land!M33=0,"",MaGic_AVM_Land!M33),"")</f>
        <v/>
      </c>
      <c r="N33" s="70" t="str">
        <f>IF(N$2="Y",IF(MaGic_AVM_Land!N33=0,"",MaGic_AVM_Land!N33),"")</f>
        <v/>
      </c>
      <c r="O33" s="70" t="str">
        <f>IF(O$2="Y",IF(MaGic_AVM_Land!O33=0,"",MaGic_AVM_Land!O33),"")</f>
        <v/>
      </c>
      <c r="P33" s="70" t="str">
        <f>IF(P$2="Y",IF(MaGic_AVM_Land!P33=0,"",MaGic_AVM_Land!P33),"")</f>
        <v/>
      </c>
      <c r="Q33" s="70" t="str">
        <f>IF(Q$2="Y",IF(MaGic_AVM_Land!Q33=0,"",MaGic_AVM_Land!Q33),"")</f>
        <v/>
      </c>
      <c r="R33" s="70" t="str">
        <f>IF(R$2="Y",IF(MaGic_AVM_Land!R33=0,"",MaGic_AVM_Land!R33),"")</f>
        <v/>
      </c>
      <c r="S33" s="70" t="str">
        <f>IF(S$2="Y",IF(MaGic_AVM_Land!S33=0,"",MaGic_AVM_Land!S33),"")</f>
        <v/>
      </c>
      <c r="T33" s="70" t="str">
        <f>IF(T$2="Y",IF(MaGic_AVM_Land!T33=0,"",MaGic_AVM_Land!T33),"")</f>
        <v/>
      </c>
      <c r="U33" s="70" t="str">
        <f>IF(U$2="Y",IF(MaGic_AVM_Land!U33=0,"",MaGic_AVM_Land!U33),"")</f>
        <v/>
      </c>
      <c r="V33" s="70" t="str">
        <f>IF(V$2="Y",IF(MaGic_AVM_Land!V33=0,"",MaGic_AVM_Land!V33),"")</f>
        <v/>
      </c>
      <c r="W33" s="70" t="str">
        <f>IF(W$2="Y",IF(MaGic_AVM_Land!W33=0,"",MaGic_AVM_Land!W33),"")</f>
        <v/>
      </c>
      <c r="X33" s="70" t="str">
        <f>IF(X$2="Y",IF(MaGic_AVM_Land!X33=0,"",MaGic_AVM_Land!X33),"")</f>
        <v/>
      </c>
      <c r="Y33" s="70" t="str">
        <f>IF(Y$2="Y",IF(MaGic_AVM_Land!Y33=0,"",MaGic_AVM_Land!Y33),"")</f>
        <v/>
      </c>
      <c r="Z33" s="70" t="str">
        <f>IF(Z$2="Y",IF(MaGic_AVM_Land!Z33=0,"",MaGic_AVM_Land!Z33),"")</f>
        <v/>
      </c>
      <c r="AB33" s="69" t="str" cm="1">
        <f t="array" ref="AB33">_xlfn.UNIQUE(C33:Z33,TRUE,FALSE)</f>
        <v/>
      </c>
    </row>
    <row r="34" spans="1:28">
      <c r="A34" s="70"/>
      <c r="B34" s="70" t="s">
        <v>110</v>
      </c>
      <c r="C34" s="70" t="str">
        <f>IF(C$2="Y",IF(MaGic_AVM_Land!C34=0,"",MaGic_AVM_Land!C34),"")</f>
        <v/>
      </c>
      <c r="D34" s="70" t="str">
        <f>IF(D$2="Y",IF(MaGic_AVM_Land!D34=0,"",MaGic_AVM_Land!D34),"")</f>
        <v/>
      </c>
      <c r="E34" s="70" t="str">
        <f>IF(E$2="Y",IF(MaGic_AVM_Land!E34=0,"",MaGic_AVM_Land!E34),"")</f>
        <v/>
      </c>
      <c r="F34" s="70" t="str">
        <f>IF(F$2="Y",IF(MaGic_AVM_Land!F34=0,"",MaGic_AVM_Land!F34),"")</f>
        <v/>
      </c>
      <c r="G34" s="70" t="str">
        <f>IF(G$2="Y",IF(MaGic_AVM_Land!G34=0,"",MaGic_AVM_Land!G34),"")</f>
        <v/>
      </c>
      <c r="H34" s="70" t="str">
        <f>IF(H$2="Y",IF(MaGic_AVM_Land!H34=0,"",MaGic_AVM_Land!H34),"")</f>
        <v/>
      </c>
      <c r="I34" s="70" t="str">
        <f>IF(I$2="Y",IF(MaGic_AVM_Land!I34=0,"",MaGic_AVM_Land!I34),"")</f>
        <v/>
      </c>
      <c r="J34" s="70" t="str">
        <f>IF(J$2="Y",IF(MaGic_AVM_Land!J34=0,"",MaGic_AVM_Land!J34),"")</f>
        <v/>
      </c>
      <c r="K34" s="70" t="str">
        <f>IF(K$2="Y",IF(MaGic_AVM_Land!K34=0,"",MaGic_AVM_Land!K34),"")</f>
        <v/>
      </c>
      <c r="L34" s="70" t="str">
        <f>IF(L$2="Y",IF(MaGic_AVM_Land!L34=0,"",MaGic_AVM_Land!L34),"")</f>
        <v/>
      </c>
      <c r="M34" s="70" t="str">
        <f>IF(M$2="Y",IF(MaGic_AVM_Land!M34=0,"",MaGic_AVM_Land!M34),"")</f>
        <v/>
      </c>
      <c r="N34" s="70" t="str">
        <f>IF(N$2="Y",IF(MaGic_AVM_Land!N34=0,"",MaGic_AVM_Land!N34),"")</f>
        <v/>
      </c>
      <c r="O34" s="70" t="str">
        <f>IF(O$2="Y",IF(MaGic_AVM_Land!O34=0,"",MaGic_AVM_Land!O34),"")</f>
        <v/>
      </c>
      <c r="P34" s="70" t="str">
        <f>IF(P$2="Y",IF(MaGic_AVM_Land!P34=0,"",MaGic_AVM_Land!P34),"")</f>
        <v/>
      </c>
      <c r="Q34" s="70" t="str">
        <f>IF(Q$2="Y",IF(MaGic_AVM_Land!Q34=0,"",MaGic_AVM_Land!Q34),"")</f>
        <v/>
      </c>
      <c r="R34" s="70" t="str">
        <f>IF(R$2="Y",IF(MaGic_AVM_Land!R34=0,"",MaGic_AVM_Land!R34),"")</f>
        <v/>
      </c>
      <c r="S34" s="70" t="str">
        <f>IF(S$2="Y",IF(MaGic_AVM_Land!S34=0,"",MaGic_AVM_Land!S34),"")</f>
        <v/>
      </c>
      <c r="T34" s="70" t="str">
        <f>IF(T$2="Y",IF(MaGic_AVM_Land!T34=0,"",MaGic_AVM_Land!T34),"")</f>
        <v/>
      </c>
      <c r="U34" s="70" t="str">
        <f>IF(U$2="Y",IF(MaGic_AVM_Land!U34=0,"",MaGic_AVM_Land!U34),"")</f>
        <v/>
      </c>
      <c r="V34" s="70" t="str">
        <f>IF(V$2="Y",IF(MaGic_AVM_Land!V34=0,"",MaGic_AVM_Land!V34),"")</f>
        <v/>
      </c>
      <c r="W34" s="70" t="str">
        <f>IF(W$2="Y",IF(MaGic_AVM_Land!W34=0,"",MaGic_AVM_Land!W34),"")</f>
        <v/>
      </c>
      <c r="X34" s="70" t="str">
        <f>IF(X$2="Y",IF(MaGic_AVM_Land!X34=0,"",MaGic_AVM_Land!X34),"")</f>
        <v/>
      </c>
      <c r="Y34" s="70" t="str">
        <f>IF(Y$2="Y",IF(MaGic_AVM_Land!Y34=0,"",MaGic_AVM_Land!Y34),"")</f>
        <v/>
      </c>
      <c r="Z34" s="70" t="str">
        <f>IF(Z$2="Y",IF(MaGic_AVM_Land!Z34=0,"",MaGic_AVM_Land!Z34),"")</f>
        <v/>
      </c>
      <c r="AB34" s="69" t="str" cm="1">
        <f t="array" ref="AB34">_xlfn.UNIQUE(C34:Z34,TRUE,FALSE)</f>
        <v/>
      </c>
    </row>
    <row r="35" spans="1:28">
      <c r="A35" s="70">
        <v>1</v>
      </c>
      <c r="B35" s="70" t="s">
        <v>1106</v>
      </c>
      <c r="C35" s="70" t="str">
        <f>IF(C$2="Y",IF(MaGic_AVM_Land!C35=0,"",MaGic_AVM_Land!C35),"")</f>
        <v/>
      </c>
      <c r="D35" s="70" t="str">
        <f>IF(D$2="Y",IF(MaGic_AVM_Land!D35=0,"",MaGic_AVM_Land!D35),"")</f>
        <v/>
      </c>
      <c r="E35" s="70" t="str">
        <f>IF(E$2="Y",IF(MaGic_AVM_Land!E35=0,"",MaGic_AVM_Land!E35),"")</f>
        <v/>
      </c>
      <c r="F35" s="70" t="str">
        <f>IF(F$2="Y",IF(MaGic_AVM_Land!F35=0,"",MaGic_AVM_Land!F35),"")</f>
        <v/>
      </c>
      <c r="G35" s="70" t="str">
        <f>IF(G$2="Y",IF(MaGic_AVM_Land!G35=0,"",MaGic_AVM_Land!G35),"")</f>
        <v/>
      </c>
      <c r="H35" s="70" t="str">
        <f>IF(H$2="Y",IF(MaGic_AVM_Land!H35=0,"",MaGic_AVM_Land!H35),"")</f>
        <v/>
      </c>
      <c r="I35" s="70" t="str">
        <f>IF(I$2="Y",IF(MaGic_AVM_Land!I35=0,"",MaGic_AVM_Land!I35),"")</f>
        <v/>
      </c>
      <c r="J35" s="70" t="str">
        <f>IF(J$2="Y",IF(MaGic_AVM_Land!J35=0,"",MaGic_AVM_Land!J35),"")</f>
        <v/>
      </c>
      <c r="K35" s="70" t="str">
        <f>IF(K$2="Y",IF(MaGic_AVM_Land!K35=0,"",MaGic_AVM_Land!K35),"")</f>
        <v/>
      </c>
      <c r="L35" s="70" t="str">
        <f>IF(L$2="Y",IF(MaGic_AVM_Land!L35=0,"",MaGic_AVM_Land!L35),"")</f>
        <v/>
      </c>
      <c r="M35" s="70" t="str">
        <f>IF(M$2="Y",IF(MaGic_AVM_Land!M35=0,"",MaGic_AVM_Land!M35),"")</f>
        <v/>
      </c>
      <c r="N35" s="70" t="str">
        <f>IF(N$2="Y",IF(MaGic_AVM_Land!N35=0,"",MaGic_AVM_Land!N35),"")</f>
        <v/>
      </c>
      <c r="O35" s="70" t="str">
        <f>IF(O$2="Y",IF(MaGic_AVM_Land!O35=0,"",MaGic_AVM_Land!O35),"")</f>
        <v/>
      </c>
      <c r="P35" s="70" t="str">
        <f>IF(P$2="Y",IF(MaGic_AVM_Land!P35=0,"",MaGic_AVM_Land!P35),"")</f>
        <v/>
      </c>
      <c r="Q35" s="70" t="str">
        <f>IF(Q$2="Y",IF(MaGic_AVM_Land!Q35=0,"",MaGic_AVM_Land!Q35),"")</f>
        <v/>
      </c>
      <c r="R35" s="70" t="str">
        <f>IF(R$2="Y",IF(MaGic_AVM_Land!R35=0,"",MaGic_AVM_Land!R35),"")</f>
        <v/>
      </c>
      <c r="S35" s="70" t="str">
        <f>IF(S$2="Y",IF(MaGic_AVM_Land!S35=0,"",MaGic_AVM_Land!S35),"")</f>
        <v/>
      </c>
      <c r="T35" s="70" t="str">
        <f>IF(T$2="Y",IF(MaGic_AVM_Land!T35=0,"",MaGic_AVM_Land!T35),"")</f>
        <v/>
      </c>
      <c r="U35" s="70" t="str">
        <f>IF(U$2="Y",IF(MaGic_AVM_Land!U35=0,"",MaGic_AVM_Land!U35),"")</f>
        <v/>
      </c>
      <c r="V35" s="70" t="str">
        <f>IF(V$2="Y",IF(MaGic_AVM_Land!V35=0,"",MaGic_AVM_Land!V35),"")</f>
        <v/>
      </c>
      <c r="W35" s="70" t="str">
        <f>IF(W$2="Y",IF(MaGic_AVM_Land!W35=0,"",MaGic_AVM_Land!W35),"")</f>
        <v/>
      </c>
      <c r="X35" s="70" t="str">
        <f>IF(X$2="Y",IF(MaGic_AVM_Land!X35=0,"",MaGic_AVM_Land!X35),"")</f>
        <v/>
      </c>
      <c r="Y35" s="70" t="str">
        <f>IF(Y$2="Y",IF(MaGic_AVM_Land!Y35=0,"",MaGic_AVM_Land!Y35),"")</f>
        <v/>
      </c>
      <c r="Z35" s="70" t="str">
        <f>IF(Z$2="Y",IF(MaGic_AVM_Land!Z35=0,"",MaGic_AVM_Land!Z35),"")</f>
        <v/>
      </c>
      <c r="AB35" s="69" t="str" cm="1">
        <f t="array" ref="AB35">_xlfn.UNIQUE(C35:Z35,TRUE,FALSE)</f>
        <v/>
      </c>
    </row>
    <row r="36" spans="1:28">
      <c r="A36" s="70">
        <v>2</v>
      </c>
      <c r="B36" s="70" t="s">
        <v>112</v>
      </c>
      <c r="C36" s="70" t="str">
        <f>IF(C$2="Y",IF(MaGic_AVM_Land!C36=0,"",MaGic_AVM_Land!C36),"")</f>
        <v/>
      </c>
      <c r="D36" s="70" t="str">
        <f>IF(D$2="Y",IF(MaGic_AVM_Land!D36=0,"",MaGic_AVM_Land!D36),"")</f>
        <v/>
      </c>
      <c r="E36" s="70" t="str">
        <f>IF(E$2="Y",IF(MaGic_AVM_Land!E36=0,"",MaGic_AVM_Land!E36),"")</f>
        <v/>
      </c>
      <c r="F36" s="70" t="str">
        <f>IF(F$2="Y",IF(MaGic_AVM_Land!F36=0,"",MaGic_AVM_Land!F36),"")</f>
        <v/>
      </c>
      <c r="G36" s="70" t="str">
        <f>IF(G$2="Y",IF(MaGic_AVM_Land!G36=0,"",MaGic_AVM_Land!G36),"")</f>
        <v/>
      </c>
      <c r="H36" s="70" t="str">
        <f>IF(H$2="Y",IF(MaGic_AVM_Land!H36=0,"",MaGic_AVM_Land!H36),"")</f>
        <v/>
      </c>
      <c r="I36" s="70" t="str">
        <f>IF(I$2="Y",IF(MaGic_AVM_Land!I36=0,"",MaGic_AVM_Land!I36),"")</f>
        <v/>
      </c>
      <c r="J36" s="70" t="str">
        <f>IF(J$2="Y",IF(MaGic_AVM_Land!J36=0,"",MaGic_AVM_Land!J36),"")</f>
        <v/>
      </c>
      <c r="K36" s="70" t="str">
        <f>IF(K$2="Y",IF(MaGic_AVM_Land!K36=0,"",MaGic_AVM_Land!K36),"")</f>
        <v/>
      </c>
      <c r="L36" s="70" t="str">
        <f>IF(L$2="Y",IF(MaGic_AVM_Land!L36=0,"",MaGic_AVM_Land!L36),"")</f>
        <v/>
      </c>
      <c r="M36" s="70" t="str">
        <f>IF(M$2="Y",IF(MaGic_AVM_Land!M36=0,"",MaGic_AVM_Land!M36),"")</f>
        <v/>
      </c>
      <c r="N36" s="70" t="str">
        <f>IF(N$2="Y",IF(MaGic_AVM_Land!N36=0,"",MaGic_AVM_Land!N36),"")</f>
        <v/>
      </c>
      <c r="O36" s="70" t="str">
        <f>IF(O$2="Y",IF(MaGic_AVM_Land!O36=0,"",MaGic_AVM_Land!O36),"")</f>
        <v/>
      </c>
      <c r="P36" s="70" t="str">
        <f>IF(P$2="Y",IF(MaGic_AVM_Land!P36=0,"",MaGic_AVM_Land!P36),"")</f>
        <v/>
      </c>
      <c r="Q36" s="70" t="str">
        <f>IF(Q$2="Y",IF(MaGic_AVM_Land!Q36=0,"",MaGic_AVM_Land!Q36),"")</f>
        <v/>
      </c>
      <c r="R36" s="70" t="str">
        <f>IF(R$2="Y",IF(MaGic_AVM_Land!R36=0,"",MaGic_AVM_Land!R36),"")</f>
        <v/>
      </c>
      <c r="S36" s="70" t="str">
        <f>IF(S$2="Y",IF(MaGic_AVM_Land!S36=0,"",MaGic_AVM_Land!S36),"")</f>
        <v/>
      </c>
      <c r="T36" s="70" t="str">
        <f>IF(T$2="Y",IF(MaGic_AVM_Land!T36=0,"",MaGic_AVM_Land!T36),"")</f>
        <v/>
      </c>
      <c r="U36" s="70" t="str">
        <f>IF(U$2="Y",IF(MaGic_AVM_Land!U36=0,"",MaGic_AVM_Land!U36),"")</f>
        <v/>
      </c>
      <c r="V36" s="70" t="str">
        <f>IF(V$2="Y",IF(MaGic_AVM_Land!V36=0,"",MaGic_AVM_Land!V36),"")</f>
        <v/>
      </c>
      <c r="W36" s="70" t="str">
        <f>IF(W$2="Y",IF(MaGic_AVM_Land!W36=0,"",MaGic_AVM_Land!W36),"")</f>
        <v/>
      </c>
      <c r="X36" s="70" t="str">
        <f>IF(X$2="Y",IF(MaGic_AVM_Land!X36=0,"",MaGic_AVM_Land!X36),"")</f>
        <v/>
      </c>
      <c r="Y36" s="70" t="str">
        <f>IF(Y$2="Y",IF(MaGic_AVM_Land!Y36=0,"",MaGic_AVM_Land!Y36),"")</f>
        <v/>
      </c>
      <c r="Z36" s="70" t="str">
        <f>IF(Z$2="Y",IF(MaGic_AVM_Land!Z36=0,"",MaGic_AVM_Land!Z36),"")</f>
        <v/>
      </c>
      <c r="AB36" s="69" t="str" cm="1">
        <f t="array" ref="AB36">_xlfn.UNIQUE(C36:Z36,TRUE,FALSE)</f>
        <v/>
      </c>
    </row>
    <row r="37" spans="1:28">
      <c r="A37" s="70">
        <v>3</v>
      </c>
      <c r="B37" s="70" t="s">
        <v>113</v>
      </c>
      <c r="C37" s="70" t="str">
        <f>IF(C$2="Y",IF(MaGic_AVM_Land!C37=0,"",MaGic_AVM_Land!C37),"")</f>
        <v/>
      </c>
      <c r="D37" s="70" t="str">
        <f>IF(D$2="Y",IF(MaGic_AVM_Land!D37=0,"",MaGic_AVM_Land!D37),"")</f>
        <v/>
      </c>
      <c r="E37" s="70" t="str">
        <f>IF(E$2="Y",IF(MaGic_AVM_Land!E37=0,"",MaGic_AVM_Land!E37),"")</f>
        <v/>
      </c>
      <c r="F37" s="70" t="str">
        <f>IF(F$2="Y",IF(MaGic_AVM_Land!F37=0,"",MaGic_AVM_Land!F37),"")</f>
        <v/>
      </c>
      <c r="G37" s="70" t="str">
        <f>IF(G$2="Y",IF(MaGic_AVM_Land!G37=0,"",MaGic_AVM_Land!G37),"")</f>
        <v/>
      </c>
      <c r="H37" s="70" t="str">
        <f>IF(H$2="Y",IF(MaGic_AVM_Land!H37=0,"",MaGic_AVM_Land!H37),"")</f>
        <v/>
      </c>
      <c r="I37" s="70" t="str">
        <f>IF(I$2="Y",IF(MaGic_AVM_Land!I37=0,"",MaGic_AVM_Land!I37),"")</f>
        <v/>
      </c>
      <c r="J37" s="70" t="str">
        <f>IF(J$2="Y",IF(MaGic_AVM_Land!J37=0,"",MaGic_AVM_Land!J37),"")</f>
        <v/>
      </c>
      <c r="K37" s="70" t="str">
        <f>IF(K$2="Y",IF(MaGic_AVM_Land!K37=0,"",MaGic_AVM_Land!K37),"")</f>
        <v/>
      </c>
      <c r="L37" s="70" t="str">
        <f>IF(L$2="Y",IF(MaGic_AVM_Land!L37=0,"",MaGic_AVM_Land!L37),"")</f>
        <v/>
      </c>
      <c r="M37" s="70" t="str">
        <f>IF(M$2="Y",IF(MaGic_AVM_Land!M37=0,"",MaGic_AVM_Land!M37),"")</f>
        <v/>
      </c>
      <c r="N37" s="70" t="str">
        <f>IF(N$2="Y",IF(MaGic_AVM_Land!N37=0,"",MaGic_AVM_Land!N37),"")</f>
        <v/>
      </c>
      <c r="O37" s="70" t="str">
        <f>IF(O$2="Y",IF(MaGic_AVM_Land!O37=0,"",MaGic_AVM_Land!O37),"")</f>
        <v/>
      </c>
      <c r="P37" s="70" t="str">
        <f>IF(P$2="Y",IF(MaGic_AVM_Land!P37=0,"",MaGic_AVM_Land!P37),"")</f>
        <v/>
      </c>
      <c r="Q37" s="70" t="str">
        <f>IF(Q$2="Y",IF(MaGic_AVM_Land!Q37=0,"",MaGic_AVM_Land!Q37),"")</f>
        <v/>
      </c>
      <c r="R37" s="70" t="str">
        <f>IF(R$2="Y",IF(MaGic_AVM_Land!R37=0,"",MaGic_AVM_Land!R37),"")</f>
        <v/>
      </c>
      <c r="S37" s="70" t="str">
        <f>IF(S$2="Y",IF(MaGic_AVM_Land!S37=0,"",MaGic_AVM_Land!S37),"")</f>
        <v/>
      </c>
      <c r="T37" s="70" t="str">
        <f>IF(T$2="Y",IF(MaGic_AVM_Land!T37=0,"",MaGic_AVM_Land!T37),"")</f>
        <v/>
      </c>
      <c r="U37" s="70" t="str">
        <f>IF(U$2="Y",IF(MaGic_AVM_Land!U37=0,"",MaGic_AVM_Land!U37),"")</f>
        <v/>
      </c>
      <c r="V37" s="70" t="str">
        <f>IF(V$2="Y",IF(MaGic_AVM_Land!V37=0,"",MaGic_AVM_Land!V37),"")</f>
        <v/>
      </c>
      <c r="W37" s="70" t="str">
        <f>IF(W$2="Y",IF(MaGic_AVM_Land!W37=0,"",MaGic_AVM_Land!W37),"")</f>
        <v/>
      </c>
      <c r="X37" s="70" t="str">
        <f>IF(X$2="Y",IF(MaGic_AVM_Land!X37=0,"",MaGic_AVM_Land!X37),"")</f>
        <v/>
      </c>
      <c r="Y37" s="70" t="str">
        <f>IF(Y$2="Y",IF(MaGic_AVM_Land!Y37=0,"",MaGic_AVM_Land!Y37),"")</f>
        <v/>
      </c>
      <c r="Z37" s="70" t="str">
        <f>IF(Z$2="Y",IF(MaGic_AVM_Land!Z37=0,"",MaGic_AVM_Land!Z37),"")</f>
        <v/>
      </c>
      <c r="AB37" s="69" t="str" cm="1">
        <f t="array" ref="AB37">_xlfn.UNIQUE(C37:Z37,TRUE,FALSE)</f>
        <v/>
      </c>
    </row>
    <row r="38" spans="1:28">
      <c r="A38" s="70">
        <v>4</v>
      </c>
      <c r="B38" s="70" t="s">
        <v>114</v>
      </c>
      <c r="C38" s="70"/>
      <c r="D38" s="70"/>
      <c r="E38" s="70"/>
      <c r="F38" s="70"/>
      <c r="G38" s="70"/>
      <c r="H38" s="70"/>
      <c r="I38" s="70"/>
      <c r="J38" s="70"/>
      <c r="K38" s="70"/>
      <c r="L38" s="70"/>
      <c r="M38" s="70"/>
      <c r="N38" s="70"/>
      <c r="O38" s="70"/>
      <c r="P38" s="70"/>
      <c r="Q38" s="70"/>
      <c r="R38" s="70"/>
      <c r="S38" s="70"/>
      <c r="T38" s="70"/>
      <c r="U38" s="70"/>
      <c r="V38" s="70"/>
      <c r="W38" s="70"/>
      <c r="X38" s="70"/>
      <c r="Y38" s="70"/>
      <c r="Z38" s="70"/>
      <c r="AB38" s="69" cm="1">
        <f t="array" ref="AB38">_xlfn.UNIQUE(C38:Z38,TRUE,FALSE)</f>
        <v>0</v>
      </c>
    </row>
    <row r="39" spans="1:28">
      <c r="A39" s="70">
        <v>5</v>
      </c>
      <c r="B39" s="70" t="s">
        <v>115</v>
      </c>
      <c r="C39" s="70"/>
      <c r="D39" s="70"/>
      <c r="E39" s="70"/>
      <c r="F39" s="70"/>
      <c r="G39" s="70"/>
      <c r="H39" s="70"/>
      <c r="I39" s="70"/>
      <c r="J39" s="70"/>
      <c r="K39" s="70"/>
      <c r="L39" s="70"/>
      <c r="M39" s="70"/>
      <c r="N39" s="70"/>
      <c r="O39" s="70"/>
      <c r="P39" s="70"/>
      <c r="Q39" s="70"/>
      <c r="R39" s="70"/>
      <c r="S39" s="70"/>
      <c r="T39" s="70"/>
      <c r="U39" s="70"/>
      <c r="V39" s="70"/>
      <c r="W39" s="70"/>
      <c r="X39" s="70"/>
      <c r="Y39" s="70"/>
      <c r="Z39" s="70"/>
      <c r="AB39" s="69" cm="1">
        <f t="array" ref="AB39">_xlfn.UNIQUE(C39:Z39,TRUE,FALSE)</f>
        <v>0</v>
      </c>
    </row>
    <row r="40" spans="1:28">
      <c r="A40" s="70">
        <v>6</v>
      </c>
      <c r="B40" s="70" t="s">
        <v>116</v>
      </c>
      <c r="C40" s="70"/>
      <c r="D40" s="70"/>
      <c r="E40" s="70"/>
      <c r="F40" s="70"/>
      <c r="G40" s="70"/>
      <c r="H40" s="70"/>
      <c r="I40" s="70"/>
      <c r="J40" s="70"/>
      <c r="K40" s="70"/>
      <c r="L40" s="70"/>
      <c r="M40" s="70"/>
      <c r="N40" s="70"/>
      <c r="O40" s="70"/>
      <c r="P40" s="70"/>
      <c r="Q40" s="70"/>
      <c r="R40" s="70"/>
      <c r="S40" s="70"/>
      <c r="T40" s="70"/>
      <c r="U40" s="70"/>
      <c r="V40" s="70"/>
      <c r="W40" s="70"/>
      <c r="X40" s="70"/>
      <c r="Y40" s="70"/>
      <c r="Z40" s="70"/>
      <c r="AB40" s="69" cm="1">
        <f t="array" ref="AB40">_xlfn.UNIQUE(C40:Z40,TRUE,FALSE)</f>
        <v>0</v>
      </c>
    </row>
    <row r="41" spans="1:28">
      <c r="A41" s="70"/>
      <c r="B41" s="70" t="s">
        <v>117</v>
      </c>
      <c r="C41" s="70"/>
      <c r="D41" s="70"/>
      <c r="E41" s="70"/>
      <c r="F41" s="70"/>
      <c r="G41" s="70"/>
      <c r="H41" s="70"/>
      <c r="I41" s="70"/>
      <c r="J41" s="70"/>
      <c r="K41" s="70"/>
      <c r="L41" s="70"/>
      <c r="M41" s="70"/>
      <c r="N41" s="70"/>
      <c r="O41" s="70"/>
      <c r="P41" s="70"/>
      <c r="Q41" s="70"/>
      <c r="R41" s="70"/>
      <c r="S41" s="70"/>
      <c r="T41" s="70"/>
      <c r="U41" s="70"/>
      <c r="V41" s="70"/>
      <c r="W41" s="70"/>
      <c r="X41" s="70"/>
      <c r="Y41" s="70"/>
      <c r="Z41" s="70"/>
      <c r="AB41" s="69" cm="1">
        <f t="array" ref="AB41">_xlfn.UNIQUE(C41:Z41,TRUE,FALSE)</f>
        <v>0</v>
      </c>
    </row>
    <row r="42" spans="1:28">
      <c r="A42" s="70">
        <v>1</v>
      </c>
      <c r="B42" s="70" t="s">
        <v>118</v>
      </c>
      <c r="C42" s="70"/>
      <c r="D42" s="70"/>
      <c r="E42" s="70"/>
      <c r="F42" s="70"/>
      <c r="G42" s="70"/>
      <c r="H42" s="70"/>
      <c r="I42" s="70"/>
      <c r="J42" s="70"/>
      <c r="K42" s="70"/>
      <c r="L42" s="70"/>
      <c r="M42" s="70"/>
      <c r="N42" s="70"/>
      <c r="O42" s="70"/>
      <c r="P42" s="70"/>
      <c r="Q42" s="70"/>
      <c r="R42" s="70"/>
      <c r="S42" s="70"/>
      <c r="T42" s="70"/>
      <c r="U42" s="70"/>
      <c r="V42" s="70"/>
      <c r="W42" s="70"/>
      <c r="X42" s="70"/>
      <c r="Y42" s="70"/>
      <c r="Z42" s="70"/>
      <c r="AB42" s="69" cm="1">
        <f t="array" ref="AB42">_xlfn.UNIQUE(C42:Z42,TRUE,FALSE)</f>
        <v>0</v>
      </c>
    </row>
    <row r="43" spans="1:28">
      <c r="A43" s="70">
        <v>2</v>
      </c>
      <c r="B43" s="70" t="s">
        <v>119</v>
      </c>
      <c r="C43" s="70"/>
      <c r="D43" s="70"/>
      <c r="E43" s="70"/>
      <c r="F43" s="70"/>
      <c r="G43" s="70"/>
      <c r="H43" s="70"/>
      <c r="I43" s="70"/>
      <c r="J43" s="70"/>
      <c r="K43" s="70"/>
      <c r="L43" s="70"/>
      <c r="M43" s="70"/>
      <c r="N43" s="70"/>
      <c r="O43" s="70"/>
      <c r="P43" s="70"/>
      <c r="Q43" s="70"/>
      <c r="R43" s="70"/>
      <c r="S43" s="70"/>
      <c r="T43" s="70"/>
      <c r="U43" s="70"/>
      <c r="V43" s="70"/>
      <c r="W43" s="70"/>
      <c r="X43" s="70"/>
      <c r="Y43" s="70"/>
      <c r="Z43" s="70"/>
      <c r="AB43" s="69" cm="1">
        <f t="array" ref="AB43">_xlfn.UNIQUE(C43:Z43,TRUE,FALSE)</f>
        <v>0</v>
      </c>
    </row>
    <row r="44" spans="1:28">
      <c r="A44" s="70">
        <v>3</v>
      </c>
      <c r="B44" s="70" t="s">
        <v>120</v>
      </c>
      <c r="C44" s="70"/>
      <c r="D44" s="70"/>
      <c r="E44" s="70"/>
      <c r="F44" s="70"/>
      <c r="G44" s="70"/>
      <c r="H44" s="70"/>
      <c r="I44" s="70"/>
      <c r="J44" s="70"/>
      <c r="K44" s="70"/>
      <c r="L44" s="70"/>
      <c r="M44" s="70"/>
      <c r="N44" s="70"/>
      <c r="O44" s="70"/>
      <c r="P44" s="70"/>
      <c r="Q44" s="70"/>
      <c r="R44" s="70"/>
      <c r="S44" s="70"/>
      <c r="T44" s="70"/>
      <c r="U44" s="70"/>
      <c r="V44" s="70"/>
      <c r="W44" s="70"/>
      <c r="X44" s="70"/>
      <c r="Y44" s="70"/>
      <c r="Z44" s="70"/>
      <c r="AB44" s="69" cm="1">
        <f t="array" ref="AB44">_xlfn.UNIQUE(C44:Z44,TRUE,FALSE)</f>
        <v>0</v>
      </c>
    </row>
    <row r="45" spans="1:28">
      <c r="A45" s="70">
        <v>4</v>
      </c>
      <c r="B45" s="70" t="s">
        <v>121</v>
      </c>
      <c r="C45" s="70"/>
      <c r="D45" s="70"/>
      <c r="E45" s="70"/>
      <c r="F45" s="70"/>
      <c r="G45" s="70"/>
      <c r="H45" s="70"/>
      <c r="I45" s="70"/>
      <c r="J45" s="70"/>
      <c r="K45" s="70"/>
      <c r="L45" s="70"/>
      <c r="M45" s="70"/>
      <c r="N45" s="70"/>
      <c r="O45" s="70"/>
      <c r="P45" s="70"/>
      <c r="Q45" s="70"/>
      <c r="R45" s="70"/>
      <c r="S45" s="70"/>
      <c r="T45" s="70"/>
      <c r="U45" s="70"/>
      <c r="V45" s="70"/>
      <c r="W45" s="70"/>
      <c r="X45" s="70"/>
      <c r="Y45" s="70"/>
      <c r="Z45" s="70"/>
      <c r="AB45" s="69" cm="1">
        <f t="array" ref="AB45">_xlfn.UNIQUE(C45:Z45,TRUE,FALSE)</f>
        <v>0</v>
      </c>
    </row>
    <row r="46" spans="1:28" ht="48" customHeight="1"/>
    <row r="47" spans="1:28" hidden="1"/>
    <row r="48" spans="1:2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spans="3:27" hidden="1"/>
    <row r="98" spans="3:27" hidden="1"/>
    <row r="99" spans="3:27" hidden="1"/>
    <row r="100" spans="3:27" hidden="1"/>
    <row r="101" spans="3:27" ht="170.25" customHeight="1">
      <c r="C101" s="19" t="str">
        <f>IF(C23="","",CONCATENATE(C23," Ares of land in ",IF(C20="","",CONCATENATE($B$20,C20,", ")),IF(C21="","",CONCATENATE($B$21,C21,", ")),IF(C22="","",CONCATENATE($B$22,C22,", ")),IF(C17="","",CONCATENATE($B$17,C17,", ")),IF(C18="","",CONCATENATE($B$18,C18,", ")),IF(C19="","",CONCATENATE($B$19,C19,", ")),IF(C14="","",CONCATENATE($B$14,C14,", ")),IF(C15="","",CONCATENATE($B$15,C15,", ")),IF(C16="","",CONCATENATE($B$16,C16))))</f>
        <v/>
      </c>
      <c r="D101" s="19" t="str">
        <f>IF(D23="","",CONCATENATE(D23," Ares of land in ",IF(D20="","",CONCATENATE($B$20,D20,", ")),IF(D21="","",CONCATENATE($B$21,D21,", ")),IF(D22="","",CONCATENATE($B$22,D22,", ")),IF(D17="","",CONCATENATE($B$17,D17,", ")),IF(D18="","",CONCATENATE($B$18,D18,", ")),IF(D19="","",CONCATENATE($B$19,D19,", ")),IF(D14="","",CONCATENATE($B$14,D14,", ")),IF(D15="","",CONCATENATE($B$15,D15,", ")),IF(D16="","",CONCATENATE($B$16,D16))))</f>
        <v/>
      </c>
      <c r="E101" s="19" t="str">
        <f t="shared" ref="E101:Z101" si="4">IF(E23="","",CONCATENATE(E23," Ares of land in ",IF(E20="","",CONCATENATE($B$20,E20,", ")),IF(E21="","",CONCATENATE($B$21,E21,", ")),IF(E22="","",CONCATENATE($B$22,E22,", ")),IF(E17="","",CONCATENATE($B$17,E17,", ")),IF(E18="","",CONCATENATE($B$18,E18,", ")),IF(E19="","",CONCATENATE($B$19,E19,", ")),IF(E14="","",CONCATENATE($B$14,E14,", ")),IF(E15="","",CONCATENATE($B$15,E15,", ")),IF(E16="","",CONCATENATE($B$16,E16))))</f>
        <v>0.79 Ares of land in Re-Sy Block No.3, Re-Sy No.254, Re-Sy Sub-Div No.21</v>
      </c>
      <c r="F101" s="19" t="str">
        <f t="shared" si="4"/>
        <v/>
      </c>
      <c r="G101" s="19" t="str">
        <f t="shared" si="4"/>
        <v/>
      </c>
      <c r="H101" s="19" t="str">
        <f t="shared" si="4"/>
        <v/>
      </c>
      <c r="I101" s="19" t="str">
        <f t="shared" si="4"/>
        <v/>
      </c>
      <c r="J101" s="19" t="str">
        <f t="shared" si="4"/>
        <v/>
      </c>
      <c r="K101" s="19" t="str">
        <f t="shared" si="4"/>
        <v/>
      </c>
      <c r="L101" s="19" t="str">
        <f t="shared" si="4"/>
        <v/>
      </c>
      <c r="M101" s="19" t="str">
        <f t="shared" si="4"/>
        <v/>
      </c>
      <c r="N101" s="19" t="str">
        <f t="shared" si="4"/>
        <v/>
      </c>
      <c r="O101" s="19" t="str">
        <f t="shared" si="4"/>
        <v/>
      </c>
      <c r="P101" s="19" t="str">
        <f t="shared" si="4"/>
        <v/>
      </c>
      <c r="Q101" s="19" t="str">
        <f t="shared" si="4"/>
        <v/>
      </c>
      <c r="R101" s="19" t="str">
        <f t="shared" si="4"/>
        <v/>
      </c>
      <c r="S101" s="19" t="str">
        <f t="shared" si="4"/>
        <v/>
      </c>
      <c r="T101" s="19" t="str">
        <f t="shared" si="4"/>
        <v/>
      </c>
      <c r="U101" s="19" t="str">
        <f t="shared" si="4"/>
        <v/>
      </c>
      <c r="V101" s="19" t="str">
        <f t="shared" si="4"/>
        <v/>
      </c>
      <c r="W101" s="19" t="str">
        <f t="shared" si="4"/>
        <v/>
      </c>
      <c r="X101" s="19" t="str">
        <f t="shared" si="4"/>
        <v/>
      </c>
      <c r="Y101" s="19" t="str">
        <f t="shared" si="4"/>
        <v/>
      </c>
      <c r="Z101" s="19" t="str">
        <f t="shared" si="4"/>
        <v/>
      </c>
      <c r="AA101" s="19" t="str">
        <f>_xlfn.TEXTJOIN(" and ",TRUE,C101:Z101)</f>
        <v>0.79 Ares of land in Re-Sy Block No.3, Re-Sy No.254, Re-Sy Sub-Div No.21</v>
      </c>
    </row>
    <row r="102" spans="3:27">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v>0</v>
      </c>
      <c r="AA102" s="19" t="s">
        <v>212</v>
      </c>
    </row>
    <row r="103" spans="3:27" ht="29">
      <c r="Z103" s="19">
        <v>1</v>
      </c>
      <c r="AA103" s="19" t="str">
        <f>CONCATENATE(AA101," located in ",AA11,", ",AA10,", ",AA8,". ")</f>
        <v>0.79 Ares of land in Re-Sy Block No.3, Re-Sy No.254, Re-Sy Sub-Div No.21 located in  Village,  Taluk,  District.</v>
      </c>
    </row>
    <row r="104" spans="3:27" ht="146.25" customHeight="1">
      <c r="Z104" s="69">
        <v>2</v>
      </c>
      <c r="AA104" s="19" t="str">
        <f>CONCATENATE("A total of ",AA23," ares of land, comprising ",AA101," located in ",AA11,", ",AA10,", ",AA8,". ")</f>
        <v>A total of 0.79 ares of land, comprising 0.79 Ares of land in Re-Sy Block No.3, Re-Sy No.254, Re-Sy Sub-Div No.21 located in  Village,  Taluk,  District.</v>
      </c>
    </row>
    <row r="105" spans="3:27" ht="84.65" customHeight="1">
      <c r="Y105" s="477" t="s">
        <v>1107</v>
      </c>
      <c r="Z105" s="477"/>
      <c r="AA105" s="467" t="str">
        <f>IF(AA2&gt;2,AA104,VLOOKUP(AA2,Z102:AA104,2,FALSE))</f>
        <v>0.79 Ares of land in Re-Sy Block No.3, Re-Sy No.254, Re-Sy Sub-Div No.21 located in  Village,  Taluk,  District.</v>
      </c>
    </row>
    <row r="106" spans="3:27">
      <c r="Y106" s="477"/>
      <c r="Z106" s="477"/>
      <c r="AA106" s="467"/>
    </row>
    <row r="107" spans="3:27">
      <c r="Y107" s="477" t="s">
        <v>1109</v>
      </c>
      <c r="Z107" s="477"/>
      <c r="AA107" s="467" t="s">
        <v>1110</v>
      </c>
    </row>
    <row r="108" spans="3:27">
      <c r="D108" s="69">
        <v>0</v>
      </c>
      <c r="Y108" s="477"/>
      <c r="Z108" s="477"/>
      <c r="AA108" s="467"/>
    </row>
    <row r="109" spans="3:27">
      <c r="Y109" s="477"/>
      <c r="Z109" s="477"/>
      <c r="AA109" s="467"/>
    </row>
    <row r="110" spans="3:27">
      <c r="Y110" s="477"/>
      <c r="Z110" s="477"/>
      <c r="AA110" s="467"/>
    </row>
    <row r="111" spans="3:27">
      <c r="Y111" s="477"/>
      <c r="Z111" s="477"/>
      <c r="AA111" s="467"/>
    </row>
    <row r="112" spans="3:27">
      <c r="Y112" s="477"/>
      <c r="Z112" s="477"/>
      <c r="AA112" s="467"/>
    </row>
    <row r="113" spans="25:30">
      <c r="Y113" s="477"/>
      <c r="Z113" s="477"/>
      <c r="AA113" s="467"/>
    </row>
    <row r="114" spans="25:30" ht="187.5" customHeight="1">
      <c r="Y114" s="477" t="s">
        <v>85</v>
      </c>
      <c r="Z114" s="477"/>
      <c r="AA114" s="19" t="s">
        <v>1126</v>
      </c>
      <c r="AB114" s="19" t="str">
        <f>IF(ISNUMBER(SEARCH("Wet",AA24)),AA114,"N")</f>
        <v>N</v>
      </c>
      <c r="AC114" s="19">
        <f>IF(AB114="N",0,1)</f>
        <v>0</v>
      </c>
      <c r="AD114" s="69" t="str">
        <f>IF(AC114=1,AB114,"")</f>
        <v/>
      </c>
    </row>
    <row r="115" spans="25:30" ht="174.65" customHeight="1">
      <c r="Y115" s="477" t="s">
        <v>1122</v>
      </c>
      <c r="Z115" s="477"/>
      <c r="AA115" s="19" t="s">
        <v>1127</v>
      </c>
      <c r="AB115" s="19" t="str">
        <f>IF(ISNUMBER(SEARCH("Paddy",AA24)),AA115,"N")</f>
        <v>N</v>
      </c>
      <c r="AC115" s="19">
        <f>IF(AB115="N",0,1)</f>
        <v>0</v>
      </c>
      <c r="AD115" s="69" t="str">
        <f t="shared" ref="AD115:AD116" si="5">IF(AC115=1,AB115,"")</f>
        <v/>
      </c>
    </row>
    <row r="116" spans="25:30" ht="154.15" customHeight="1">
      <c r="Y116" s="477" t="s">
        <v>87</v>
      </c>
      <c r="Z116" s="477"/>
      <c r="AA116" s="19" t="s">
        <v>1128</v>
      </c>
      <c r="AB116" s="19" t="str">
        <f>IF(ISNUMBER(SEARCH("Dry",AA24)),AA116,"N")</f>
        <v>N</v>
      </c>
      <c r="AC116" s="19">
        <f>IF(AB116="N",0,1)</f>
        <v>0</v>
      </c>
      <c r="AD116" s="69" t="str">
        <f t="shared" si="5"/>
        <v/>
      </c>
    </row>
    <row r="117" spans="25:30" ht="134.25" customHeight="1">
      <c r="AC117" s="69" t="s">
        <v>1120</v>
      </c>
      <c r="AD117" s="76" t="str">
        <f>IF(AA2=0,"",CONCATENATE(AD114,AD115,AD116))</f>
        <v/>
      </c>
    </row>
  </sheetData>
  <mergeCells count="7">
    <mergeCell ref="Y114:Z114"/>
    <mergeCell ref="Y115:Z115"/>
    <mergeCell ref="Y116:Z116"/>
    <mergeCell ref="AA105:AA106"/>
    <mergeCell ref="AA107:AA113"/>
    <mergeCell ref="Y105:Z106"/>
    <mergeCell ref="Y107:Z113"/>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6"/>
  <dimension ref="A2:AB113"/>
  <sheetViews>
    <sheetView topLeftCell="Q1" workbookViewId="0"/>
  </sheetViews>
  <sheetFormatPr defaultColWidth="9.26953125" defaultRowHeight="14.5"/>
  <cols>
    <col min="1" max="1" width="3" style="69" customWidth="1"/>
    <col min="2" max="2" width="23.26953125" style="69" customWidth="1"/>
    <col min="3" max="3" width="11.54296875" style="69" customWidth="1"/>
    <col min="4" max="4" width="14" style="69" customWidth="1"/>
    <col min="5" max="5" width="11.54296875" style="69" customWidth="1"/>
    <col min="6" max="26" width="9.26953125" style="69"/>
    <col min="27" max="27" width="52.7265625" style="69" customWidth="1"/>
    <col min="28" max="28" width="15.54296875" style="69" customWidth="1"/>
    <col min="29" max="29" width="25.26953125" style="69" customWidth="1"/>
    <col min="30" max="31" width="29.26953125" style="69" customWidth="1"/>
    <col min="32" max="16384" width="9.26953125" style="69"/>
  </cols>
  <sheetData>
    <row r="2" spans="1:28">
      <c r="A2" s="70"/>
      <c r="B2" s="70"/>
      <c r="C2" s="70" t="str">
        <f>IF(MaGic_AVM_Land!C2="TIR Report","Y","N")</f>
        <v>N</v>
      </c>
      <c r="D2" s="70" t="str">
        <f>IF(MaGic_AVM_Land!D2="TIR Report","Y","N")</f>
        <v>N</v>
      </c>
      <c r="E2" s="70" t="str">
        <f>IF(MaGic_AVM_Land!E2="TIR Report","Y","N")</f>
        <v>N</v>
      </c>
      <c r="F2" s="70" t="str">
        <f>IF(MaGic_AVM_Land!F2="TIR Report","Y","N")</f>
        <v>N</v>
      </c>
      <c r="G2" s="70" t="str">
        <f>IF(MaGic_AVM_Land!G2="TIR Report","Y","N")</f>
        <v>N</v>
      </c>
      <c r="H2" s="70" t="str">
        <f>IF(MaGic_AVM_Land!H2="TIR Report","Y","N")</f>
        <v>N</v>
      </c>
      <c r="I2" s="70" t="str">
        <f>IF(MaGic_AVM_Land!I2="TIR Report","Y","N")</f>
        <v>N</v>
      </c>
      <c r="J2" s="70" t="str">
        <f>IF(MaGic_AVM_Land!J2="TIR Report","Y","N")</f>
        <v>N</v>
      </c>
      <c r="K2" s="70" t="str">
        <f>IF(MaGic_AVM_Land!K2="TIR Report","Y","N")</f>
        <v>N</v>
      </c>
      <c r="L2" s="70" t="str">
        <f>IF(MaGic_AVM_Land!L2="TIR Report","Y","N")</f>
        <v>N</v>
      </c>
      <c r="M2" s="70" t="str">
        <f>IF(MaGic_AVM_Land!M2="TIR Report","Y","N")</f>
        <v>N</v>
      </c>
      <c r="N2" s="70" t="str">
        <f>IF(MaGic_AVM_Land!N2="TIR Report","Y","N")</f>
        <v>N</v>
      </c>
      <c r="O2" s="70" t="str">
        <f>IF(MaGic_AVM_Land!O2="TIR Report","Y","N")</f>
        <v>N</v>
      </c>
      <c r="P2" s="70" t="str">
        <f>IF(MaGic_AVM_Land!P2="TIR Report","Y","N")</f>
        <v>N</v>
      </c>
      <c r="Q2" s="70" t="str">
        <f>IF(MaGic_AVM_Land!Q2="TIR Report","Y","N")</f>
        <v>N</v>
      </c>
      <c r="R2" s="70" t="str">
        <f>IF(MaGic_AVM_Land!R2="TIR Report","Y","N")</f>
        <v>N</v>
      </c>
      <c r="S2" s="70" t="str">
        <f>IF(MaGic_AVM_Land!S2="TIR Report","Y","N")</f>
        <v>N</v>
      </c>
      <c r="T2" s="70" t="str">
        <f>IF(MaGic_AVM_Land!T2="TIR Report","Y","N")</f>
        <v>N</v>
      </c>
      <c r="U2" s="70" t="str">
        <f>IF(MaGic_AVM_Land!U2="TIR Report","Y","N")</f>
        <v>N</v>
      </c>
      <c r="V2" s="70" t="str">
        <f>IF(MaGic_AVM_Land!V2="TIR Report","Y","N")</f>
        <v>N</v>
      </c>
      <c r="W2" s="70" t="str">
        <f>IF(MaGic_AVM_Land!W2="TIR Report","Y","N")</f>
        <v>N</v>
      </c>
      <c r="X2" s="70" t="str">
        <f>IF(MaGic_AVM_Land!X2="TIR Report","Y","N")</f>
        <v>N</v>
      </c>
      <c r="Y2" s="70" t="str">
        <f>IF(MaGic_AVM_Land!Y2="TIR Report","Y","N")</f>
        <v>N</v>
      </c>
      <c r="Z2" s="70" t="str">
        <f>IF(MaGic_AVM_Land!Z2="TIR Report","Y","N")</f>
        <v>N</v>
      </c>
      <c r="AA2" s="69">
        <f>COUNTIF(C2:Z2,"Y")</f>
        <v>0</v>
      </c>
      <c r="AB2" s="69" t="str" cm="1">
        <f t="array" ref="AB2">_xlfn.UNIQUE(C2:Z2,TRUE,FALSE)</f>
        <v>N</v>
      </c>
    </row>
    <row r="3" spans="1:28">
      <c r="A3" s="70">
        <v>1</v>
      </c>
      <c r="B3" s="70" t="s">
        <v>48</v>
      </c>
      <c r="C3" s="70" t="str">
        <f>IF(C$2="Y",IF(MaGic_AVM_Land!C3=0,"",MaGic_AVM_Land!C3),"")</f>
        <v/>
      </c>
      <c r="D3" s="70" t="str">
        <f>IF(D$2="Y",IF(MaGic_AVM_Land!D3=0,"",MaGic_AVM_Land!D3),"")</f>
        <v/>
      </c>
      <c r="E3" s="70" t="str">
        <f>IF(E$2="Y",IF(MaGic_AVM_Land!E3=0,"",MaGic_AVM_Land!E3),"")</f>
        <v/>
      </c>
      <c r="F3" s="70" t="str">
        <f>IF(F$2="Y",IF(MaGic_AVM_Land!F3=0,"",MaGic_AVM_Land!F3),"")</f>
        <v/>
      </c>
      <c r="G3" s="70" t="str">
        <f>IF(G$2="Y",IF(MaGic_AVM_Land!G3=0,"",MaGic_AVM_Land!G3),"")</f>
        <v/>
      </c>
      <c r="H3" s="70" t="str">
        <f>IF(H$2="Y",IF(MaGic_AVM_Land!H3=0,"",MaGic_AVM_Land!H3),"")</f>
        <v/>
      </c>
      <c r="I3" s="70" t="str">
        <f>IF(I$2="Y",IF(MaGic_AVM_Land!I3=0,"",MaGic_AVM_Land!I3),"")</f>
        <v/>
      </c>
      <c r="J3" s="70" t="str">
        <f>IF(J$2="Y",IF(MaGic_AVM_Land!J3=0,"",MaGic_AVM_Land!J3),"")</f>
        <v/>
      </c>
      <c r="K3" s="70" t="str">
        <f>IF(K$2="Y",IF(MaGic_AVM_Land!K3=0,"",MaGic_AVM_Land!K3),"")</f>
        <v/>
      </c>
      <c r="L3" s="70" t="str">
        <f>IF(L$2="Y",IF(MaGic_AVM_Land!L3=0,"",MaGic_AVM_Land!L3),"")</f>
        <v/>
      </c>
      <c r="M3" s="70" t="str">
        <f>IF(M$2="Y",IF(MaGic_AVM_Land!M3=0,"",MaGic_AVM_Land!M3),"")</f>
        <v/>
      </c>
      <c r="N3" s="70" t="str">
        <f>IF(N$2="Y",IF(MaGic_AVM_Land!N3=0,"",MaGic_AVM_Land!N3),"")</f>
        <v/>
      </c>
      <c r="O3" s="70" t="str">
        <f>IF(O$2="Y",IF(MaGic_AVM_Land!O3=0,"",MaGic_AVM_Land!O3),"")</f>
        <v/>
      </c>
      <c r="P3" s="70" t="str">
        <f>IF(P$2="Y",IF(MaGic_AVM_Land!P3=0,"",MaGic_AVM_Land!P3),"")</f>
        <v/>
      </c>
      <c r="Q3" s="70" t="str">
        <f>IF(Q$2="Y",IF(MaGic_AVM_Land!Q3=0,"",MaGic_AVM_Land!Q3),"")</f>
        <v/>
      </c>
      <c r="R3" s="70" t="str">
        <f>IF(R$2="Y",IF(MaGic_AVM_Land!R3=0,"",MaGic_AVM_Land!R3),"")</f>
        <v/>
      </c>
      <c r="S3" s="70" t="str">
        <f>IF(S$2="Y",IF(MaGic_AVM_Land!S3=0,"",MaGic_AVM_Land!S3),"")</f>
        <v/>
      </c>
      <c r="T3" s="70" t="str">
        <f>IF(T$2="Y",IF(MaGic_AVM_Land!T3=0,"",MaGic_AVM_Land!T3),"")</f>
        <v/>
      </c>
      <c r="U3" s="70" t="str">
        <f>IF(U$2="Y",IF(MaGic_AVM_Land!U3=0,"",MaGic_AVM_Land!U3),"")</f>
        <v/>
      </c>
      <c r="V3" s="70" t="str">
        <f>IF(V$2="Y",IF(MaGic_AVM_Land!V3=0,"",MaGic_AVM_Land!V3),"")</f>
        <v/>
      </c>
      <c r="W3" s="70" t="str">
        <f>IF(W$2="Y",IF(MaGic_AVM_Land!W3=0,"",MaGic_AVM_Land!W3),"")</f>
        <v/>
      </c>
      <c r="X3" s="70" t="str">
        <f>IF(X$2="Y",IF(MaGic_AVM_Land!X3=0,"",MaGic_AVM_Land!X3),"")</f>
        <v/>
      </c>
      <c r="Y3" s="70" t="str">
        <f>IF(Y$2="Y",IF(MaGic_AVM_Land!Y3=0,"",MaGic_AVM_Land!Y3),"")</f>
        <v/>
      </c>
      <c r="Z3" s="70" t="str">
        <f>IF(Z$2="Y",IF(MaGic_AVM_Land!Z3=0,"",MaGic_AVM_Land!Z3),"")</f>
        <v/>
      </c>
      <c r="AA3" s="69" t="str">
        <f t="shared" ref="AA3:AA7" si="0">_xlfn.TEXTJOIN(", ",TRUE,AB3:AZ3)</f>
        <v/>
      </c>
      <c r="AB3" s="69" t="str" cm="1">
        <f t="array" ref="AB3">_xlfn.UNIQUE(C3:Z3,TRUE,FALSE)</f>
        <v/>
      </c>
    </row>
    <row r="4" spans="1:28">
      <c r="A4" s="70">
        <v>2</v>
      </c>
      <c r="B4" s="70" t="s">
        <v>51</v>
      </c>
      <c r="C4" s="70" t="str">
        <f>IF(C$2="Y",IF(MaGic_AVM_Land!C4=0,"",MaGic_AVM_Land!C4),"")</f>
        <v/>
      </c>
      <c r="D4" s="70" t="str">
        <f>IF(D$2="Y",IF(MaGic_AVM_Land!D4=0,"",MaGic_AVM_Land!D4),"")</f>
        <v/>
      </c>
      <c r="E4" s="70" t="str">
        <f>IF(E$2="Y",IF(MaGic_AVM_Land!E4=0,"",MaGic_AVM_Land!E4),"")</f>
        <v/>
      </c>
      <c r="F4" s="70" t="str">
        <f>IF(F$2="Y",IF(MaGic_AVM_Land!F4=0,"",MaGic_AVM_Land!F4),"")</f>
        <v/>
      </c>
      <c r="G4" s="70" t="str">
        <f>IF(G$2="Y",IF(MaGic_AVM_Land!G4=0,"",MaGic_AVM_Land!G4),"")</f>
        <v/>
      </c>
      <c r="H4" s="70" t="str">
        <f>IF(H$2="Y",IF(MaGic_AVM_Land!H4=0,"",MaGic_AVM_Land!H4),"")</f>
        <v/>
      </c>
      <c r="I4" s="70" t="str">
        <f>IF(I$2="Y",IF(MaGic_AVM_Land!I4=0,"",MaGic_AVM_Land!I4),"")</f>
        <v/>
      </c>
      <c r="J4" s="70" t="str">
        <f>IF(J$2="Y",IF(MaGic_AVM_Land!J4=0,"",MaGic_AVM_Land!J4),"")</f>
        <v/>
      </c>
      <c r="K4" s="70" t="str">
        <f>IF(K$2="Y",IF(MaGic_AVM_Land!K4=0,"",MaGic_AVM_Land!K4),"")</f>
        <v/>
      </c>
      <c r="L4" s="70" t="str">
        <f>IF(L$2="Y",IF(MaGic_AVM_Land!L4=0,"",MaGic_AVM_Land!L4),"")</f>
        <v/>
      </c>
      <c r="M4" s="70" t="str">
        <f>IF(M$2="Y",IF(MaGic_AVM_Land!M4=0,"",MaGic_AVM_Land!M4),"")</f>
        <v/>
      </c>
      <c r="N4" s="70" t="str">
        <f>IF(N$2="Y",IF(MaGic_AVM_Land!N4=0,"",MaGic_AVM_Land!N4),"")</f>
        <v/>
      </c>
      <c r="O4" s="70" t="str">
        <f>IF(O$2="Y",IF(MaGic_AVM_Land!O4=0,"",MaGic_AVM_Land!O4),"")</f>
        <v/>
      </c>
      <c r="P4" s="70" t="str">
        <f>IF(P$2="Y",IF(MaGic_AVM_Land!P4=0,"",MaGic_AVM_Land!P4),"")</f>
        <v/>
      </c>
      <c r="Q4" s="70" t="str">
        <f>IF(Q$2="Y",IF(MaGic_AVM_Land!Q4=0,"",MaGic_AVM_Land!Q4),"")</f>
        <v/>
      </c>
      <c r="R4" s="70" t="str">
        <f>IF(R$2="Y",IF(MaGic_AVM_Land!R4=0,"",MaGic_AVM_Land!R4),"")</f>
        <v/>
      </c>
      <c r="S4" s="70" t="str">
        <f>IF(S$2="Y",IF(MaGic_AVM_Land!S4=0,"",MaGic_AVM_Land!S4),"")</f>
        <v/>
      </c>
      <c r="T4" s="70" t="str">
        <f>IF(T$2="Y",IF(MaGic_AVM_Land!T4=0,"",MaGic_AVM_Land!T4),"")</f>
        <v/>
      </c>
      <c r="U4" s="70" t="str">
        <f>IF(U$2="Y",IF(MaGic_AVM_Land!U4=0,"",MaGic_AVM_Land!U4),"")</f>
        <v/>
      </c>
      <c r="V4" s="70" t="str">
        <f>IF(V$2="Y",IF(MaGic_AVM_Land!V4=0,"",MaGic_AVM_Land!V4),"")</f>
        <v/>
      </c>
      <c r="W4" s="70" t="str">
        <f>IF(W$2="Y",IF(MaGic_AVM_Land!W4=0,"",MaGic_AVM_Land!W4),"")</f>
        <v/>
      </c>
      <c r="X4" s="70" t="str">
        <f>IF(X$2="Y",IF(MaGic_AVM_Land!X4=0,"",MaGic_AVM_Land!X4),"")</f>
        <v/>
      </c>
      <c r="Y4" s="70" t="str">
        <f>IF(Y$2="Y",IF(MaGic_AVM_Land!Y4=0,"",MaGic_AVM_Land!Y4),"")</f>
        <v/>
      </c>
      <c r="Z4" s="70" t="str">
        <f>IF(Z$2="Y",IF(MaGic_AVM_Land!Z4=0,"",MaGic_AVM_Land!Z4),"")</f>
        <v/>
      </c>
      <c r="AA4" s="69" t="str">
        <f t="shared" si="0"/>
        <v/>
      </c>
      <c r="AB4" s="69" t="str" cm="1">
        <f t="array" ref="AB4">_xlfn.UNIQUE(C4:Z4,TRUE,FALSE)</f>
        <v/>
      </c>
    </row>
    <row r="5" spans="1:28">
      <c r="A5" s="70">
        <v>3</v>
      </c>
      <c r="B5" s="70" t="s">
        <v>52</v>
      </c>
      <c r="C5" s="70" t="str">
        <f>IF(C$2="Y",IF(MaGic_AVM_Land!C5=0,"",MaGic_AVM_Land!C5),"")</f>
        <v/>
      </c>
      <c r="D5" s="70" t="str">
        <f>IF(D$2="Y",IF(MaGic_AVM_Land!D5=0,"",MaGic_AVM_Land!D5),"")</f>
        <v/>
      </c>
      <c r="E5" s="70" t="str">
        <f>IF(E$2="Y",IF(MaGic_AVM_Land!E5=0,"",MaGic_AVM_Land!E5),"")</f>
        <v/>
      </c>
      <c r="F5" s="70" t="str">
        <f>IF(F$2="Y",IF(MaGic_AVM_Land!F5=0,"",MaGic_AVM_Land!F5),"")</f>
        <v/>
      </c>
      <c r="G5" s="70" t="str">
        <f>IF(G$2="Y",IF(MaGic_AVM_Land!G5=0,"",MaGic_AVM_Land!G5),"")</f>
        <v/>
      </c>
      <c r="H5" s="70" t="str">
        <f>IF(H$2="Y",IF(MaGic_AVM_Land!H5=0,"",MaGic_AVM_Land!H5),"")</f>
        <v/>
      </c>
      <c r="I5" s="70" t="str">
        <f>IF(I$2="Y",IF(MaGic_AVM_Land!I5=0,"",MaGic_AVM_Land!I5),"")</f>
        <v/>
      </c>
      <c r="J5" s="70" t="str">
        <f>IF(J$2="Y",IF(MaGic_AVM_Land!J5=0,"",MaGic_AVM_Land!J5),"")</f>
        <v/>
      </c>
      <c r="K5" s="70" t="str">
        <f>IF(K$2="Y",IF(MaGic_AVM_Land!K5=0,"",MaGic_AVM_Land!K5),"")</f>
        <v/>
      </c>
      <c r="L5" s="70" t="str">
        <f>IF(L$2="Y",IF(MaGic_AVM_Land!L5=0,"",MaGic_AVM_Land!L5),"")</f>
        <v/>
      </c>
      <c r="M5" s="70" t="str">
        <f>IF(M$2="Y",IF(MaGic_AVM_Land!M5=0,"",MaGic_AVM_Land!M5),"")</f>
        <v/>
      </c>
      <c r="N5" s="70" t="str">
        <f>IF(N$2="Y",IF(MaGic_AVM_Land!N5=0,"",MaGic_AVM_Land!N5),"")</f>
        <v/>
      </c>
      <c r="O5" s="70" t="str">
        <f>IF(O$2="Y",IF(MaGic_AVM_Land!O5=0,"",MaGic_AVM_Land!O5),"")</f>
        <v/>
      </c>
      <c r="P5" s="70" t="str">
        <f>IF(P$2="Y",IF(MaGic_AVM_Land!P5=0,"",MaGic_AVM_Land!P5),"")</f>
        <v/>
      </c>
      <c r="Q5" s="70" t="str">
        <f>IF(Q$2="Y",IF(MaGic_AVM_Land!Q5=0,"",MaGic_AVM_Land!Q5),"")</f>
        <v/>
      </c>
      <c r="R5" s="70" t="str">
        <f>IF(R$2="Y",IF(MaGic_AVM_Land!R5=0,"",MaGic_AVM_Land!R5),"")</f>
        <v/>
      </c>
      <c r="S5" s="70" t="str">
        <f>IF(S$2="Y",IF(MaGic_AVM_Land!S5=0,"",MaGic_AVM_Land!S5),"")</f>
        <v/>
      </c>
      <c r="T5" s="70" t="str">
        <f>IF(T$2="Y",IF(MaGic_AVM_Land!T5=0,"",MaGic_AVM_Land!T5),"")</f>
        <v/>
      </c>
      <c r="U5" s="70" t="str">
        <f>IF(U$2="Y",IF(MaGic_AVM_Land!U5=0,"",MaGic_AVM_Land!U5),"")</f>
        <v/>
      </c>
      <c r="V5" s="70" t="str">
        <f>IF(V$2="Y",IF(MaGic_AVM_Land!V5=0,"",MaGic_AVM_Land!V5),"")</f>
        <v/>
      </c>
      <c r="W5" s="70" t="str">
        <f>IF(W$2="Y",IF(MaGic_AVM_Land!W5=0,"",MaGic_AVM_Land!W5),"")</f>
        <v/>
      </c>
      <c r="X5" s="70" t="str">
        <f>IF(X$2="Y",IF(MaGic_AVM_Land!X5=0,"",MaGic_AVM_Land!X5),"")</f>
        <v/>
      </c>
      <c r="Y5" s="70" t="str">
        <f>IF(Y$2="Y",IF(MaGic_AVM_Land!Y5=0,"",MaGic_AVM_Land!Y5),"")</f>
        <v/>
      </c>
      <c r="Z5" s="70" t="str">
        <f>IF(Z$2="Y",IF(MaGic_AVM_Land!Z5=0,"",MaGic_AVM_Land!Z5),"")</f>
        <v/>
      </c>
      <c r="AA5" s="69" t="str">
        <f t="shared" si="0"/>
        <v/>
      </c>
      <c r="AB5" s="69" t="str" cm="1">
        <f t="array" ref="AB5">_xlfn.UNIQUE(C5:Z5,TRUE,FALSE)</f>
        <v/>
      </c>
    </row>
    <row r="6" spans="1:28">
      <c r="A6" s="70">
        <v>4</v>
      </c>
      <c r="B6" s="70" t="s">
        <v>1101</v>
      </c>
      <c r="C6" s="70" t="str">
        <f>IF(C$2="Y",IF(MaGic_AVM_Land!C6=0,"",MaGic_AVM_Land!C6),"")</f>
        <v/>
      </c>
      <c r="D6" s="70" t="str">
        <f>IF(D$2="Y",IF(MaGic_AVM_Land!D6=0,"",MaGic_AVM_Land!D6),"")</f>
        <v/>
      </c>
      <c r="E6" s="70" t="str">
        <f>IF(E$2="Y",IF(MaGic_AVM_Land!E6=0,"",MaGic_AVM_Land!E6),"")</f>
        <v/>
      </c>
      <c r="F6" s="70" t="str">
        <f>IF(F$2="Y",IF(MaGic_AVM_Land!F6=0,"",MaGic_AVM_Land!F6),"")</f>
        <v/>
      </c>
      <c r="G6" s="70" t="str">
        <f>IF(G$2="Y",IF(MaGic_AVM_Land!G6=0,"",MaGic_AVM_Land!G6),"")</f>
        <v/>
      </c>
      <c r="H6" s="70" t="str">
        <f>IF(H$2="Y",IF(MaGic_AVM_Land!H6=0,"",MaGic_AVM_Land!H6),"")</f>
        <v/>
      </c>
      <c r="I6" s="70" t="str">
        <f>IF(I$2="Y",IF(MaGic_AVM_Land!I6=0,"",MaGic_AVM_Land!I6),"")</f>
        <v/>
      </c>
      <c r="J6" s="70" t="str">
        <f>IF(J$2="Y",IF(MaGic_AVM_Land!J6=0,"",MaGic_AVM_Land!J6),"")</f>
        <v/>
      </c>
      <c r="K6" s="70" t="str">
        <f>IF(K$2="Y",IF(MaGic_AVM_Land!K6=0,"",MaGic_AVM_Land!K6),"")</f>
        <v/>
      </c>
      <c r="L6" s="70" t="str">
        <f>IF(L$2="Y",IF(MaGic_AVM_Land!L6=0,"",MaGic_AVM_Land!L6),"")</f>
        <v/>
      </c>
      <c r="M6" s="70" t="str">
        <f>IF(M$2="Y",IF(MaGic_AVM_Land!M6=0,"",MaGic_AVM_Land!M6),"")</f>
        <v/>
      </c>
      <c r="N6" s="70" t="str">
        <f>IF(N$2="Y",IF(MaGic_AVM_Land!N6=0,"",MaGic_AVM_Land!N6),"")</f>
        <v/>
      </c>
      <c r="O6" s="70" t="str">
        <f>IF(O$2="Y",IF(MaGic_AVM_Land!O6=0,"",MaGic_AVM_Land!O6),"")</f>
        <v/>
      </c>
      <c r="P6" s="70" t="str">
        <f>IF(P$2="Y",IF(MaGic_AVM_Land!P6=0,"",MaGic_AVM_Land!P6),"")</f>
        <v/>
      </c>
      <c r="Q6" s="70" t="str">
        <f>IF(Q$2="Y",IF(MaGic_AVM_Land!Q6=0,"",MaGic_AVM_Land!Q6),"")</f>
        <v/>
      </c>
      <c r="R6" s="70" t="str">
        <f>IF(R$2="Y",IF(MaGic_AVM_Land!R6=0,"",MaGic_AVM_Land!R6),"")</f>
        <v/>
      </c>
      <c r="S6" s="70" t="str">
        <f>IF(S$2="Y",IF(MaGic_AVM_Land!S6=0,"",MaGic_AVM_Land!S6),"")</f>
        <v/>
      </c>
      <c r="T6" s="70" t="str">
        <f>IF(T$2="Y",IF(MaGic_AVM_Land!T6=0,"",MaGic_AVM_Land!T6),"")</f>
        <v/>
      </c>
      <c r="U6" s="70" t="str">
        <f>IF(U$2="Y",IF(MaGic_AVM_Land!U6=0,"",MaGic_AVM_Land!U6),"")</f>
        <v/>
      </c>
      <c r="V6" s="70" t="str">
        <f>IF(V$2="Y",IF(MaGic_AVM_Land!V6=0,"",MaGic_AVM_Land!V6),"")</f>
        <v/>
      </c>
      <c r="W6" s="70" t="str">
        <f>IF(W$2="Y",IF(MaGic_AVM_Land!W6=0,"",MaGic_AVM_Land!W6),"")</f>
        <v/>
      </c>
      <c r="X6" s="70" t="str">
        <f>IF(X$2="Y",IF(MaGic_AVM_Land!X6=0,"",MaGic_AVM_Land!X6),"")</f>
        <v/>
      </c>
      <c r="Y6" s="70" t="str">
        <f>IF(Y$2="Y",IF(MaGic_AVM_Land!Y6=0,"",MaGic_AVM_Land!Y6),"")</f>
        <v/>
      </c>
      <c r="Z6" s="70" t="str">
        <f>IF(Z$2="Y",IF(MaGic_AVM_Land!Z6=0,"",MaGic_AVM_Land!Z6),"")</f>
        <v/>
      </c>
      <c r="AA6" s="69" t="str">
        <f t="shared" si="0"/>
        <v/>
      </c>
      <c r="AB6" s="69" t="str" cm="1">
        <f t="array" ref="AB6">_xlfn.UNIQUE(C6:Z6,TRUE,FALSE)</f>
        <v/>
      </c>
    </row>
    <row r="7" spans="1:28">
      <c r="A7" s="70">
        <v>2</v>
      </c>
      <c r="B7" s="70" t="s">
        <v>1102</v>
      </c>
      <c r="C7" s="70" t="str">
        <f>IF(C$2="Y",IF(MaGic_AVM_Land!C7=0,"",MaGic_AVM_Land!C7),"")</f>
        <v/>
      </c>
      <c r="D7" s="70" t="str">
        <f>IF(D$2="Y",IF(MaGic_AVM_Land!D7=0,"",MaGic_AVM_Land!D7),"")</f>
        <v/>
      </c>
      <c r="E7" s="70" t="str">
        <f>IF(E$2="Y",IF(MaGic_AVM_Land!E7=0,"",MaGic_AVM_Land!E7),"")</f>
        <v/>
      </c>
      <c r="F7" s="70" t="str">
        <f>IF(F$2="Y",IF(MaGic_AVM_Land!F7=0,"",MaGic_AVM_Land!F7),"")</f>
        <v/>
      </c>
      <c r="G7" s="70" t="str">
        <f>IF(G$2="Y",IF(MaGic_AVM_Land!G7=0,"",MaGic_AVM_Land!G7),"")</f>
        <v/>
      </c>
      <c r="H7" s="70" t="str">
        <f>IF(H$2="Y",IF(MaGic_AVM_Land!H7=0,"",MaGic_AVM_Land!H7),"")</f>
        <v/>
      </c>
      <c r="I7" s="70" t="str">
        <f>IF(I$2="Y",IF(MaGic_AVM_Land!I7=0,"",MaGic_AVM_Land!I7),"")</f>
        <v/>
      </c>
      <c r="J7" s="70" t="str">
        <f>IF(J$2="Y",IF(MaGic_AVM_Land!J7=0,"",MaGic_AVM_Land!J7),"")</f>
        <v/>
      </c>
      <c r="K7" s="70" t="str">
        <f>IF(K$2="Y",IF(MaGic_AVM_Land!K7=0,"",MaGic_AVM_Land!K7),"")</f>
        <v/>
      </c>
      <c r="L7" s="70" t="str">
        <f>IF(L$2="Y",IF(MaGic_AVM_Land!L7=0,"",MaGic_AVM_Land!L7),"")</f>
        <v/>
      </c>
      <c r="M7" s="70" t="str">
        <f>IF(M$2="Y",IF(MaGic_AVM_Land!M7=0,"",MaGic_AVM_Land!M7),"")</f>
        <v/>
      </c>
      <c r="N7" s="70" t="str">
        <f>IF(N$2="Y",IF(MaGic_AVM_Land!N7=0,"",MaGic_AVM_Land!N7),"")</f>
        <v/>
      </c>
      <c r="O7" s="70" t="str">
        <f>IF(O$2="Y",IF(MaGic_AVM_Land!O7=0,"",MaGic_AVM_Land!O7),"")</f>
        <v/>
      </c>
      <c r="P7" s="70" t="str">
        <f>IF(P$2="Y",IF(MaGic_AVM_Land!P7=0,"",MaGic_AVM_Land!P7),"")</f>
        <v/>
      </c>
      <c r="Q7" s="70" t="str">
        <f>IF(Q$2="Y",IF(MaGic_AVM_Land!Q7=0,"",MaGic_AVM_Land!Q7),"")</f>
        <v/>
      </c>
      <c r="R7" s="70" t="str">
        <f>IF(R$2="Y",IF(MaGic_AVM_Land!R7=0,"",MaGic_AVM_Land!R7),"")</f>
        <v/>
      </c>
      <c r="S7" s="70" t="str">
        <f>IF(S$2="Y",IF(MaGic_AVM_Land!S7=0,"",MaGic_AVM_Land!S7),"")</f>
        <v/>
      </c>
      <c r="T7" s="70" t="str">
        <f>IF(T$2="Y",IF(MaGic_AVM_Land!T7=0,"",MaGic_AVM_Land!T7),"")</f>
        <v/>
      </c>
      <c r="U7" s="70" t="str">
        <f>IF(U$2="Y",IF(MaGic_AVM_Land!U7=0,"",MaGic_AVM_Land!U7),"")</f>
        <v/>
      </c>
      <c r="V7" s="70" t="str">
        <f>IF(V$2="Y",IF(MaGic_AVM_Land!V7=0,"",MaGic_AVM_Land!V7),"")</f>
        <v/>
      </c>
      <c r="W7" s="70" t="str">
        <f>IF(W$2="Y",IF(MaGic_AVM_Land!W7=0,"",MaGic_AVM_Land!W7),"")</f>
        <v/>
      </c>
      <c r="X7" s="70" t="str">
        <f>IF(X$2="Y",IF(MaGic_AVM_Land!X7=0,"",MaGic_AVM_Land!X7),"")</f>
        <v/>
      </c>
      <c r="Y7" s="70" t="str">
        <f>IF(Y$2="Y",IF(MaGic_AVM_Land!Y7=0,"",MaGic_AVM_Land!Y7),"")</f>
        <v/>
      </c>
      <c r="Z7" s="70" t="str">
        <f>IF(Z$2="Y",IF(MaGic_AVM_Land!Z7=0,"",MaGic_AVM_Land!Z7),"")</f>
        <v/>
      </c>
      <c r="AA7" s="69" t="str">
        <f t="shared" si="0"/>
        <v/>
      </c>
      <c r="AB7" s="69" t="str" cm="1">
        <f t="array" ref="AB7">_xlfn.UNIQUE(C7:Z7,TRUE,FALSE)</f>
        <v/>
      </c>
    </row>
    <row r="8" spans="1:28">
      <c r="A8" s="70">
        <v>6</v>
      </c>
      <c r="B8" s="70" t="s">
        <v>31</v>
      </c>
      <c r="C8" s="70" t="str">
        <f>IF(C$2="Y",IF(MaGic_AVM_Land!C8=0,"",MaGic_AVM_Land!C8),"")</f>
        <v/>
      </c>
      <c r="D8" s="70" t="str">
        <f>IF(D$2="Y",IF(MaGic_AVM_Land!D8=0,"",MaGic_AVM_Land!D8),"")</f>
        <v/>
      </c>
      <c r="E8" s="70" t="str">
        <f>IF(E$2="Y",IF(MaGic_AVM_Land!E8=0,"",MaGic_AVM_Land!E8),"")</f>
        <v/>
      </c>
      <c r="F8" s="70" t="str">
        <f>IF(F$2="Y",IF(MaGic_AVM_Land!F8=0,"",MaGic_AVM_Land!F8),"")</f>
        <v/>
      </c>
      <c r="G8" s="70" t="str">
        <f>IF(G$2="Y",IF(MaGic_AVM_Land!G8=0,"",MaGic_AVM_Land!G8),"")</f>
        <v/>
      </c>
      <c r="H8" s="70" t="str">
        <f>IF(H$2="Y",IF(MaGic_AVM_Land!H8=0,"",MaGic_AVM_Land!H8),"")</f>
        <v/>
      </c>
      <c r="I8" s="70" t="str">
        <f>IF(I$2="Y",IF(MaGic_AVM_Land!I8=0,"",MaGic_AVM_Land!I8),"")</f>
        <v/>
      </c>
      <c r="J8" s="70" t="str">
        <f>IF(J$2="Y",IF(MaGic_AVM_Land!J8=0,"",MaGic_AVM_Land!J8),"")</f>
        <v/>
      </c>
      <c r="K8" s="70" t="str">
        <f>IF(K$2="Y",IF(MaGic_AVM_Land!K8=0,"",MaGic_AVM_Land!K8),"")</f>
        <v/>
      </c>
      <c r="L8" s="70" t="str">
        <f>IF(L$2="Y",IF(MaGic_AVM_Land!L8=0,"",MaGic_AVM_Land!L8),"")</f>
        <v/>
      </c>
      <c r="M8" s="70" t="str">
        <f>IF(M$2="Y",IF(MaGic_AVM_Land!M8=0,"",MaGic_AVM_Land!M8),"")</f>
        <v/>
      </c>
      <c r="N8" s="70" t="str">
        <f>IF(N$2="Y",IF(MaGic_AVM_Land!N8=0,"",MaGic_AVM_Land!N8),"")</f>
        <v/>
      </c>
      <c r="O8" s="70" t="str">
        <f>IF(O$2="Y",IF(MaGic_AVM_Land!O8=0,"",MaGic_AVM_Land!O8),"")</f>
        <v/>
      </c>
      <c r="P8" s="70" t="str">
        <f>IF(P$2="Y",IF(MaGic_AVM_Land!P8=0,"",MaGic_AVM_Land!P8),"")</f>
        <v/>
      </c>
      <c r="Q8" s="70" t="str">
        <f>IF(Q$2="Y",IF(MaGic_AVM_Land!Q8=0,"",MaGic_AVM_Land!Q8),"")</f>
        <v/>
      </c>
      <c r="R8" s="70" t="str">
        <f>IF(R$2="Y",IF(MaGic_AVM_Land!R8=0,"",MaGic_AVM_Land!R8),"")</f>
        <v/>
      </c>
      <c r="S8" s="70" t="str">
        <f>IF(S$2="Y",IF(MaGic_AVM_Land!S8=0,"",MaGic_AVM_Land!S8),"")</f>
        <v/>
      </c>
      <c r="T8" s="70" t="str">
        <f>IF(T$2="Y",IF(MaGic_AVM_Land!T8=0,"",MaGic_AVM_Land!T8),"")</f>
        <v/>
      </c>
      <c r="U8" s="70" t="str">
        <f>IF(U$2="Y",IF(MaGic_AVM_Land!U8=0,"",MaGic_AVM_Land!U8),"")</f>
        <v/>
      </c>
      <c r="V8" s="70" t="str">
        <f>IF(V$2="Y",IF(MaGic_AVM_Land!V8=0,"",MaGic_AVM_Land!V8),"")</f>
        <v/>
      </c>
      <c r="W8" s="70" t="str">
        <f>IF(W$2="Y",IF(MaGic_AVM_Land!W8=0,"",MaGic_AVM_Land!W8),"")</f>
        <v/>
      </c>
      <c r="X8" s="70" t="str">
        <f>IF(X$2="Y",IF(MaGic_AVM_Land!X8=0,"",MaGic_AVM_Land!X8),"")</f>
        <v/>
      </c>
      <c r="Y8" s="70" t="str">
        <f>IF(Y$2="Y",IF(MaGic_AVM_Land!Y8=0,"",MaGic_AVM_Land!Y8),"")</f>
        <v/>
      </c>
      <c r="Z8" s="70" t="str">
        <f>IF(Z$2="Y",IF(MaGic_AVM_Land!Z8=0,"",MaGic_AVM_Land!Z8),"")</f>
        <v/>
      </c>
      <c r="AA8" s="69" t="str">
        <f>CONCATENATE(IF(AB8="",AC8,AB8)," District")</f>
        <v>District</v>
      </c>
      <c r="AB8" s="69" t="str" cm="1">
        <f t="array" ref="AB8">_xlfn.UNIQUE(C8:Z8,TRUE,FALSE)</f>
        <v/>
      </c>
    </row>
    <row r="9" spans="1:28">
      <c r="A9" s="70">
        <v>7</v>
      </c>
      <c r="B9" s="70" t="s">
        <v>59</v>
      </c>
      <c r="C9" s="70" t="str">
        <f>IF(C$2="Y",IF(MaGic_AVM_Land!C9=0,"",MaGic_AVM_Land!C9),"")</f>
        <v/>
      </c>
      <c r="D9" s="70" t="str">
        <f>IF(D$2="Y",IF(MaGic_AVM_Land!D9=0,"",MaGic_AVM_Land!D9),"")</f>
        <v/>
      </c>
      <c r="E9" s="70" t="str">
        <f>IF(E$2="Y",IF(MaGic_AVM_Land!E9=0,"",MaGic_AVM_Land!E9),"")</f>
        <v/>
      </c>
      <c r="F9" s="70" t="str">
        <f>IF(F$2="Y",IF(MaGic_AVM_Land!F9=0,"",MaGic_AVM_Land!F9),"")</f>
        <v/>
      </c>
      <c r="G9" s="70" t="str">
        <f>IF(G$2="Y",IF(MaGic_AVM_Land!G9=0,"",MaGic_AVM_Land!G9),"")</f>
        <v/>
      </c>
      <c r="H9" s="70" t="str">
        <f>IF(H$2="Y",IF(MaGic_AVM_Land!H9=0,"",MaGic_AVM_Land!H9),"")</f>
        <v/>
      </c>
      <c r="I9" s="70" t="str">
        <f>IF(I$2="Y",IF(MaGic_AVM_Land!I9=0,"",MaGic_AVM_Land!I9),"")</f>
        <v/>
      </c>
      <c r="J9" s="70" t="str">
        <f>IF(J$2="Y",IF(MaGic_AVM_Land!J9=0,"",MaGic_AVM_Land!J9),"")</f>
        <v/>
      </c>
      <c r="K9" s="70" t="str">
        <f>IF(K$2="Y",IF(MaGic_AVM_Land!K9=0,"",MaGic_AVM_Land!K9),"")</f>
        <v/>
      </c>
      <c r="L9" s="70" t="str">
        <f>IF(L$2="Y",IF(MaGic_AVM_Land!L9=0,"",MaGic_AVM_Land!L9),"")</f>
        <v/>
      </c>
      <c r="M9" s="70" t="str">
        <f>IF(M$2="Y",IF(MaGic_AVM_Land!M9=0,"",MaGic_AVM_Land!M9),"")</f>
        <v/>
      </c>
      <c r="N9" s="70" t="str">
        <f>IF(N$2="Y",IF(MaGic_AVM_Land!N9=0,"",MaGic_AVM_Land!N9),"")</f>
        <v/>
      </c>
      <c r="O9" s="70" t="str">
        <f>IF(O$2="Y",IF(MaGic_AVM_Land!O9=0,"",MaGic_AVM_Land!O9),"")</f>
        <v/>
      </c>
      <c r="P9" s="70" t="str">
        <f>IF(P$2="Y",IF(MaGic_AVM_Land!P9=0,"",MaGic_AVM_Land!P9),"")</f>
        <v/>
      </c>
      <c r="Q9" s="70" t="str">
        <f>IF(Q$2="Y",IF(MaGic_AVM_Land!Q9=0,"",MaGic_AVM_Land!Q9),"")</f>
        <v/>
      </c>
      <c r="R9" s="70" t="str">
        <f>IF(R$2="Y",IF(MaGic_AVM_Land!R9=0,"",MaGic_AVM_Land!R9),"")</f>
        <v/>
      </c>
      <c r="S9" s="70" t="str">
        <f>IF(S$2="Y",IF(MaGic_AVM_Land!S9=0,"",MaGic_AVM_Land!S9),"")</f>
        <v/>
      </c>
      <c r="T9" s="70" t="str">
        <f>IF(T$2="Y",IF(MaGic_AVM_Land!T9=0,"",MaGic_AVM_Land!T9),"")</f>
        <v/>
      </c>
      <c r="U9" s="70" t="str">
        <f>IF(U$2="Y",IF(MaGic_AVM_Land!U9=0,"",MaGic_AVM_Land!U9),"")</f>
        <v/>
      </c>
      <c r="V9" s="70" t="str">
        <f>IF(V$2="Y",IF(MaGic_AVM_Land!V9=0,"",MaGic_AVM_Land!V9),"")</f>
        <v/>
      </c>
      <c r="W9" s="70" t="str">
        <f>IF(W$2="Y",IF(MaGic_AVM_Land!W9=0,"",MaGic_AVM_Land!W9),"")</f>
        <v/>
      </c>
      <c r="X9" s="70" t="str">
        <f>IF(X$2="Y",IF(MaGic_AVM_Land!X9=0,"",MaGic_AVM_Land!X9),"")</f>
        <v/>
      </c>
      <c r="Y9" s="70" t="str">
        <f>IF(Y$2="Y",IF(MaGic_AVM_Land!Y9=0,"",MaGic_AVM_Land!Y9),"")</f>
        <v/>
      </c>
      <c r="Z9" s="70" t="str">
        <f>IF(Z$2="Y",IF(MaGic_AVM_Land!Z9=0,"",MaGic_AVM_Land!Z9),"")</f>
        <v/>
      </c>
      <c r="AA9" s="69" t="str">
        <f>CONCATENATE(IF(AB9="",AC9,AB9)," SRO")</f>
        <v>SRO</v>
      </c>
      <c r="AB9" s="69" t="str" cm="1">
        <f t="array" ref="AB9">_xlfn.UNIQUE(C9:Z9,TRUE,FALSE)</f>
        <v/>
      </c>
    </row>
    <row r="10" spans="1:28">
      <c r="A10" s="70">
        <v>8</v>
      </c>
      <c r="B10" s="70" t="s">
        <v>61</v>
      </c>
      <c r="C10" s="70" t="str">
        <f>IF(C$2="Y",IF(MaGic_AVM_Land!C10=0,"",MaGic_AVM_Land!C10),"")</f>
        <v/>
      </c>
      <c r="D10" s="70" t="str">
        <f>IF(D$2="Y",IF(MaGic_AVM_Land!D10=0,"",MaGic_AVM_Land!D10),"")</f>
        <v/>
      </c>
      <c r="E10" s="70" t="str">
        <f>IF(E$2="Y",IF(MaGic_AVM_Land!E10=0,"",MaGic_AVM_Land!E10),"")</f>
        <v/>
      </c>
      <c r="F10" s="70" t="str">
        <f>IF(F$2="Y",IF(MaGic_AVM_Land!F10=0,"",MaGic_AVM_Land!F10),"")</f>
        <v/>
      </c>
      <c r="G10" s="70" t="str">
        <f>IF(G$2="Y",IF(MaGic_AVM_Land!G10=0,"",MaGic_AVM_Land!G10),"")</f>
        <v/>
      </c>
      <c r="H10" s="70" t="str">
        <f>IF(H$2="Y",IF(MaGic_AVM_Land!H10=0,"",MaGic_AVM_Land!H10),"")</f>
        <v/>
      </c>
      <c r="I10" s="70" t="str">
        <f>IF(I$2="Y",IF(MaGic_AVM_Land!I10=0,"",MaGic_AVM_Land!I10),"")</f>
        <v/>
      </c>
      <c r="J10" s="70" t="str">
        <f>IF(J$2="Y",IF(MaGic_AVM_Land!J10=0,"",MaGic_AVM_Land!J10),"")</f>
        <v/>
      </c>
      <c r="K10" s="70" t="str">
        <f>IF(K$2="Y",IF(MaGic_AVM_Land!K10=0,"",MaGic_AVM_Land!K10),"")</f>
        <v/>
      </c>
      <c r="L10" s="70" t="str">
        <f>IF(L$2="Y",IF(MaGic_AVM_Land!L10=0,"",MaGic_AVM_Land!L10),"")</f>
        <v/>
      </c>
      <c r="M10" s="70" t="str">
        <f>IF(M$2="Y",IF(MaGic_AVM_Land!M10=0,"",MaGic_AVM_Land!M10),"")</f>
        <v/>
      </c>
      <c r="N10" s="70" t="str">
        <f>IF(N$2="Y",IF(MaGic_AVM_Land!N10=0,"",MaGic_AVM_Land!N10),"")</f>
        <v/>
      </c>
      <c r="O10" s="70" t="str">
        <f>IF(O$2="Y",IF(MaGic_AVM_Land!O10=0,"",MaGic_AVM_Land!O10),"")</f>
        <v/>
      </c>
      <c r="P10" s="70" t="str">
        <f>IF(P$2="Y",IF(MaGic_AVM_Land!P10=0,"",MaGic_AVM_Land!P10),"")</f>
        <v/>
      </c>
      <c r="Q10" s="70" t="str">
        <f>IF(Q$2="Y",IF(MaGic_AVM_Land!Q10=0,"",MaGic_AVM_Land!Q10),"")</f>
        <v/>
      </c>
      <c r="R10" s="70" t="str">
        <f>IF(R$2="Y",IF(MaGic_AVM_Land!R10=0,"",MaGic_AVM_Land!R10),"")</f>
        <v/>
      </c>
      <c r="S10" s="70" t="str">
        <f>IF(S$2="Y",IF(MaGic_AVM_Land!S10=0,"",MaGic_AVM_Land!S10),"")</f>
        <v/>
      </c>
      <c r="T10" s="70" t="str">
        <f>IF(T$2="Y",IF(MaGic_AVM_Land!T10=0,"",MaGic_AVM_Land!T10),"")</f>
        <v/>
      </c>
      <c r="U10" s="70" t="str">
        <f>IF(U$2="Y",IF(MaGic_AVM_Land!U10=0,"",MaGic_AVM_Land!U10),"")</f>
        <v/>
      </c>
      <c r="V10" s="70" t="str">
        <f>IF(V$2="Y",IF(MaGic_AVM_Land!V10=0,"",MaGic_AVM_Land!V10),"")</f>
        <v/>
      </c>
      <c r="W10" s="70" t="str">
        <f>IF(W$2="Y",IF(MaGic_AVM_Land!W10=0,"",MaGic_AVM_Land!W10),"")</f>
        <v/>
      </c>
      <c r="X10" s="70" t="str">
        <f>IF(X$2="Y",IF(MaGic_AVM_Land!X10=0,"",MaGic_AVM_Land!X10),"")</f>
        <v/>
      </c>
      <c r="Y10" s="70" t="str">
        <f>IF(Y$2="Y",IF(MaGic_AVM_Land!Y10=0,"",MaGic_AVM_Land!Y10),"")</f>
        <v/>
      </c>
      <c r="Z10" s="70" t="str">
        <f>IF(Z$2="Y",IF(MaGic_AVM_Land!Z10=0,"",MaGic_AVM_Land!Z10),"")</f>
        <v/>
      </c>
      <c r="AA10" s="69" t="str">
        <f>CONCATENATE(IF(AB10="",AC10,AB10)," Taluk")</f>
        <v>Taluk</v>
      </c>
      <c r="AB10" s="69" t="str" cm="1">
        <f t="array" ref="AB10">_xlfn.UNIQUE(C10:Z10,TRUE,FALSE)</f>
        <v/>
      </c>
    </row>
    <row r="11" spans="1:28">
      <c r="A11" s="70">
        <v>9</v>
      </c>
      <c r="B11" s="70" t="s">
        <v>63</v>
      </c>
      <c r="C11" s="70" t="str">
        <f>IF(C$2="Y",IF(MaGic_AVM_Land!C11=0,"",MaGic_AVM_Land!C11),"")</f>
        <v/>
      </c>
      <c r="D11" s="70" t="str">
        <f>IF(D$2="Y",IF(MaGic_AVM_Land!D11=0,"",MaGic_AVM_Land!D11),"")</f>
        <v/>
      </c>
      <c r="E11" s="70" t="str">
        <f>IF(E$2="Y",IF(MaGic_AVM_Land!E11=0,"",MaGic_AVM_Land!E11),"")</f>
        <v/>
      </c>
      <c r="F11" s="70" t="str">
        <f>IF(F$2="Y",IF(MaGic_AVM_Land!F11=0,"",MaGic_AVM_Land!F11),"")</f>
        <v/>
      </c>
      <c r="G11" s="70" t="str">
        <f>IF(G$2="Y",IF(MaGic_AVM_Land!G11=0,"",MaGic_AVM_Land!G11),"")</f>
        <v/>
      </c>
      <c r="H11" s="70" t="str">
        <f>IF(H$2="Y",IF(MaGic_AVM_Land!H11=0,"",MaGic_AVM_Land!H11),"")</f>
        <v/>
      </c>
      <c r="I11" s="70" t="str">
        <f>IF(I$2="Y",IF(MaGic_AVM_Land!I11=0,"",MaGic_AVM_Land!I11),"")</f>
        <v/>
      </c>
      <c r="J11" s="70" t="str">
        <f>IF(J$2="Y",IF(MaGic_AVM_Land!J11=0,"",MaGic_AVM_Land!J11),"")</f>
        <v/>
      </c>
      <c r="K11" s="70" t="str">
        <f>IF(K$2="Y",IF(MaGic_AVM_Land!K11=0,"",MaGic_AVM_Land!K11),"")</f>
        <v/>
      </c>
      <c r="L11" s="70" t="str">
        <f>IF(L$2="Y",IF(MaGic_AVM_Land!L11=0,"",MaGic_AVM_Land!L11),"")</f>
        <v/>
      </c>
      <c r="M11" s="70" t="str">
        <f>IF(M$2="Y",IF(MaGic_AVM_Land!M11=0,"",MaGic_AVM_Land!M11),"")</f>
        <v/>
      </c>
      <c r="N11" s="70" t="str">
        <f>IF(N$2="Y",IF(MaGic_AVM_Land!N11=0,"",MaGic_AVM_Land!N11),"")</f>
        <v/>
      </c>
      <c r="O11" s="70" t="str">
        <f>IF(O$2="Y",IF(MaGic_AVM_Land!O11=0,"",MaGic_AVM_Land!O11),"")</f>
        <v/>
      </c>
      <c r="P11" s="70" t="str">
        <f>IF(P$2="Y",IF(MaGic_AVM_Land!P11=0,"",MaGic_AVM_Land!P11),"")</f>
        <v/>
      </c>
      <c r="Q11" s="70" t="str">
        <f>IF(Q$2="Y",IF(MaGic_AVM_Land!Q11=0,"",MaGic_AVM_Land!Q11),"")</f>
        <v/>
      </c>
      <c r="R11" s="70" t="str">
        <f>IF(R$2="Y",IF(MaGic_AVM_Land!R11=0,"",MaGic_AVM_Land!R11),"")</f>
        <v/>
      </c>
      <c r="S11" s="70" t="str">
        <f>IF(S$2="Y",IF(MaGic_AVM_Land!S11=0,"",MaGic_AVM_Land!S11),"")</f>
        <v/>
      </c>
      <c r="T11" s="70" t="str">
        <f>IF(T$2="Y",IF(MaGic_AVM_Land!T11=0,"",MaGic_AVM_Land!T11),"")</f>
        <v/>
      </c>
      <c r="U11" s="70" t="str">
        <f>IF(U$2="Y",IF(MaGic_AVM_Land!U11=0,"",MaGic_AVM_Land!U11),"")</f>
        <v/>
      </c>
      <c r="V11" s="70" t="str">
        <f>IF(V$2="Y",IF(MaGic_AVM_Land!V11=0,"",MaGic_AVM_Land!V11),"")</f>
        <v/>
      </c>
      <c r="W11" s="70" t="str">
        <f>IF(W$2="Y",IF(MaGic_AVM_Land!W11=0,"",MaGic_AVM_Land!W11),"")</f>
        <v/>
      </c>
      <c r="X11" s="70" t="str">
        <f>IF(X$2="Y",IF(MaGic_AVM_Land!X11=0,"",MaGic_AVM_Land!X11),"")</f>
        <v/>
      </c>
      <c r="Y11" s="70" t="str">
        <f>IF(Y$2="Y",IF(MaGic_AVM_Land!Y11=0,"",MaGic_AVM_Land!Y11),"")</f>
        <v/>
      </c>
      <c r="Z11" s="70" t="str">
        <f>IF(Z$2="Y",IF(MaGic_AVM_Land!Z11=0,"",MaGic_AVM_Land!Z11),"")</f>
        <v/>
      </c>
      <c r="AA11" s="69" t="str">
        <f>CONCATENATE(IF(AB11="",AC11,AB11)," Village")</f>
        <v>Village</v>
      </c>
      <c r="AB11" s="69" t="str" cm="1">
        <f t="array" ref="AB11">_xlfn.UNIQUE(C11:Z11,TRUE,FALSE)</f>
        <v/>
      </c>
    </row>
    <row r="12" spans="1:28">
      <c r="A12" s="70">
        <v>10</v>
      </c>
      <c r="B12" s="70" t="s">
        <v>65</v>
      </c>
      <c r="C12" s="70" t="str">
        <f>IF(C$2="Y",IF(MaGic_AVM_Land!C12=0,"",MaGic_AVM_Land!C12),"")</f>
        <v/>
      </c>
      <c r="D12" s="70" t="str">
        <f>IF(D$2="Y",IF(MaGic_AVM_Land!D12=0,"",MaGic_AVM_Land!D12),"")</f>
        <v/>
      </c>
      <c r="E12" s="70" t="str">
        <f>IF(E$2="Y",IF(MaGic_AVM_Land!E12=0,"",MaGic_AVM_Land!E12),"")</f>
        <v/>
      </c>
      <c r="F12" s="70" t="str">
        <f>IF(F$2="Y",IF(MaGic_AVM_Land!F12=0,"",MaGic_AVM_Land!F12),"")</f>
        <v/>
      </c>
      <c r="G12" s="70" t="str">
        <f>IF(G$2="Y",IF(MaGic_AVM_Land!G12=0,"",MaGic_AVM_Land!G12),"")</f>
        <v/>
      </c>
      <c r="H12" s="70" t="str">
        <f>IF(H$2="Y",IF(MaGic_AVM_Land!H12=0,"",MaGic_AVM_Land!H12),"")</f>
        <v/>
      </c>
      <c r="I12" s="70" t="str">
        <f>IF(I$2="Y",IF(MaGic_AVM_Land!I12=0,"",MaGic_AVM_Land!I12),"")</f>
        <v/>
      </c>
      <c r="J12" s="70" t="str">
        <f>IF(J$2="Y",IF(MaGic_AVM_Land!J12=0,"",MaGic_AVM_Land!J12),"")</f>
        <v/>
      </c>
      <c r="K12" s="70" t="str">
        <f>IF(K$2="Y",IF(MaGic_AVM_Land!K12=0,"",MaGic_AVM_Land!K12),"")</f>
        <v/>
      </c>
      <c r="L12" s="70" t="str">
        <f>IF(L$2="Y",IF(MaGic_AVM_Land!L12=0,"",MaGic_AVM_Land!L12),"")</f>
        <v/>
      </c>
      <c r="M12" s="70" t="str">
        <f>IF(M$2="Y",IF(MaGic_AVM_Land!M12=0,"",MaGic_AVM_Land!M12),"")</f>
        <v/>
      </c>
      <c r="N12" s="70" t="str">
        <f>IF(N$2="Y",IF(MaGic_AVM_Land!N12=0,"",MaGic_AVM_Land!N12),"")</f>
        <v/>
      </c>
      <c r="O12" s="70" t="str">
        <f>IF(O$2="Y",IF(MaGic_AVM_Land!O12=0,"",MaGic_AVM_Land!O12),"")</f>
        <v/>
      </c>
      <c r="P12" s="70" t="str">
        <f>IF(P$2="Y",IF(MaGic_AVM_Land!P12=0,"",MaGic_AVM_Land!P12),"")</f>
        <v/>
      </c>
      <c r="Q12" s="70" t="str">
        <f>IF(Q$2="Y",IF(MaGic_AVM_Land!Q12=0,"",MaGic_AVM_Land!Q12),"")</f>
        <v/>
      </c>
      <c r="R12" s="70" t="str">
        <f>IF(R$2="Y",IF(MaGic_AVM_Land!R12=0,"",MaGic_AVM_Land!R12),"")</f>
        <v/>
      </c>
      <c r="S12" s="70" t="str">
        <f>IF(S$2="Y",IF(MaGic_AVM_Land!S12=0,"",MaGic_AVM_Land!S12),"")</f>
        <v/>
      </c>
      <c r="T12" s="70" t="str">
        <f>IF(T$2="Y",IF(MaGic_AVM_Land!T12=0,"",MaGic_AVM_Land!T12),"")</f>
        <v/>
      </c>
      <c r="U12" s="70" t="str">
        <f>IF(U$2="Y",IF(MaGic_AVM_Land!U12=0,"",MaGic_AVM_Land!U12),"")</f>
        <v/>
      </c>
      <c r="V12" s="70" t="str">
        <f>IF(V$2="Y",IF(MaGic_AVM_Land!V12=0,"",MaGic_AVM_Land!V12),"")</f>
        <v/>
      </c>
      <c r="W12" s="70" t="str">
        <f>IF(W$2="Y",IF(MaGic_AVM_Land!W12=0,"",MaGic_AVM_Land!W12),"")</f>
        <v/>
      </c>
      <c r="X12" s="70" t="str">
        <f>IF(X$2="Y",IF(MaGic_AVM_Land!X12=0,"",MaGic_AVM_Land!X12),"")</f>
        <v/>
      </c>
      <c r="Y12" s="70" t="str">
        <f>IF(Y$2="Y",IF(MaGic_AVM_Land!Y12=0,"",MaGic_AVM_Land!Y12),"")</f>
        <v/>
      </c>
      <c r="Z12" s="70" t="str">
        <f>IF(Z$2="Y",IF(MaGic_AVM_Land!Z12=0,"",MaGic_AVM_Land!Z12),"")</f>
        <v/>
      </c>
      <c r="AA12" s="69" t="str">
        <f>CONCATENATE(IF(AB12="",AC12,AB12))</f>
        <v/>
      </c>
      <c r="AB12" s="69" t="str" cm="1">
        <f t="array" ref="AB12">_xlfn.UNIQUE(C12:Z12,TRUE,FALSE)</f>
        <v/>
      </c>
    </row>
    <row r="13" spans="1:28">
      <c r="A13" s="70">
        <v>11</v>
      </c>
      <c r="B13" s="70" t="s">
        <v>67</v>
      </c>
      <c r="C13" s="71" t="str">
        <f>IF(C$2="Y",IF(MaGic_AVM_Land!C13=0,"",MaGic_AVM_Land!C13),"")</f>
        <v/>
      </c>
      <c r="D13" s="71" t="str">
        <f>IF(D$2="Y",IF(MaGic_AVM_Land!D13=0,"",MaGic_AVM_Land!D13),"")</f>
        <v/>
      </c>
      <c r="E13" s="71" t="str">
        <f>IF(E$2="Y",IF(MaGic_AVM_Land!E13=0,"",MaGic_AVM_Land!E13),"")</f>
        <v/>
      </c>
      <c r="F13" s="71" t="str">
        <f>IF(F$2="Y",IF(MaGic_AVM_Land!F13=0,"",MaGic_AVM_Land!F13),"")</f>
        <v/>
      </c>
      <c r="G13" s="71" t="str">
        <f>IF(G$2="Y",IF(MaGic_AVM_Land!G13=0,"",MaGic_AVM_Land!G13),"")</f>
        <v/>
      </c>
      <c r="H13" s="71" t="str">
        <f>IF(H$2="Y",IF(MaGic_AVM_Land!H13=0,"",MaGic_AVM_Land!H13),"")</f>
        <v/>
      </c>
      <c r="I13" s="71" t="str">
        <f>IF(I$2="Y",IF(MaGic_AVM_Land!I13=0,"",MaGic_AVM_Land!I13),"")</f>
        <v/>
      </c>
      <c r="J13" s="71" t="str">
        <f>IF(J$2="Y",IF(MaGic_AVM_Land!J13=0,"",MaGic_AVM_Land!J13),"")</f>
        <v/>
      </c>
      <c r="K13" s="71" t="str">
        <f>IF(K$2="Y",IF(MaGic_AVM_Land!K13=0,"",MaGic_AVM_Land!K13),"")</f>
        <v/>
      </c>
      <c r="L13" s="71" t="str">
        <f>IF(L$2="Y",IF(MaGic_AVM_Land!L13=0,"",MaGic_AVM_Land!L13),"")</f>
        <v/>
      </c>
      <c r="M13" s="71" t="str">
        <f>IF(M$2="Y",IF(MaGic_AVM_Land!M13=0,"",MaGic_AVM_Land!M13),"")</f>
        <v/>
      </c>
      <c r="N13" s="71" t="str">
        <f>IF(N$2="Y",IF(MaGic_AVM_Land!N13=0,"",MaGic_AVM_Land!N13),"")</f>
        <v/>
      </c>
      <c r="O13" s="71" t="str">
        <f>IF(O$2="Y",IF(MaGic_AVM_Land!O13=0,"",MaGic_AVM_Land!O13),"")</f>
        <v/>
      </c>
      <c r="P13" s="71" t="str">
        <f>IF(P$2="Y",IF(MaGic_AVM_Land!P13=0,"",MaGic_AVM_Land!P13),"")</f>
        <v/>
      </c>
      <c r="Q13" s="71" t="str">
        <f>IF(Q$2="Y",IF(MaGic_AVM_Land!Q13=0,"",MaGic_AVM_Land!Q13),"")</f>
        <v/>
      </c>
      <c r="R13" s="71" t="str">
        <f>IF(R$2="Y",IF(MaGic_AVM_Land!R13=0,"",MaGic_AVM_Land!R13),"")</f>
        <v/>
      </c>
      <c r="S13" s="71" t="str">
        <f>IF(S$2="Y",IF(MaGic_AVM_Land!S13=0,"",MaGic_AVM_Land!S13),"")</f>
        <v/>
      </c>
      <c r="T13" s="71" t="str">
        <f>IF(T$2="Y",IF(MaGic_AVM_Land!T13=0,"",MaGic_AVM_Land!T13),"")</f>
        <v/>
      </c>
      <c r="U13" s="71" t="str">
        <f>IF(U$2="Y",IF(MaGic_AVM_Land!U13=0,"",MaGic_AVM_Land!U13),"")</f>
        <v/>
      </c>
      <c r="V13" s="71" t="str">
        <f>IF(V$2="Y",IF(MaGic_AVM_Land!V13=0,"",MaGic_AVM_Land!V13),"")</f>
        <v/>
      </c>
      <c r="W13" s="71" t="str">
        <f>IF(W$2="Y",IF(MaGic_AVM_Land!W13=0,"",MaGic_AVM_Land!W13),"")</f>
        <v/>
      </c>
      <c r="X13" s="71" t="str">
        <f>IF(X$2="Y",IF(MaGic_AVM_Land!X13=0,"",MaGic_AVM_Land!X13),"")</f>
        <v/>
      </c>
      <c r="Y13" s="71" t="str">
        <f>IF(Y$2="Y",IF(MaGic_AVM_Land!Y13=0,"",MaGic_AVM_Land!Y13),"")</f>
        <v/>
      </c>
      <c r="Z13" s="71" t="str">
        <f>IF(Z$2="Y",IF(MaGic_AVM_Land!Z13=0,"",MaGic_AVM_Land!Z13),"")</f>
        <v/>
      </c>
      <c r="AA13" s="69" t="str">
        <f>CONCATENATE(IF(AB13="",AC13,AB13)," ",AA12)</f>
        <v/>
      </c>
      <c r="AB13" s="69" t="str" cm="1">
        <f t="array" ref="AB13">_xlfn.UNIQUE(C13:Z13,TRUE,FALSE)</f>
        <v/>
      </c>
    </row>
    <row r="14" spans="1:28">
      <c r="A14" s="70">
        <v>12</v>
      </c>
      <c r="B14" s="70" t="s">
        <v>69</v>
      </c>
      <c r="C14" s="71" t="str">
        <f>IF(C$2="Y",IF(MaGic_AVM_Land!C14=0,"",MaGic_AVM_Land!C14),"")</f>
        <v/>
      </c>
      <c r="D14" s="71" t="str">
        <f>IF(D$2="Y",IF(MaGic_AVM_Land!D14=0,"",MaGic_AVM_Land!D14),"")</f>
        <v/>
      </c>
      <c r="E14" s="71" t="str">
        <f>IF(E$2="Y",IF(MaGic_AVM_Land!E14=0,"",MaGic_AVM_Land!E14),"")</f>
        <v/>
      </c>
      <c r="F14" s="71" t="str">
        <f>IF(F$2="Y",IF(MaGic_AVM_Land!F14=0,"",MaGic_AVM_Land!F14),"")</f>
        <v/>
      </c>
      <c r="G14" s="71" t="str">
        <f>IF(G$2="Y",IF(MaGic_AVM_Land!G14=0,"",MaGic_AVM_Land!G14),"")</f>
        <v/>
      </c>
      <c r="H14" s="71" t="str">
        <f>IF(H$2="Y",IF(MaGic_AVM_Land!H14=0,"",MaGic_AVM_Land!H14),"")</f>
        <v/>
      </c>
      <c r="I14" s="71" t="str">
        <f>IF(I$2="Y",IF(MaGic_AVM_Land!I14=0,"",MaGic_AVM_Land!I14),"")</f>
        <v/>
      </c>
      <c r="J14" s="71" t="str">
        <f>IF(J$2="Y",IF(MaGic_AVM_Land!J14=0,"",MaGic_AVM_Land!J14),"")</f>
        <v/>
      </c>
      <c r="K14" s="71" t="str">
        <f>IF(K$2="Y",IF(MaGic_AVM_Land!K14=0,"",MaGic_AVM_Land!K14),"")</f>
        <v/>
      </c>
      <c r="L14" s="71" t="str">
        <f>IF(L$2="Y",IF(MaGic_AVM_Land!L14=0,"",MaGic_AVM_Land!L14),"")</f>
        <v/>
      </c>
      <c r="M14" s="71" t="str">
        <f>IF(M$2="Y",IF(MaGic_AVM_Land!M14=0,"",MaGic_AVM_Land!M14),"")</f>
        <v/>
      </c>
      <c r="N14" s="71" t="str">
        <f>IF(N$2="Y",IF(MaGic_AVM_Land!N14=0,"",MaGic_AVM_Land!N14),"")</f>
        <v/>
      </c>
      <c r="O14" s="71" t="str">
        <f>IF(O$2="Y",IF(MaGic_AVM_Land!O14=0,"",MaGic_AVM_Land!O14),"")</f>
        <v/>
      </c>
      <c r="P14" s="71" t="str">
        <f>IF(P$2="Y",IF(MaGic_AVM_Land!P14=0,"",MaGic_AVM_Land!P14),"")</f>
        <v/>
      </c>
      <c r="Q14" s="71" t="str">
        <f>IF(Q$2="Y",IF(MaGic_AVM_Land!Q14=0,"",MaGic_AVM_Land!Q14),"")</f>
        <v/>
      </c>
      <c r="R14" s="71" t="str">
        <f>IF(R$2="Y",IF(MaGic_AVM_Land!R14=0,"",MaGic_AVM_Land!R14),"")</f>
        <v/>
      </c>
      <c r="S14" s="71" t="str">
        <f>IF(S$2="Y",IF(MaGic_AVM_Land!S14=0,"",MaGic_AVM_Land!S14),"")</f>
        <v/>
      </c>
      <c r="T14" s="71" t="str">
        <f>IF(T$2="Y",IF(MaGic_AVM_Land!T14=0,"",MaGic_AVM_Land!T14),"")</f>
        <v/>
      </c>
      <c r="U14" s="71" t="str">
        <f>IF(U$2="Y",IF(MaGic_AVM_Land!U14=0,"",MaGic_AVM_Land!U14),"")</f>
        <v/>
      </c>
      <c r="V14" s="71" t="str">
        <f>IF(V$2="Y",IF(MaGic_AVM_Land!V14=0,"",MaGic_AVM_Land!V14),"")</f>
        <v/>
      </c>
      <c r="W14" s="71" t="str">
        <f>IF(W$2="Y",IF(MaGic_AVM_Land!W14=0,"",MaGic_AVM_Land!W14),"")</f>
        <v/>
      </c>
      <c r="X14" s="71" t="str">
        <f>IF(X$2="Y",IF(MaGic_AVM_Land!X14=0,"",MaGic_AVM_Land!X14),"")</f>
        <v/>
      </c>
      <c r="Y14" s="71" t="str">
        <f>IF(Y$2="Y",IF(MaGic_AVM_Land!Y14=0,"",MaGic_AVM_Land!Y14),"")</f>
        <v/>
      </c>
      <c r="Z14" s="71" t="str">
        <f>IF(Z$2="Y",IF(MaGic_AVM_Land!Z14=0,"",MaGic_AVM_Land!Z14),"")</f>
        <v/>
      </c>
      <c r="AA14" s="69" t="str">
        <f t="shared" ref="AA14:AA18" si="1">_xlfn.TEXTJOIN(",",TRUE,AB14:AZ14)</f>
        <v/>
      </c>
      <c r="AB14" s="69" t="str" cm="1">
        <f t="array" ref="AB14">_xlfn.UNIQUE(C14:Z14,TRUE,FALSE)</f>
        <v/>
      </c>
    </row>
    <row r="15" spans="1:28">
      <c r="A15" s="70">
        <v>13</v>
      </c>
      <c r="B15" s="70" t="s">
        <v>70</v>
      </c>
      <c r="C15" s="71" t="str">
        <f>IF(C$2="Y",IF(MaGic_AVM_Land!C15=0,"",MaGic_AVM_Land!C15),"")</f>
        <v/>
      </c>
      <c r="D15" s="71" t="str">
        <f>IF(D$2="Y",IF(MaGic_AVM_Land!D15=0,"",MaGic_AVM_Land!D15),"")</f>
        <v/>
      </c>
      <c r="E15" s="71" t="str">
        <f>IF(E$2="Y",IF(MaGic_AVM_Land!E15=0,"",MaGic_AVM_Land!E15),"")</f>
        <v/>
      </c>
      <c r="F15" s="71" t="str">
        <f>IF(F$2="Y",IF(MaGic_AVM_Land!F15=0,"",MaGic_AVM_Land!F15),"")</f>
        <v/>
      </c>
      <c r="G15" s="71" t="str">
        <f>IF(G$2="Y",IF(MaGic_AVM_Land!G15=0,"",MaGic_AVM_Land!G15),"")</f>
        <v/>
      </c>
      <c r="H15" s="71" t="str">
        <f>IF(H$2="Y",IF(MaGic_AVM_Land!H15=0,"",MaGic_AVM_Land!H15),"")</f>
        <v/>
      </c>
      <c r="I15" s="71" t="str">
        <f>IF(I$2="Y",IF(MaGic_AVM_Land!I15=0,"",MaGic_AVM_Land!I15),"")</f>
        <v/>
      </c>
      <c r="J15" s="71" t="str">
        <f>IF(J$2="Y",IF(MaGic_AVM_Land!J15=0,"",MaGic_AVM_Land!J15),"")</f>
        <v/>
      </c>
      <c r="K15" s="71" t="str">
        <f>IF(K$2="Y",IF(MaGic_AVM_Land!K15=0,"",MaGic_AVM_Land!K15),"")</f>
        <v/>
      </c>
      <c r="L15" s="71" t="str">
        <f>IF(L$2="Y",IF(MaGic_AVM_Land!L15=0,"",MaGic_AVM_Land!L15),"")</f>
        <v/>
      </c>
      <c r="M15" s="71" t="str">
        <f>IF(M$2="Y",IF(MaGic_AVM_Land!M15=0,"",MaGic_AVM_Land!M15),"")</f>
        <v/>
      </c>
      <c r="N15" s="71" t="str">
        <f>IF(N$2="Y",IF(MaGic_AVM_Land!N15=0,"",MaGic_AVM_Land!N15),"")</f>
        <v/>
      </c>
      <c r="O15" s="71" t="str">
        <f>IF(O$2="Y",IF(MaGic_AVM_Land!O15=0,"",MaGic_AVM_Land!O15),"")</f>
        <v/>
      </c>
      <c r="P15" s="71" t="str">
        <f>IF(P$2="Y",IF(MaGic_AVM_Land!P15=0,"",MaGic_AVM_Land!P15),"")</f>
        <v/>
      </c>
      <c r="Q15" s="71" t="str">
        <f>IF(Q$2="Y",IF(MaGic_AVM_Land!Q15=0,"",MaGic_AVM_Land!Q15),"")</f>
        <v/>
      </c>
      <c r="R15" s="71" t="str">
        <f>IF(R$2="Y",IF(MaGic_AVM_Land!R15=0,"",MaGic_AVM_Land!R15),"")</f>
        <v/>
      </c>
      <c r="S15" s="71" t="str">
        <f>IF(S$2="Y",IF(MaGic_AVM_Land!S15=0,"",MaGic_AVM_Land!S15),"")</f>
        <v/>
      </c>
      <c r="T15" s="71" t="str">
        <f>IF(T$2="Y",IF(MaGic_AVM_Land!T15=0,"",MaGic_AVM_Land!T15),"")</f>
        <v/>
      </c>
      <c r="U15" s="71" t="str">
        <f>IF(U$2="Y",IF(MaGic_AVM_Land!U15=0,"",MaGic_AVM_Land!U15),"")</f>
        <v/>
      </c>
      <c r="V15" s="71" t="str">
        <f>IF(V$2="Y",IF(MaGic_AVM_Land!V15=0,"",MaGic_AVM_Land!V15),"")</f>
        <v/>
      </c>
      <c r="W15" s="71" t="str">
        <f>IF(W$2="Y",IF(MaGic_AVM_Land!W15=0,"",MaGic_AVM_Land!W15),"")</f>
        <v/>
      </c>
      <c r="X15" s="71" t="str">
        <f>IF(X$2="Y",IF(MaGic_AVM_Land!X15=0,"",MaGic_AVM_Land!X15),"")</f>
        <v/>
      </c>
      <c r="Y15" s="71" t="str">
        <f>IF(Y$2="Y",IF(MaGic_AVM_Land!Y15=0,"",MaGic_AVM_Land!Y15),"")</f>
        <v/>
      </c>
      <c r="Z15" s="71" t="str">
        <f>IF(Z$2="Y",IF(MaGic_AVM_Land!Z15=0,"",MaGic_AVM_Land!Z15),"")</f>
        <v/>
      </c>
      <c r="AA15" s="69" t="str">
        <f t="shared" si="1"/>
        <v/>
      </c>
      <c r="AB15" s="69" t="str" cm="1">
        <f t="array" ref="AB15">_xlfn.UNIQUE(C15:Z15,TRUE,FALSE)</f>
        <v/>
      </c>
    </row>
    <row r="16" spans="1:28">
      <c r="A16" s="70">
        <v>14</v>
      </c>
      <c r="B16" s="70" t="s">
        <v>71</v>
      </c>
      <c r="C16" s="71" t="str">
        <f>IF(C$2="Y",IF(MaGic_AVM_Land!C16=0,"",MaGic_AVM_Land!C16),"")</f>
        <v/>
      </c>
      <c r="D16" s="71" t="str">
        <f>IF(D$2="Y",IF(MaGic_AVM_Land!D16=0,"",MaGic_AVM_Land!D16),"")</f>
        <v/>
      </c>
      <c r="E16" s="71" t="str">
        <f>IF(E$2="Y",IF(MaGic_AVM_Land!E16=0,"",MaGic_AVM_Land!E16),"")</f>
        <v/>
      </c>
      <c r="F16" s="71" t="str">
        <f>IF(F$2="Y",IF(MaGic_AVM_Land!F16=0,"",MaGic_AVM_Land!F16),"")</f>
        <v/>
      </c>
      <c r="G16" s="71" t="str">
        <f>IF(G$2="Y",IF(MaGic_AVM_Land!G16=0,"",MaGic_AVM_Land!G16),"")</f>
        <v/>
      </c>
      <c r="H16" s="71" t="str">
        <f>IF(H$2="Y",IF(MaGic_AVM_Land!H16=0,"",MaGic_AVM_Land!H16),"")</f>
        <v/>
      </c>
      <c r="I16" s="71" t="str">
        <f>IF(I$2="Y",IF(MaGic_AVM_Land!I16=0,"",MaGic_AVM_Land!I16),"")</f>
        <v/>
      </c>
      <c r="J16" s="71" t="str">
        <f>IF(J$2="Y",IF(MaGic_AVM_Land!J16=0,"",MaGic_AVM_Land!J16),"")</f>
        <v/>
      </c>
      <c r="K16" s="71" t="str">
        <f>IF(K$2="Y",IF(MaGic_AVM_Land!K16=0,"",MaGic_AVM_Land!K16),"")</f>
        <v/>
      </c>
      <c r="L16" s="71" t="str">
        <f>IF(L$2="Y",IF(MaGic_AVM_Land!L16=0,"",MaGic_AVM_Land!L16),"")</f>
        <v/>
      </c>
      <c r="M16" s="71" t="str">
        <f>IF(M$2="Y",IF(MaGic_AVM_Land!M16=0,"",MaGic_AVM_Land!M16),"")</f>
        <v/>
      </c>
      <c r="N16" s="71" t="str">
        <f>IF(N$2="Y",IF(MaGic_AVM_Land!N16=0,"",MaGic_AVM_Land!N16),"")</f>
        <v/>
      </c>
      <c r="O16" s="71" t="str">
        <f>IF(O$2="Y",IF(MaGic_AVM_Land!O16=0,"",MaGic_AVM_Land!O16),"")</f>
        <v/>
      </c>
      <c r="P16" s="71" t="str">
        <f>IF(P$2="Y",IF(MaGic_AVM_Land!P16=0,"",MaGic_AVM_Land!P16),"")</f>
        <v/>
      </c>
      <c r="Q16" s="71" t="str">
        <f>IF(Q$2="Y",IF(MaGic_AVM_Land!Q16=0,"",MaGic_AVM_Land!Q16),"")</f>
        <v/>
      </c>
      <c r="R16" s="71" t="str">
        <f>IF(R$2="Y",IF(MaGic_AVM_Land!R16=0,"",MaGic_AVM_Land!R16),"")</f>
        <v/>
      </c>
      <c r="S16" s="71" t="str">
        <f>IF(S$2="Y",IF(MaGic_AVM_Land!S16=0,"",MaGic_AVM_Land!S16),"")</f>
        <v/>
      </c>
      <c r="T16" s="71" t="str">
        <f>IF(T$2="Y",IF(MaGic_AVM_Land!T16=0,"",MaGic_AVM_Land!T16),"")</f>
        <v/>
      </c>
      <c r="U16" s="71" t="str">
        <f>IF(U$2="Y",IF(MaGic_AVM_Land!U16=0,"",MaGic_AVM_Land!U16),"")</f>
        <v/>
      </c>
      <c r="V16" s="71" t="str">
        <f>IF(V$2="Y",IF(MaGic_AVM_Land!V16=0,"",MaGic_AVM_Land!V16),"")</f>
        <v/>
      </c>
      <c r="W16" s="71" t="str">
        <f>IF(W$2="Y",IF(MaGic_AVM_Land!W16=0,"",MaGic_AVM_Land!W16),"")</f>
        <v/>
      </c>
      <c r="X16" s="71" t="str">
        <f>IF(X$2="Y",IF(MaGic_AVM_Land!X16=0,"",MaGic_AVM_Land!X16),"")</f>
        <v/>
      </c>
      <c r="Y16" s="71" t="str">
        <f>IF(Y$2="Y",IF(MaGic_AVM_Land!Y16=0,"",MaGic_AVM_Land!Y16),"")</f>
        <v/>
      </c>
      <c r="Z16" s="71" t="str">
        <f>IF(Z$2="Y",IF(MaGic_AVM_Land!Z16=0,"",MaGic_AVM_Land!Z16),"")</f>
        <v/>
      </c>
      <c r="AA16" s="69" t="str">
        <f t="shared" si="1"/>
        <v/>
      </c>
      <c r="AB16" s="69" t="str" cm="1">
        <f t="array" ref="AB16">_xlfn.UNIQUE(C16:Z16,TRUE,FALSE)</f>
        <v/>
      </c>
    </row>
    <row r="17" spans="1:28">
      <c r="A17" s="70">
        <v>15</v>
      </c>
      <c r="B17" s="70" t="s">
        <v>77</v>
      </c>
      <c r="C17" s="71" t="str">
        <f>IF(C$2="Y",IF(MaGic_AVM_Land!C17=0,"",MaGic_AVM_Land!C17),"")</f>
        <v/>
      </c>
      <c r="D17" s="71" t="str">
        <f>IF(D$2="Y",IF(MaGic_AVM_Land!D17=0,"",MaGic_AVM_Land!D17),"")</f>
        <v/>
      </c>
      <c r="E17" s="71" t="str">
        <f>IF(E$2="Y",IF(MaGic_AVM_Land!E17=0,"",MaGic_AVM_Land!E17),"")</f>
        <v/>
      </c>
      <c r="F17" s="71" t="str">
        <f>IF(F$2="Y",IF(MaGic_AVM_Land!F17=0,"",MaGic_AVM_Land!F17),"")</f>
        <v/>
      </c>
      <c r="G17" s="71" t="str">
        <f>IF(G$2="Y",IF(MaGic_AVM_Land!G17=0,"",MaGic_AVM_Land!G17),"")</f>
        <v/>
      </c>
      <c r="H17" s="71" t="str">
        <f>IF(H$2="Y",IF(MaGic_AVM_Land!H17=0,"",MaGic_AVM_Land!H17),"")</f>
        <v/>
      </c>
      <c r="I17" s="71" t="str">
        <f>IF(I$2="Y",IF(MaGic_AVM_Land!I17=0,"",MaGic_AVM_Land!I17),"")</f>
        <v/>
      </c>
      <c r="J17" s="71" t="str">
        <f>IF(J$2="Y",IF(MaGic_AVM_Land!J17=0,"",MaGic_AVM_Land!J17),"")</f>
        <v/>
      </c>
      <c r="K17" s="71" t="str">
        <f>IF(K$2="Y",IF(MaGic_AVM_Land!K17=0,"",MaGic_AVM_Land!K17),"")</f>
        <v/>
      </c>
      <c r="L17" s="71" t="str">
        <f>IF(L$2="Y",IF(MaGic_AVM_Land!L17=0,"",MaGic_AVM_Land!L17),"")</f>
        <v/>
      </c>
      <c r="M17" s="71" t="str">
        <f>IF(M$2="Y",IF(MaGic_AVM_Land!M17=0,"",MaGic_AVM_Land!M17),"")</f>
        <v/>
      </c>
      <c r="N17" s="71" t="str">
        <f>IF(N$2="Y",IF(MaGic_AVM_Land!N17=0,"",MaGic_AVM_Land!N17),"")</f>
        <v/>
      </c>
      <c r="O17" s="71" t="str">
        <f>IF(O$2="Y",IF(MaGic_AVM_Land!O17=0,"",MaGic_AVM_Land!O17),"")</f>
        <v/>
      </c>
      <c r="P17" s="71" t="str">
        <f>IF(P$2="Y",IF(MaGic_AVM_Land!P17=0,"",MaGic_AVM_Land!P17),"")</f>
        <v/>
      </c>
      <c r="Q17" s="71" t="str">
        <f>IF(Q$2="Y",IF(MaGic_AVM_Land!Q17=0,"",MaGic_AVM_Land!Q17),"")</f>
        <v/>
      </c>
      <c r="R17" s="71" t="str">
        <f>IF(R$2="Y",IF(MaGic_AVM_Land!R17=0,"",MaGic_AVM_Land!R17),"")</f>
        <v/>
      </c>
      <c r="S17" s="71" t="str">
        <f>IF(S$2="Y",IF(MaGic_AVM_Land!S17=0,"",MaGic_AVM_Land!S17),"")</f>
        <v/>
      </c>
      <c r="T17" s="71" t="str">
        <f>IF(T$2="Y",IF(MaGic_AVM_Land!T17=0,"",MaGic_AVM_Land!T17),"")</f>
        <v/>
      </c>
      <c r="U17" s="71" t="str">
        <f>IF(U$2="Y",IF(MaGic_AVM_Land!U17=0,"",MaGic_AVM_Land!U17),"")</f>
        <v/>
      </c>
      <c r="V17" s="71" t="str">
        <f>IF(V$2="Y",IF(MaGic_AVM_Land!V17=0,"",MaGic_AVM_Land!V17),"")</f>
        <v/>
      </c>
      <c r="W17" s="71" t="str">
        <f>IF(W$2="Y",IF(MaGic_AVM_Land!W17=0,"",MaGic_AVM_Land!W17),"")</f>
        <v/>
      </c>
      <c r="X17" s="71" t="str">
        <f>IF(X$2="Y",IF(MaGic_AVM_Land!X17=0,"",MaGic_AVM_Land!X17),"")</f>
        <v/>
      </c>
      <c r="Y17" s="71" t="str">
        <f>IF(Y$2="Y",IF(MaGic_AVM_Land!Y17=0,"",MaGic_AVM_Land!Y17),"")</f>
        <v/>
      </c>
      <c r="Z17" s="71" t="str">
        <f>IF(Z$2="Y",IF(MaGic_AVM_Land!Z17=0,"",MaGic_AVM_Land!Z17),"")</f>
        <v/>
      </c>
      <c r="AA17" s="69" t="str">
        <f t="shared" si="1"/>
        <v/>
      </c>
      <c r="AB17" s="69" t="str" cm="1">
        <f t="array" ref="AB17">_xlfn.UNIQUE(C17:Z17,TRUE,FALSE)</f>
        <v/>
      </c>
    </row>
    <row r="18" spans="1:28">
      <c r="A18" s="70">
        <v>16</v>
      </c>
      <c r="B18" s="70" t="s">
        <v>78</v>
      </c>
      <c r="C18" s="71" t="str">
        <f>IF(C$2="Y",IF(MaGic_AVM_Land!C18=0,"",MaGic_AVM_Land!C18),"")</f>
        <v/>
      </c>
      <c r="D18" s="71" t="str">
        <f>IF(D$2="Y",IF(MaGic_AVM_Land!D18=0,"",MaGic_AVM_Land!D18),"")</f>
        <v/>
      </c>
      <c r="E18" s="71" t="str">
        <f>IF(E$2="Y",IF(MaGic_AVM_Land!E18=0,"",MaGic_AVM_Land!E18),"")</f>
        <v/>
      </c>
      <c r="F18" s="71" t="str">
        <f>IF(F$2="Y",IF(MaGic_AVM_Land!F18=0,"",MaGic_AVM_Land!F18),"")</f>
        <v/>
      </c>
      <c r="G18" s="71" t="str">
        <f>IF(G$2="Y",IF(MaGic_AVM_Land!G18=0,"",MaGic_AVM_Land!G18),"")</f>
        <v/>
      </c>
      <c r="H18" s="71" t="str">
        <f>IF(H$2="Y",IF(MaGic_AVM_Land!H18=0,"",MaGic_AVM_Land!H18),"")</f>
        <v/>
      </c>
      <c r="I18" s="71" t="str">
        <f>IF(I$2="Y",IF(MaGic_AVM_Land!I18=0,"",MaGic_AVM_Land!I18),"")</f>
        <v/>
      </c>
      <c r="J18" s="71" t="str">
        <f>IF(J$2="Y",IF(MaGic_AVM_Land!J18=0,"",MaGic_AVM_Land!J18),"")</f>
        <v/>
      </c>
      <c r="K18" s="71" t="str">
        <f>IF(K$2="Y",IF(MaGic_AVM_Land!K18=0,"",MaGic_AVM_Land!K18),"")</f>
        <v/>
      </c>
      <c r="L18" s="71" t="str">
        <f>IF(L$2="Y",IF(MaGic_AVM_Land!L18=0,"",MaGic_AVM_Land!L18),"")</f>
        <v/>
      </c>
      <c r="M18" s="71" t="str">
        <f>IF(M$2="Y",IF(MaGic_AVM_Land!M18=0,"",MaGic_AVM_Land!M18),"")</f>
        <v/>
      </c>
      <c r="N18" s="71" t="str">
        <f>IF(N$2="Y",IF(MaGic_AVM_Land!N18=0,"",MaGic_AVM_Land!N18),"")</f>
        <v/>
      </c>
      <c r="O18" s="71" t="str">
        <f>IF(O$2="Y",IF(MaGic_AVM_Land!O18=0,"",MaGic_AVM_Land!O18),"")</f>
        <v/>
      </c>
      <c r="P18" s="71" t="str">
        <f>IF(P$2="Y",IF(MaGic_AVM_Land!P18=0,"",MaGic_AVM_Land!P18),"")</f>
        <v/>
      </c>
      <c r="Q18" s="71" t="str">
        <f>IF(Q$2="Y",IF(MaGic_AVM_Land!Q18=0,"",MaGic_AVM_Land!Q18),"")</f>
        <v/>
      </c>
      <c r="R18" s="71" t="str">
        <f>IF(R$2="Y",IF(MaGic_AVM_Land!R18=0,"",MaGic_AVM_Land!R18),"")</f>
        <v/>
      </c>
      <c r="S18" s="71" t="str">
        <f>IF(S$2="Y",IF(MaGic_AVM_Land!S18=0,"",MaGic_AVM_Land!S18),"")</f>
        <v/>
      </c>
      <c r="T18" s="71" t="str">
        <f>IF(T$2="Y",IF(MaGic_AVM_Land!T18=0,"",MaGic_AVM_Land!T18),"")</f>
        <v/>
      </c>
      <c r="U18" s="71" t="str">
        <f>IF(U$2="Y",IF(MaGic_AVM_Land!U18=0,"",MaGic_AVM_Land!U18),"")</f>
        <v/>
      </c>
      <c r="V18" s="71" t="str">
        <f>IF(V$2="Y",IF(MaGic_AVM_Land!V18=0,"",MaGic_AVM_Land!V18),"")</f>
        <v/>
      </c>
      <c r="W18" s="71" t="str">
        <f>IF(W$2="Y",IF(MaGic_AVM_Land!W18=0,"",MaGic_AVM_Land!W18),"")</f>
        <v/>
      </c>
      <c r="X18" s="71" t="str">
        <f>IF(X$2="Y",IF(MaGic_AVM_Land!X18=0,"",MaGic_AVM_Land!X18),"")</f>
        <v/>
      </c>
      <c r="Y18" s="71" t="str">
        <f>IF(Y$2="Y",IF(MaGic_AVM_Land!Y18=0,"",MaGic_AVM_Land!Y18),"")</f>
        <v/>
      </c>
      <c r="Z18" s="71" t="str">
        <f>IF(Z$2="Y",IF(MaGic_AVM_Land!Z18=0,"",MaGic_AVM_Land!Z18),"")</f>
        <v/>
      </c>
      <c r="AA18" s="69" t="str">
        <f t="shared" si="1"/>
        <v/>
      </c>
      <c r="AB18" s="69" t="str" cm="1">
        <f t="array" ref="AB18">_xlfn.UNIQUE(C18:Z18,TRUE,FALSE)</f>
        <v/>
      </c>
    </row>
    <row r="19" spans="1:28">
      <c r="A19" s="70">
        <v>17</v>
      </c>
      <c r="B19" s="70" t="s">
        <v>79</v>
      </c>
      <c r="C19" s="71" t="str">
        <f>IF(C$2="Y",IF(MaGic_AVM_Land!C19=0,"",MaGic_AVM_Land!C19),"")</f>
        <v/>
      </c>
      <c r="D19" s="71" t="str">
        <f>IF(D$2="Y",IF(MaGic_AVM_Land!D19=0,"",MaGic_AVM_Land!D19),"")</f>
        <v/>
      </c>
      <c r="E19" s="71" t="str">
        <f>IF(E$2="Y",IF(MaGic_AVM_Land!E19=0,"",MaGic_AVM_Land!E19),"")</f>
        <v/>
      </c>
      <c r="F19" s="71" t="str">
        <f>IF(F$2="Y",IF(MaGic_AVM_Land!F19=0,"",MaGic_AVM_Land!F19),"")</f>
        <v/>
      </c>
      <c r="G19" s="71" t="str">
        <f>IF(G$2="Y",IF(MaGic_AVM_Land!G19=0,"",MaGic_AVM_Land!G19),"")</f>
        <v/>
      </c>
      <c r="H19" s="71" t="str">
        <f>IF(H$2="Y",IF(MaGic_AVM_Land!H19=0,"",MaGic_AVM_Land!H19),"")</f>
        <v/>
      </c>
      <c r="I19" s="71" t="str">
        <f>IF(I$2="Y",IF(MaGic_AVM_Land!I19=0,"",MaGic_AVM_Land!I19),"")</f>
        <v/>
      </c>
      <c r="J19" s="71" t="str">
        <f>IF(J$2="Y",IF(MaGic_AVM_Land!J19=0,"",MaGic_AVM_Land!J19),"")</f>
        <v/>
      </c>
      <c r="K19" s="71" t="str">
        <f>IF(K$2="Y",IF(MaGic_AVM_Land!K19=0,"",MaGic_AVM_Land!K19),"")</f>
        <v/>
      </c>
      <c r="L19" s="71" t="str">
        <f>IF(L$2="Y",IF(MaGic_AVM_Land!L19=0,"",MaGic_AVM_Land!L19),"")</f>
        <v/>
      </c>
      <c r="M19" s="71" t="str">
        <f>IF(M$2="Y",IF(MaGic_AVM_Land!M19=0,"",MaGic_AVM_Land!M19),"")</f>
        <v/>
      </c>
      <c r="N19" s="71" t="str">
        <f>IF(N$2="Y",IF(MaGic_AVM_Land!N19=0,"",MaGic_AVM_Land!N19),"")</f>
        <v/>
      </c>
      <c r="O19" s="71" t="str">
        <f>IF(O$2="Y",IF(MaGic_AVM_Land!O19=0,"",MaGic_AVM_Land!O19),"")</f>
        <v/>
      </c>
      <c r="P19" s="71" t="str">
        <f>IF(P$2="Y",IF(MaGic_AVM_Land!P19=0,"",MaGic_AVM_Land!P19),"")</f>
        <v/>
      </c>
      <c r="Q19" s="71" t="str">
        <f>IF(Q$2="Y",IF(MaGic_AVM_Land!Q19=0,"",MaGic_AVM_Land!Q19),"")</f>
        <v/>
      </c>
      <c r="R19" s="71" t="str">
        <f>IF(R$2="Y",IF(MaGic_AVM_Land!R19=0,"",MaGic_AVM_Land!R19),"")</f>
        <v/>
      </c>
      <c r="S19" s="71" t="str">
        <f>IF(S$2="Y",IF(MaGic_AVM_Land!S19=0,"",MaGic_AVM_Land!S19),"")</f>
        <v/>
      </c>
      <c r="T19" s="71" t="str">
        <f>IF(T$2="Y",IF(MaGic_AVM_Land!T19=0,"",MaGic_AVM_Land!T19),"")</f>
        <v/>
      </c>
      <c r="U19" s="71" t="str">
        <f>IF(U$2="Y",IF(MaGic_AVM_Land!U19=0,"",MaGic_AVM_Land!U19),"")</f>
        <v/>
      </c>
      <c r="V19" s="71" t="str">
        <f>IF(V$2="Y",IF(MaGic_AVM_Land!V19=0,"",MaGic_AVM_Land!V19),"")</f>
        <v/>
      </c>
      <c r="W19" s="71" t="str">
        <f>IF(W$2="Y",IF(MaGic_AVM_Land!W19=0,"",MaGic_AVM_Land!W19),"")</f>
        <v/>
      </c>
      <c r="X19" s="71" t="str">
        <f>IF(X$2="Y",IF(MaGic_AVM_Land!X19=0,"",MaGic_AVM_Land!X19),"")</f>
        <v/>
      </c>
      <c r="Y19" s="71" t="str">
        <f>IF(Y$2="Y",IF(MaGic_AVM_Land!Y19=0,"",MaGic_AVM_Land!Y19),"")</f>
        <v/>
      </c>
      <c r="Z19" s="71" t="str">
        <f>IF(Z$2="Y",IF(MaGic_AVM_Land!Z19=0,"",MaGic_AVM_Land!Z19),"")</f>
        <v/>
      </c>
      <c r="AA19" s="69" t="str">
        <f t="shared" ref="AA19:AA22" si="2">_xlfn.TEXTJOIN(",",TRUE,AB19:AZ19)</f>
        <v/>
      </c>
      <c r="AB19" s="69" t="str" cm="1">
        <f t="array" ref="AB19">_xlfn.UNIQUE(C19:Z19,TRUE,FALSE)</f>
        <v/>
      </c>
    </row>
    <row r="20" spans="1:28">
      <c r="A20" s="70">
        <v>18</v>
      </c>
      <c r="B20" s="70" t="s">
        <v>80</v>
      </c>
      <c r="C20" s="71" t="str">
        <f>IF(C$2="Y",IF(MaGic_AVM_Land!C20=0,"",MaGic_AVM_Land!C20),"")</f>
        <v/>
      </c>
      <c r="D20" s="71" t="str">
        <f>IF(D$2="Y",IF(MaGic_AVM_Land!D20=0,"",MaGic_AVM_Land!D20),"")</f>
        <v/>
      </c>
      <c r="E20" s="71" t="str">
        <f>IF(E$2="Y",IF(MaGic_AVM_Land!E20=0,"",MaGic_AVM_Land!E20),"")</f>
        <v/>
      </c>
      <c r="F20" s="71" t="str">
        <f>IF(F$2="Y",IF(MaGic_AVM_Land!F20=0,"",MaGic_AVM_Land!F20),"")</f>
        <v/>
      </c>
      <c r="G20" s="71" t="str">
        <f>IF(G$2="Y",IF(MaGic_AVM_Land!G20=0,"",MaGic_AVM_Land!G20),"")</f>
        <v/>
      </c>
      <c r="H20" s="71" t="str">
        <f>IF(H$2="Y",IF(MaGic_AVM_Land!H20=0,"",MaGic_AVM_Land!H20),"")</f>
        <v/>
      </c>
      <c r="I20" s="71" t="str">
        <f>IF(I$2="Y",IF(MaGic_AVM_Land!I20=0,"",MaGic_AVM_Land!I20),"")</f>
        <v/>
      </c>
      <c r="J20" s="71" t="str">
        <f>IF(J$2="Y",IF(MaGic_AVM_Land!J20=0,"",MaGic_AVM_Land!J20),"")</f>
        <v/>
      </c>
      <c r="K20" s="71" t="str">
        <f>IF(K$2="Y",IF(MaGic_AVM_Land!K20=0,"",MaGic_AVM_Land!K20),"")</f>
        <v/>
      </c>
      <c r="L20" s="71" t="str">
        <f>IF(L$2="Y",IF(MaGic_AVM_Land!L20=0,"",MaGic_AVM_Land!L20),"")</f>
        <v/>
      </c>
      <c r="M20" s="71" t="str">
        <f>IF(M$2="Y",IF(MaGic_AVM_Land!M20=0,"",MaGic_AVM_Land!M20),"")</f>
        <v/>
      </c>
      <c r="N20" s="71" t="str">
        <f>IF(N$2="Y",IF(MaGic_AVM_Land!N20=0,"",MaGic_AVM_Land!N20),"")</f>
        <v/>
      </c>
      <c r="O20" s="71" t="str">
        <f>IF(O$2="Y",IF(MaGic_AVM_Land!O20=0,"",MaGic_AVM_Land!O20),"")</f>
        <v/>
      </c>
      <c r="P20" s="71" t="str">
        <f>IF(P$2="Y",IF(MaGic_AVM_Land!P20=0,"",MaGic_AVM_Land!P20),"")</f>
        <v/>
      </c>
      <c r="Q20" s="71" t="str">
        <f>IF(Q$2="Y",IF(MaGic_AVM_Land!Q20=0,"",MaGic_AVM_Land!Q20),"")</f>
        <v/>
      </c>
      <c r="R20" s="71" t="str">
        <f>IF(R$2="Y",IF(MaGic_AVM_Land!R20=0,"",MaGic_AVM_Land!R20),"")</f>
        <v/>
      </c>
      <c r="S20" s="71" t="str">
        <f>IF(S$2="Y",IF(MaGic_AVM_Land!S20=0,"",MaGic_AVM_Land!S20),"")</f>
        <v/>
      </c>
      <c r="T20" s="71" t="str">
        <f>IF(T$2="Y",IF(MaGic_AVM_Land!T20=0,"",MaGic_AVM_Land!T20),"")</f>
        <v/>
      </c>
      <c r="U20" s="71" t="str">
        <f>IF(U$2="Y",IF(MaGic_AVM_Land!U20=0,"",MaGic_AVM_Land!U20),"")</f>
        <v/>
      </c>
      <c r="V20" s="71" t="str">
        <f>IF(V$2="Y",IF(MaGic_AVM_Land!V20=0,"",MaGic_AVM_Land!V20),"")</f>
        <v/>
      </c>
      <c r="W20" s="71" t="str">
        <f>IF(W$2="Y",IF(MaGic_AVM_Land!W20=0,"",MaGic_AVM_Land!W20),"")</f>
        <v/>
      </c>
      <c r="X20" s="71" t="str">
        <f>IF(X$2="Y",IF(MaGic_AVM_Land!X20=0,"",MaGic_AVM_Land!X20),"")</f>
        <v/>
      </c>
      <c r="Y20" s="71" t="str">
        <f>IF(Y$2="Y",IF(MaGic_AVM_Land!Y20=0,"",MaGic_AVM_Land!Y20),"")</f>
        <v/>
      </c>
      <c r="Z20" s="71" t="str">
        <f>IF(Z$2="Y",IF(MaGic_AVM_Land!Z20=0,"",MaGic_AVM_Land!Z20),"")</f>
        <v/>
      </c>
      <c r="AA20" s="69" t="str">
        <f t="shared" si="2"/>
        <v/>
      </c>
      <c r="AB20" s="69" t="str" cm="1">
        <f t="array" ref="AB20">_xlfn.UNIQUE(C20:Z20,TRUE,FALSE)</f>
        <v/>
      </c>
    </row>
    <row r="21" spans="1:28">
      <c r="A21" s="70">
        <v>19</v>
      </c>
      <c r="B21" s="70" t="s">
        <v>81</v>
      </c>
      <c r="C21" s="71" t="str">
        <f>IF(C$2="Y",IF(MaGic_AVM_Land!C21=0,"",MaGic_AVM_Land!C21),"")</f>
        <v/>
      </c>
      <c r="D21" s="71" t="str">
        <f>IF(D$2="Y",IF(MaGic_AVM_Land!D21=0,"",MaGic_AVM_Land!D21),"")</f>
        <v/>
      </c>
      <c r="E21" s="71" t="str">
        <f>IF(E$2="Y",IF(MaGic_AVM_Land!E21=0,"",MaGic_AVM_Land!E21),"")</f>
        <v/>
      </c>
      <c r="F21" s="71" t="str">
        <f>IF(F$2="Y",IF(MaGic_AVM_Land!F21=0,"",MaGic_AVM_Land!F21),"")</f>
        <v/>
      </c>
      <c r="G21" s="71" t="str">
        <f>IF(G$2="Y",IF(MaGic_AVM_Land!G21=0,"",MaGic_AVM_Land!G21),"")</f>
        <v/>
      </c>
      <c r="H21" s="71" t="str">
        <f>IF(H$2="Y",IF(MaGic_AVM_Land!H21=0,"",MaGic_AVM_Land!H21),"")</f>
        <v/>
      </c>
      <c r="I21" s="71" t="str">
        <f>IF(I$2="Y",IF(MaGic_AVM_Land!I21=0,"",MaGic_AVM_Land!I21),"")</f>
        <v/>
      </c>
      <c r="J21" s="71" t="str">
        <f>IF(J$2="Y",IF(MaGic_AVM_Land!J21=0,"",MaGic_AVM_Land!J21),"")</f>
        <v/>
      </c>
      <c r="K21" s="71" t="str">
        <f>IF(K$2="Y",IF(MaGic_AVM_Land!K21=0,"",MaGic_AVM_Land!K21),"")</f>
        <v/>
      </c>
      <c r="L21" s="71" t="str">
        <f>IF(L$2="Y",IF(MaGic_AVM_Land!L21=0,"",MaGic_AVM_Land!L21),"")</f>
        <v/>
      </c>
      <c r="M21" s="71" t="str">
        <f>IF(M$2="Y",IF(MaGic_AVM_Land!M21=0,"",MaGic_AVM_Land!M21),"")</f>
        <v/>
      </c>
      <c r="N21" s="71" t="str">
        <f>IF(N$2="Y",IF(MaGic_AVM_Land!N21=0,"",MaGic_AVM_Land!N21),"")</f>
        <v/>
      </c>
      <c r="O21" s="71" t="str">
        <f>IF(O$2="Y",IF(MaGic_AVM_Land!O21=0,"",MaGic_AVM_Land!O21),"")</f>
        <v/>
      </c>
      <c r="P21" s="71" t="str">
        <f>IF(P$2="Y",IF(MaGic_AVM_Land!P21=0,"",MaGic_AVM_Land!P21),"")</f>
        <v/>
      </c>
      <c r="Q21" s="71" t="str">
        <f>IF(Q$2="Y",IF(MaGic_AVM_Land!Q21=0,"",MaGic_AVM_Land!Q21),"")</f>
        <v/>
      </c>
      <c r="R21" s="71" t="str">
        <f>IF(R$2="Y",IF(MaGic_AVM_Land!R21=0,"",MaGic_AVM_Land!R21),"")</f>
        <v/>
      </c>
      <c r="S21" s="71" t="str">
        <f>IF(S$2="Y",IF(MaGic_AVM_Land!S21=0,"",MaGic_AVM_Land!S21),"")</f>
        <v/>
      </c>
      <c r="T21" s="71" t="str">
        <f>IF(T$2="Y",IF(MaGic_AVM_Land!T21=0,"",MaGic_AVM_Land!T21),"")</f>
        <v/>
      </c>
      <c r="U21" s="71" t="str">
        <f>IF(U$2="Y",IF(MaGic_AVM_Land!U21=0,"",MaGic_AVM_Land!U21),"")</f>
        <v/>
      </c>
      <c r="V21" s="71" t="str">
        <f>IF(V$2="Y",IF(MaGic_AVM_Land!V21=0,"",MaGic_AVM_Land!V21),"")</f>
        <v/>
      </c>
      <c r="W21" s="71" t="str">
        <f>IF(W$2="Y",IF(MaGic_AVM_Land!W21=0,"",MaGic_AVM_Land!W21),"")</f>
        <v/>
      </c>
      <c r="X21" s="71" t="str">
        <f>IF(X$2="Y",IF(MaGic_AVM_Land!X21=0,"",MaGic_AVM_Land!X21),"")</f>
        <v/>
      </c>
      <c r="Y21" s="71" t="str">
        <f>IF(Y$2="Y",IF(MaGic_AVM_Land!Y21=0,"",MaGic_AVM_Land!Y21),"")</f>
        <v/>
      </c>
      <c r="Z21" s="71" t="str">
        <f>IF(Z$2="Y",IF(MaGic_AVM_Land!Z21=0,"",MaGic_AVM_Land!Z21),"")</f>
        <v/>
      </c>
      <c r="AA21" s="69" t="str">
        <f t="shared" si="2"/>
        <v/>
      </c>
      <c r="AB21" s="69" t="str" cm="1">
        <f t="array" ref="AB21">_xlfn.UNIQUE(C21:Z21,TRUE,FALSE)</f>
        <v/>
      </c>
    </row>
    <row r="22" spans="1:28">
      <c r="A22" s="70">
        <v>20</v>
      </c>
      <c r="B22" s="70" t="s">
        <v>82</v>
      </c>
      <c r="C22" s="71" t="str">
        <f>IF(C$2="Y",IF(MaGic_AVM_Land!C22=0,"",MaGic_AVM_Land!C22),"")</f>
        <v/>
      </c>
      <c r="D22" s="71" t="str">
        <f>IF(D$2="Y",IF(MaGic_AVM_Land!D22=0,"",MaGic_AVM_Land!D22),"")</f>
        <v/>
      </c>
      <c r="E22" s="71" t="str">
        <f>IF(E$2="Y",IF(MaGic_AVM_Land!E22=0,"",MaGic_AVM_Land!E22),"")</f>
        <v/>
      </c>
      <c r="F22" s="71" t="str">
        <f>IF(F$2="Y",IF(MaGic_AVM_Land!F22=0,"",MaGic_AVM_Land!F22),"")</f>
        <v/>
      </c>
      <c r="G22" s="71" t="str">
        <f>IF(G$2="Y",IF(MaGic_AVM_Land!G22=0,"",MaGic_AVM_Land!G22),"")</f>
        <v/>
      </c>
      <c r="H22" s="71" t="str">
        <f>IF(H$2="Y",IF(MaGic_AVM_Land!H22=0,"",MaGic_AVM_Land!H22),"")</f>
        <v/>
      </c>
      <c r="I22" s="71" t="str">
        <f>IF(I$2="Y",IF(MaGic_AVM_Land!I22=0,"",MaGic_AVM_Land!I22),"")</f>
        <v/>
      </c>
      <c r="J22" s="71" t="str">
        <f>IF(J$2="Y",IF(MaGic_AVM_Land!J22=0,"",MaGic_AVM_Land!J22),"")</f>
        <v/>
      </c>
      <c r="K22" s="71" t="str">
        <f>IF(K$2="Y",IF(MaGic_AVM_Land!K22=0,"",MaGic_AVM_Land!K22),"")</f>
        <v/>
      </c>
      <c r="L22" s="71" t="str">
        <f>IF(L$2="Y",IF(MaGic_AVM_Land!L22=0,"",MaGic_AVM_Land!L22),"")</f>
        <v/>
      </c>
      <c r="M22" s="71" t="str">
        <f>IF(M$2="Y",IF(MaGic_AVM_Land!M22=0,"",MaGic_AVM_Land!M22),"")</f>
        <v/>
      </c>
      <c r="N22" s="71" t="str">
        <f>IF(N$2="Y",IF(MaGic_AVM_Land!N22=0,"",MaGic_AVM_Land!N22),"")</f>
        <v/>
      </c>
      <c r="O22" s="71" t="str">
        <f>IF(O$2="Y",IF(MaGic_AVM_Land!O22=0,"",MaGic_AVM_Land!O22),"")</f>
        <v/>
      </c>
      <c r="P22" s="71" t="str">
        <f>IF(P$2="Y",IF(MaGic_AVM_Land!P22=0,"",MaGic_AVM_Land!P22),"")</f>
        <v/>
      </c>
      <c r="Q22" s="71" t="str">
        <f>IF(Q$2="Y",IF(MaGic_AVM_Land!Q22=0,"",MaGic_AVM_Land!Q22),"")</f>
        <v/>
      </c>
      <c r="R22" s="71" t="str">
        <f>IF(R$2="Y",IF(MaGic_AVM_Land!R22=0,"",MaGic_AVM_Land!R22),"")</f>
        <v/>
      </c>
      <c r="S22" s="71" t="str">
        <f>IF(S$2="Y",IF(MaGic_AVM_Land!S22=0,"",MaGic_AVM_Land!S22),"")</f>
        <v/>
      </c>
      <c r="T22" s="71" t="str">
        <f>IF(T$2="Y",IF(MaGic_AVM_Land!T22=0,"",MaGic_AVM_Land!T22),"")</f>
        <v/>
      </c>
      <c r="U22" s="71" t="str">
        <f>IF(U$2="Y",IF(MaGic_AVM_Land!U22=0,"",MaGic_AVM_Land!U22),"")</f>
        <v/>
      </c>
      <c r="V22" s="71" t="str">
        <f>IF(V$2="Y",IF(MaGic_AVM_Land!V22=0,"",MaGic_AVM_Land!V22),"")</f>
        <v/>
      </c>
      <c r="W22" s="71" t="str">
        <f>IF(W$2="Y",IF(MaGic_AVM_Land!W22=0,"",MaGic_AVM_Land!W22),"")</f>
        <v/>
      </c>
      <c r="X22" s="71" t="str">
        <f>IF(X$2="Y",IF(MaGic_AVM_Land!X22=0,"",MaGic_AVM_Land!X22),"")</f>
        <v/>
      </c>
      <c r="Y22" s="71" t="str">
        <f>IF(Y$2="Y",IF(MaGic_AVM_Land!Y22=0,"",MaGic_AVM_Land!Y22),"")</f>
        <v/>
      </c>
      <c r="Z22" s="71" t="str">
        <f>IF(Z$2="Y",IF(MaGic_AVM_Land!Z22=0,"",MaGic_AVM_Land!Z22),"")</f>
        <v/>
      </c>
      <c r="AA22" s="69" t="str">
        <f t="shared" si="2"/>
        <v/>
      </c>
      <c r="AB22" s="69" t="str" cm="1">
        <f t="array" ref="AB22">_xlfn.UNIQUE(C22:Z22,TRUE,FALSE)</f>
        <v/>
      </c>
    </row>
    <row r="23" spans="1:28">
      <c r="A23" s="70">
        <v>21</v>
      </c>
      <c r="B23" s="70" t="s">
        <v>83</v>
      </c>
      <c r="C23" s="70" t="str">
        <f>IF(C$2="Y",IF(MaGic_AVM_Land!C23=0,"",MaGic_AVM_Land!C23),"")</f>
        <v/>
      </c>
      <c r="D23" s="70" t="str">
        <f>IF(D$2="Y",IF(MaGic_AVM_Land!D23=0,"",MaGic_AVM_Land!D23),"")</f>
        <v/>
      </c>
      <c r="E23" s="70" t="str">
        <f>IF(E$2="Y",IF(MaGic_AVM_Land!E23=0,"",MaGic_AVM_Land!E23),"")</f>
        <v/>
      </c>
      <c r="F23" s="70" t="str">
        <f>IF(F$2="Y",IF(MaGic_AVM_Land!F23=0,"",MaGic_AVM_Land!F23),"")</f>
        <v/>
      </c>
      <c r="G23" s="70" t="str">
        <f>IF(G$2="Y",IF(MaGic_AVM_Land!G23=0,"",MaGic_AVM_Land!G23),"")</f>
        <v/>
      </c>
      <c r="H23" s="70" t="str">
        <f>IF(H$2="Y",IF(MaGic_AVM_Land!H23=0,"",MaGic_AVM_Land!H23),"")</f>
        <v/>
      </c>
      <c r="I23" s="70" t="str">
        <f>IF(I$2="Y",IF(MaGic_AVM_Land!I23=0,"",MaGic_AVM_Land!I23),"")</f>
        <v/>
      </c>
      <c r="J23" s="70" t="str">
        <f>IF(J$2="Y",IF(MaGic_AVM_Land!J23=0,"",MaGic_AVM_Land!J23),"")</f>
        <v/>
      </c>
      <c r="K23" s="70" t="str">
        <f>IF(K$2="Y",IF(MaGic_AVM_Land!K23=0,"",MaGic_AVM_Land!K23),"")</f>
        <v/>
      </c>
      <c r="L23" s="70" t="str">
        <f>IF(L$2="Y",IF(MaGic_AVM_Land!L23=0,"",MaGic_AVM_Land!L23),"")</f>
        <v/>
      </c>
      <c r="M23" s="70" t="str">
        <f>IF(M$2="Y",IF(MaGic_AVM_Land!M23=0,"",MaGic_AVM_Land!M23),"")</f>
        <v/>
      </c>
      <c r="N23" s="70" t="str">
        <f>IF(N$2="Y",IF(MaGic_AVM_Land!N23=0,"",MaGic_AVM_Land!N23),"")</f>
        <v/>
      </c>
      <c r="O23" s="70" t="str">
        <f>IF(O$2="Y",IF(MaGic_AVM_Land!O23=0,"",MaGic_AVM_Land!O23),"")</f>
        <v/>
      </c>
      <c r="P23" s="70" t="str">
        <f>IF(P$2="Y",IF(MaGic_AVM_Land!P23=0,"",MaGic_AVM_Land!P23),"")</f>
        <v/>
      </c>
      <c r="Q23" s="70" t="str">
        <f>IF(Q$2="Y",IF(MaGic_AVM_Land!Q23=0,"",MaGic_AVM_Land!Q23),"")</f>
        <v/>
      </c>
      <c r="R23" s="70" t="str">
        <f>IF(R$2="Y",IF(MaGic_AVM_Land!R23=0,"",MaGic_AVM_Land!R23),"")</f>
        <v/>
      </c>
      <c r="S23" s="70" t="str">
        <f>IF(S$2="Y",IF(MaGic_AVM_Land!S23=0,"",MaGic_AVM_Land!S23),"")</f>
        <v/>
      </c>
      <c r="T23" s="70" t="str">
        <f>IF(T$2="Y",IF(MaGic_AVM_Land!T23=0,"",MaGic_AVM_Land!T23),"")</f>
        <v/>
      </c>
      <c r="U23" s="70" t="str">
        <f>IF(U$2="Y",IF(MaGic_AVM_Land!U23=0,"",MaGic_AVM_Land!U23),"")</f>
        <v/>
      </c>
      <c r="V23" s="70" t="str">
        <f>IF(V$2="Y",IF(MaGic_AVM_Land!V23=0,"",MaGic_AVM_Land!V23),"")</f>
        <v/>
      </c>
      <c r="W23" s="70" t="str">
        <f>IF(W$2="Y",IF(MaGic_AVM_Land!W23=0,"",MaGic_AVM_Land!W23),"")</f>
        <v/>
      </c>
      <c r="X23" s="70" t="str">
        <f>IF(X$2="Y",IF(MaGic_AVM_Land!X23=0,"",MaGic_AVM_Land!X23),"")</f>
        <v/>
      </c>
      <c r="Y23" s="70" t="str">
        <f>IF(Y$2="Y",IF(MaGic_AVM_Land!Y23=0,"",MaGic_AVM_Land!Y23),"")</f>
        <v/>
      </c>
      <c r="Z23" s="70" t="str">
        <f>IF(Z$2="Y",IF(MaGic_AVM_Land!Z23=0,"",MaGic_AVM_Land!Z23),"")</f>
        <v/>
      </c>
      <c r="AA23" s="69">
        <f>SUM(C23:Z23)</f>
        <v>0</v>
      </c>
      <c r="AB23" s="69" t="str" cm="1">
        <f t="array" ref="AB23">_xlfn.UNIQUE(C23:Z23,TRUE,FALSE)</f>
        <v/>
      </c>
    </row>
    <row r="24" spans="1:28">
      <c r="A24" s="70">
        <v>22</v>
      </c>
      <c r="B24" s="70" t="s">
        <v>84</v>
      </c>
      <c r="C24" s="70" t="str">
        <f>IF(C$2="Y",IF(MaGic_AVM_Land!C24=0,"",MaGic_AVM_Land!C24),"")</f>
        <v/>
      </c>
      <c r="D24" s="70" t="str">
        <f>IF(D$2="Y",IF(MaGic_AVM_Land!D24=0,"",MaGic_AVM_Land!D24),"")</f>
        <v/>
      </c>
      <c r="E24" s="70" t="str">
        <f>IF(E$2="Y",IF(MaGic_AVM_Land!E24=0,"",MaGic_AVM_Land!E24),"")</f>
        <v/>
      </c>
      <c r="F24" s="70" t="str">
        <f>IF(F$2="Y",IF(MaGic_AVM_Land!F24=0,"",MaGic_AVM_Land!F24),"")</f>
        <v/>
      </c>
      <c r="G24" s="70" t="str">
        <f>IF(G$2="Y",IF(MaGic_AVM_Land!G24=0,"",MaGic_AVM_Land!G24),"")</f>
        <v/>
      </c>
      <c r="H24" s="70" t="str">
        <f>IF(H$2="Y",IF(MaGic_AVM_Land!H24=0,"",MaGic_AVM_Land!H24),"")</f>
        <v/>
      </c>
      <c r="I24" s="70" t="str">
        <f>IF(I$2="Y",IF(MaGic_AVM_Land!I24=0,"",MaGic_AVM_Land!I24),"")</f>
        <v/>
      </c>
      <c r="J24" s="70" t="str">
        <f>IF(J$2="Y",IF(MaGic_AVM_Land!J24=0,"",MaGic_AVM_Land!J24),"")</f>
        <v/>
      </c>
      <c r="K24" s="70" t="str">
        <f>IF(K$2="Y",IF(MaGic_AVM_Land!K24=0,"",MaGic_AVM_Land!K24),"")</f>
        <v/>
      </c>
      <c r="L24" s="70" t="str">
        <f>IF(L$2="Y",IF(MaGic_AVM_Land!L24=0,"",MaGic_AVM_Land!L24),"")</f>
        <v/>
      </c>
      <c r="M24" s="70" t="str">
        <f>IF(M$2="Y",IF(MaGic_AVM_Land!M24=0,"",MaGic_AVM_Land!M24),"")</f>
        <v/>
      </c>
      <c r="N24" s="70" t="str">
        <f>IF(N$2="Y",IF(MaGic_AVM_Land!N24=0,"",MaGic_AVM_Land!N24),"")</f>
        <v/>
      </c>
      <c r="O24" s="70" t="str">
        <f>IF(O$2="Y",IF(MaGic_AVM_Land!O24=0,"",MaGic_AVM_Land!O24),"")</f>
        <v/>
      </c>
      <c r="P24" s="70" t="str">
        <f>IF(P$2="Y",IF(MaGic_AVM_Land!P24=0,"",MaGic_AVM_Land!P24),"")</f>
        <v/>
      </c>
      <c r="Q24" s="70" t="str">
        <f>IF(Q$2="Y",IF(MaGic_AVM_Land!Q24=0,"",MaGic_AVM_Land!Q24),"")</f>
        <v/>
      </c>
      <c r="R24" s="70" t="str">
        <f>IF(R$2="Y",IF(MaGic_AVM_Land!R24=0,"",MaGic_AVM_Land!R24),"")</f>
        <v/>
      </c>
      <c r="S24" s="70" t="str">
        <f>IF(S$2="Y",IF(MaGic_AVM_Land!S24=0,"",MaGic_AVM_Land!S24),"")</f>
        <v/>
      </c>
      <c r="T24" s="70" t="str">
        <f>IF(T$2="Y",IF(MaGic_AVM_Land!T24=0,"",MaGic_AVM_Land!T24),"")</f>
        <v/>
      </c>
      <c r="U24" s="70" t="str">
        <f>IF(U$2="Y",IF(MaGic_AVM_Land!U24=0,"",MaGic_AVM_Land!U24),"")</f>
        <v/>
      </c>
      <c r="V24" s="70" t="str">
        <f>IF(V$2="Y",IF(MaGic_AVM_Land!V24=0,"",MaGic_AVM_Land!V24),"")</f>
        <v/>
      </c>
      <c r="W24" s="70" t="str">
        <f>IF(W$2="Y",IF(MaGic_AVM_Land!W24=0,"",MaGic_AVM_Land!W24),"")</f>
        <v/>
      </c>
      <c r="X24" s="70" t="str">
        <f>IF(X$2="Y",IF(MaGic_AVM_Land!X24=0,"",MaGic_AVM_Land!X24),"")</f>
        <v/>
      </c>
      <c r="Y24" s="70" t="str">
        <f>IF(Y$2="Y",IF(MaGic_AVM_Land!Y24=0,"",MaGic_AVM_Land!Y24),"")</f>
        <v/>
      </c>
      <c r="Z24" s="70" t="str">
        <f>IF(Z$2="Y",IF(MaGic_AVM_Land!Z24=0,"",MaGic_AVM_Land!Z24),"")</f>
        <v/>
      </c>
      <c r="AA24" s="69" t="str">
        <f>_xlfn.TEXTJOIN(", ",TRUE,AB24:AZ24)</f>
        <v/>
      </c>
      <c r="AB24" s="69" t="str" cm="1">
        <f t="array" ref="AB24">_xlfn.UNIQUE(C24:Z24,TRUE,FALSE)</f>
        <v/>
      </c>
    </row>
    <row r="25" spans="1:28">
      <c r="A25" s="70"/>
      <c r="B25" s="70" t="s">
        <v>168</v>
      </c>
      <c r="C25" s="70" t="str">
        <f>IF(C$2="Y",IF(MaGic_AVM_Land!C25=0,"",MaGic_AVM_Land!C25),"")</f>
        <v/>
      </c>
      <c r="D25" s="70" t="str">
        <f>IF(D$2="Y",IF(MaGic_AVM_Land!D25=0,"",MaGic_AVM_Land!D25),"")</f>
        <v/>
      </c>
      <c r="E25" s="70" t="str">
        <f>IF(E$2="Y",IF(MaGic_AVM_Land!E25=0,"",MaGic_AVM_Land!E25),"")</f>
        <v/>
      </c>
      <c r="F25" s="70" t="str">
        <f>IF(F$2="Y",IF(MaGic_AVM_Land!F25=0,"",MaGic_AVM_Land!F25),"")</f>
        <v/>
      </c>
      <c r="G25" s="70" t="str">
        <f>IF(G$2="Y",IF(MaGic_AVM_Land!G25=0,"",MaGic_AVM_Land!G25),"")</f>
        <v/>
      </c>
      <c r="H25" s="70" t="str">
        <f>IF(H$2="Y",IF(MaGic_AVM_Land!H25=0,"",MaGic_AVM_Land!H25),"")</f>
        <v/>
      </c>
      <c r="I25" s="70" t="str">
        <f>IF(I$2="Y",IF(MaGic_AVM_Land!I25=0,"",MaGic_AVM_Land!I25),"")</f>
        <v/>
      </c>
      <c r="J25" s="70" t="str">
        <f>IF(J$2="Y",IF(MaGic_AVM_Land!J25=0,"",MaGic_AVM_Land!J25),"")</f>
        <v/>
      </c>
      <c r="K25" s="70" t="str">
        <f>IF(K$2="Y",IF(MaGic_AVM_Land!K25=0,"",MaGic_AVM_Land!K25),"")</f>
        <v/>
      </c>
      <c r="L25" s="70" t="str">
        <f>IF(L$2="Y",IF(MaGic_AVM_Land!L25=0,"",MaGic_AVM_Land!L25),"")</f>
        <v/>
      </c>
      <c r="M25" s="70" t="str">
        <f>IF(M$2="Y",IF(MaGic_AVM_Land!M25=0,"",MaGic_AVM_Land!M25),"")</f>
        <v/>
      </c>
      <c r="N25" s="70" t="str">
        <f>IF(N$2="Y",IF(MaGic_AVM_Land!N25=0,"",MaGic_AVM_Land!N25),"")</f>
        <v/>
      </c>
      <c r="O25" s="70" t="str">
        <f>IF(O$2="Y",IF(MaGic_AVM_Land!O25=0,"",MaGic_AVM_Land!O25),"")</f>
        <v/>
      </c>
      <c r="P25" s="70" t="str">
        <f>IF(P$2="Y",IF(MaGic_AVM_Land!P25=0,"",MaGic_AVM_Land!P25),"")</f>
        <v/>
      </c>
      <c r="Q25" s="70" t="str">
        <f>IF(Q$2="Y",IF(MaGic_AVM_Land!Q25=0,"",MaGic_AVM_Land!Q25),"")</f>
        <v/>
      </c>
      <c r="R25" s="70" t="str">
        <f>IF(R$2="Y",IF(MaGic_AVM_Land!R25=0,"",MaGic_AVM_Land!R25),"")</f>
        <v/>
      </c>
      <c r="S25" s="70" t="str">
        <f>IF(S$2="Y",IF(MaGic_AVM_Land!S25=0,"",MaGic_AVM_Land!S25),"")</f>
        <v/>
      </c>
      <c r="T25" s="70" t="str">
        <f>IF(T$2="Y",IF(MaGic_AVM_Land!T25=0,"",MaGic_AVM_Land!T25),"")</f>
        <v/>
      </c>
      <c r="U25" s="70" t="str">
        <f>IF(U$2="Y",IF(MaGic_AVM_Land!U25=0,"",MaGic_AVM_Land!U25),"")</f>
        <v/>
      </c>
      <c r="V25" s="70" t="str">
        <f>IF(V$2="Y",IF(MaGic_AVM_Land!V25=0,"",MaGic_AVM_Land!V25),"")</f>
        <v/>
      </c>
      <c r="W25" s="70" t="str">
        <f>IF(W$2="Y",IF(MaGic_AVM_Land!W25=0,"",MaGic_AVM_Land!W25),"")</f>
        <v/>
      </c>
      <c r="X25" s="70" t="str">
        <f>IF(X$2="Y",IF(MaGic_AVM_Land!X25=0,"",MaGic_AVM_Land!X25),"")</f>
        <v/>
      </c>
      <c r="Y25" s="70" t="str">
        <f>IF(Y$2="Y",IF(MaGic_AVM_Land!Y25=0,"",MaGic_AVM_Land!Y25),"")</f>
        <v/>
      </c>
      <c r="Z25" s="70" t="str">
        <f>IF(Z$2="Y",IF(MaGic_AVM_Land!Z25=0,"",MaGic_AVM_Land!Z25),"")</f>
        <v/>
      </c>
      <c r="AB25" s="69" t="str" cm="1">
        <f t="array" ref="AB25">_xlfn.UNIQUE(C25:Z25,TRUE,FALSE)</f>
        <v/>
      </c>
    </row>
    <row r="26" spans="1:28" s="68" customFormat="1">
      <c r="A26" s="72">
        <v>24</v>
      </c>
      <c r="B26" s="72" t="s">
        <v>91</v>
      </c>
      <c r="C26" s="72" t="str">
        <f>IF(C$2="Y",IF(MaGic_AVM_Land!C26=0,"",MaGic_AVM_Land!C26),"")</f>
        <v/>
      </c>
      <c r="D26" s="72" t="str">
        <f>IF(D$2="Y",IF(MaGic_AVM_Land!D26=0,"",MaGic_AVM_Land!D26),"")</f>
        <v/>
      </c>
      <c r="E26" s="72" t="str">
        <f>IF(E$2="Y",IF(MaGic_AVM_Land!E26=0,"",MaGic_AVM_Land!E26),"")</f>
        <v/>
      </c>
      <c r="F26" s="72" t="str">
        <f>IF(F$2="Y",IF(MaGic_AVM_Land!F26=0,"",MaGic_AVM_Land!F26),"")</f>
        <v/>
      </c>
      <c r="G26" s="72" t="str">
        <f>IF(G$2="Y",IF(MaGic_AVM_Land!G26=0,"",MaGic_AVM_Land!G26),"")</f>
        <v/>
      </c>
      <c r="H26" s="72" t="str">
        <f>IF(H$2="Y",IF(MaGic_AVM_Land!H26=0,"",MaGic_AVM_Land!H26),"")</f>
        <v/>
      </c>
      <c r="I26" s="72" t="str">
        <f>IF(I$2="Y",IF(MaGic_AVM_Land!I26=0,"",MaGic_AVM_Land!I26),"")</f>
        <v/>
      </c>
      <c r="J26" s="72" t="str">
        <f>IF(J$2="Y",IF(MaGic_AVM_Land!J26=0,"",MaGic_AVM_Land!J26),"")</f>
        <v/>
      </c>
      <c r="K26" s="72" t="str">
        <f>IF(K$2="Y",IF(MaGic_AVM_Land!K26=0,"",MaGic_AVM_Land!K26),"")</f>
        <v/>
      </c>
      <c r="L26" s="72" t="str">
        <f>IF(L$2="Y",IF(MaGic_AVM_Land!L26=0,"",MaGic_AVM_Land!L26),"")</f>
        <v/>
      </c>
      <c r="M26" s="72" t="str">
        <f>IF(M$2="Y",IF(MaGic_AVM_Land!M26=0,"",MaGic_AVM_Land!M26),"")</f>
        <v/>
      </c>
      <c r="N26" s="72" t="str">
        <f>IF(N$2="Y",IF(MaGic_AVM_Land!N26=0,"",MaGic_AVM_Land!N26),"")</f>
        <v/>
      </c>
      <c r="O26" s="72" t="str">
        <f>IF(O$2="Y",IF(MaGic_AVM_Land!O26=0,"",MaGic_AVM_Land!O26),"")</f>
        <v/>
      </c>
      <c r="P26" s="72" t="str">
        <f>IF(P$2="Y",IF(MaGic_AVM_Land!P26=0,"",MaGic_AVM_Land!P26),"")</f>
        <v/>
      </c>
      <c r="Q26" s="72" t="str">
        <f>IF(Q$2="Y",IF(MaGic_AVM_Land!Q26=0,"",MaGic_AVM_Land!Q26),"")</f>
        <v/>
      </c>
      <c r="R26" s="72" t="str">
        <f>IF(R$2="Y",IF(MaGic_AVM_Land!R26=0,"",MaGic_AVM_Land!R26),"")</f>
        <v/>
      </c>
      <c r="S26" s="72" t="str">
        <f>IF(S$2="Y",IF(MaGic_AVM_Land!S26=0,"",MaGic_AVM_Land!S26),"")</f>
        <v/>
      </c>
      <c r="T26" s="72" t="str">
        <f>IF(T$2="Y",IF(MaGic_AVM_Land!T26=0,"",MaGic_AVM_Land!T26),"")</f>
        <v/>
      </c>
      <c r="U26" s="72" t="str">
        <f>IF(U$2="Y",IF(MaGic_AVM_Land!U26=0,"",MaGic_AVM_Land!U26),"")</f>
        <v/>
      </c>
      <c r="V26" s="72" t="str">
        <f>IF(V$2="Y",IF(MaGic_AVM_Land!V26=0,"",MaGic_AVM_Land!V26),"")</f>
        <v/>
      </c>
      <c r="W26" s="72" t="str">
        <f>IF(W$2="Y",IF(MaGic_AVM_Land!W26=0,"",MaGic_AVM_Land!W26),"")</f>
        <v/>
      </c>
      <c r="X26" s="72" t="str">
        <f>IF(X$2="Y",IF(MaGic_AVM_Land!X26=0,"",MaGic_AVM_Land!X26),"")</f>
        <v/>
      </c>
      <c r="Y26" s="72" t="str">
        <f>IF(Y$2="Y",IF(MaGic_AVM_Land!Y26=0,"",MaGic_AVM_Land!Y26),"")</f>
        <v/>
      </c>
      <c r="Z26" s="72" t="str">
        <f>IF(Z$2="Y",IF(MaGic_AVM_Land!Z26=0,"",MaGic_AVM_Land!Z26),"")</f>
        <v/>
      </c>
      <c r="AA26" s="68" t="str">
        <f>_xlfn.TEXTJOIN(",",TRUE,AB26:AZ26)</f>
        <v/>
      </c>
      <c r="AB26" s="68" t="str" cm="1">
        <f t="array" ref="AB26">_xlfn.UNIQUE(C26:Z26,TRUE,FALSE)</f>
        <v/>
      </c>
    </row>
    <row r="27" spans="1:28" s="68" customFormat="1">
      <c r="A27" s="72">
        <v>25</v>
      </c>
      <c r="B27" s="72" t="s">
        <v>94</v>
      </c>
      <c r="C27" s="72" t="str">
        <f>IF(C$2="Y",IF(MaGic_AVM_Land!C27=0,"",MaGic_AVM_Land!C27),"")</f>
        <v/>
      </c>
      <c r="D27" s="72" t="str">
        <f>IF(D$2="Y",IF(MaGic_AVM_Land!D27=0,"",MaGic_AVM_Land!D27),"")</f>
        <v/>
      </c>
      <c r="E27" s="72" t="str">
        <f>IF(E$2="Y",IF(MaGic_AVM_Land!E27=0,"",MaGic_AVM_Land!E27),"")</f>
        <v/>
      </c>
      <c r="F27" s="72" t="str">
        <f>IF(F$2="Y",IF(MaGic_AVM_Land!F27=0,"",MaGic_AVM_Land!F27),"")</f>
        <v/>
      </c>
      <c r="G27" s="72" t="str">
        <f>IF(G$2="Y",IF(MaGic_AVM_Land!G27=0,"",MaGic_AVM_Land!G27),"")</f>
        <v/>
      </c>
      <c r="H27" s="72" t="str">
        <f>IF(H$2="Y",IF(MaGic_AVM_Land!H27=0,"",MaGic_AVM_Land!H27),"")</f>
        <v/>
      </c>
      <c r="I27" s="72" t="str">
        <f>IF(I$2="Y",IF(MaGic_AVM_Land!I27=0,"",MaGic_AVM_Land!I27),"")</f>
        <v/>
      </c>
      <c r="J27" s="72" t="str">
        <f>IF(J$2="Y",IF(MaGic_AVM_Land!J27=0,"",MaGic_AVM_Land!J27),"")</f>
        <v/>
      </c>
      <c r="K27" s="72" t="str">
        <f>IF(K$2="Y",IF(MaGic_AVM_Land!K27=0,"",MaGic_AVM_Land!K27),"")</f>
        <v/>
      </c>
      <c r="L27" s="72" t="str">
        <f>IF(L$2="Y",IF(MaGic_AVM_Land!L27=0,"",MaGic_AVM_Land!L27),"")</f>
        <v/>
      </c>
      <c r="M27" s="72" t="str">
        <f>IF(M$2="Y",IF(MaGic_AVM_Land!M27=0,"",MaGic_AVM_Land!M27),"")</f>
        <v/>
      </c>
      <c r="N27" s="72" t="str">
        <f>IF(N$2="Y",IF(MaGic_AVM_Land!N27=0,"",MaGic_AVM_Land!N27),"")</f>
        <v/>
      </c>
      <c r="O27" s="72" t="str">
        <f>IF(O$2="Y",IF(MaGic_AVM_Land!O27=0,"",MaGic_AVM_Land!O27),"")</f>
        <v/>
      </c>
      <c r="P27" s="72" t="str">
        <f>IF(P$2="Y",IF(MaGic_AVM_Land!P27=0,"",MaGic_AVM_Land!P27),"")</f>
        <v/>
      </c>
      <c r="Q27" s="72" t="str">
        <f>IF(Q$2="Y",IF(MaGic_AVM_Land!Q27=0,"",MaGic_AVM_Land!Q27),"")</f>
        <v/>
      </c>
      <c r="R27" s="72" t="str">
        <f>IF(R$2="Y",IF(MaGic_AVM_Land!R27=0,"",MaGic_AVM_Land!R27),"")</f>
        <v/>
      </c>
      <c r="S27" s="72" t="str">
        <f>IF(S$2="Y",IF(MaGic_AVM_Land!S27=0,"",MaGic_AVM_Land!S27),"")</f>
        <v/>
      </c>
      <c r="T27" s="72" t="str">
        <f>IF(T$2="Y",IF(MaGic_AVM_Land!T27=0,"",MaGic_AVM_Land!T27),"")</f>
        <v/>
      </c>
      <c r="U27" s="72" t="str">
        <f>IF(U$2="Y",IF(MaGic_AVM_Land!U27=0,"",MaGic_AVM_Land!U27),"")</f>
        <v/>
      </c>
      <c r="V27" s="72" t="str">
        <f>IF(V$2="Y",IF(MaGic_AVM_Land!V27=0,"",MaGic_AVM_Land!V27),"")</f>
        <v/>
      </c>
      <c r="W27" s="72" t="str">
        <f>IF(W$2="Y",IF(MaGic_AVM_Land!W27=0,"",MaGic_AVM_Land!W27),"")</f>
        <v/>
      </c>
      <c r="X27" s="72" t="str">
        <f>IF(X$2="Y",IF(MaGic_AVM_Land!X27=0,"",MaGic_AVM_Land!X27),"")</f>
        <v/>
      </c>
      <c r="Y27" s="72" t="str">
        <f>IF(Y$2="Y",IF(MaGic_AVM_Land!Y27=0,"",MaGic_AVM_Land!Y27),"")</f>
        <v/>
      </c>
      <c r="Z27" s="72" t="str">
        <f>IF(Z$2="Y",IF(MaGic_AVM_Land!Z27=0,"",MaGic_AVM_Land!Z27),"")</f>
        <v/>
      </c>
      <c r="AA27" s="68" t="str">
        <f t="shared" ref="AA27:AA29" si="3">_xlfn.TEXTJOIN(",",TRUE,AB27:AZ27)</f>
        <v/>
      </c>
      <c r="AB27" s="68" t="str" cm="1">
        <f t="array" ref="AB27">_xlfn.UNIQUE(C27:Z27,TRUE,FALSE)</f>
        <v/>
      </c>
    </row>
    <row r="28" spans="1:28" s="68" customFormat="1">
      <c r="A28" s="72">
        <v>26</v>
      </c>
      <c r="B28" s="72" t="s">
        <v>97</v>
      </c>
      <c r="C28" s="72" t="str">
        <f>IF(C$2="Y",IF(MaGic_AVM_Land!C28=0,"",MaGic_AVM_Land!C28),"")</f>
        <v/>
      </c>
      <c r="D28" s="72" t="str">
        <f>IF(D$2="Y",IF(MaGic_AVM_Land!D28=0,"",MaGic_AVM_Land!D28),"")</f>
        <v/>
      </c>
      <c r="E28" s="72" t="str">
        <f>IF(E$2="Y",IF(MaGic_AVM_Land!E28=0,"",MaGic_AVM_Land!E28),"")</f>
        <v/>
      </c>
      <c r="F28" s="72" t="str">
        <f>IF(F$2="Y",IF(MaGic_AVM_Land!F28=0,"",MaGic_AVM_Land!F28),"")</f>
        <v/>
      </c>
      <c r="G28" s="72" t="str">
        <f>IF(G$2="Y",IF(MaGic_AVM_Land!G28=0,"",MaGic_AVM_Land!G28),"")</f>
        <v/>
      </c>
      <c r="H28" s="72" t="str">
        <f>IF(H$2="Y",IF(MaGic_AVM_Land!H28=0,"",MaGic_AVM_Land!H28),"")</f>
        <v/>
      </c>
      <c r="I28" s="72" t="str">
        <f>IF(I$2="Y",IF(MaGic_AVM_Land!I28=0,"",MaGic_AVM_Land!I28),"")</f>
        <v/>
      </c>
      <c r="J28" s="72" t="str">
        <f>IF(J$2="Y",IF(MaGic_AVM_Land!J28=0,"",MaGic_AVM_Land!J28),"")</f>
        <v/>
      </c>
      <c r="K28" s="72" t="str">
        <f>IF(K$2="Y",IF(MaGic_AVM_Land!K28=0,"",MaGic_AVM_Land!K28),"")</f>
        <v/>
      </c>
      <c r="L28" s="72" t="str">
        <f>IF(L$2="Y",IF(MaGic_AVM_Land!L28=0,"",MaGic_AVM_Land!L28),"")</f>
        <v/>
      </c>
      <c r="M28" s="72" t="str">
        <f>IF(M$2="Y",IF(MaGic_AVM_Land!M28=0,"",MaGic_AVM_Land!M28),"")</f>
        <v/>
      </c>
      <c r="N28" s="72" t="str">
        <f>IF(N$2="Y",IF(MaGic_AVM_Land!N28=0,"",MaGic_AVM_Land!N28),"")</f>
        <v/>
      </c>
      <c r="O28" s="72" t="str">
        <f>IF(O$2="Y",IF(MaGic_AVM_Land!O28=0,"",MaGic_AVM_Land!O28),"")</f>
        <v/>
      </c>
      <c r="P28" s="72" t="str">
        <f>IF(P$2="Y",IF(MaGic_AVM_Land!P28=0,"",MaGic_AVM_Land!P28),"")</f>
        <v/>
      </c>
      <c r="Q28" s="72" t="str">
        <f>IF(Q$2="Y",IF(MaGic_AVM_Land!Q28=0,"",MaGic_AVM_Land!Q28),"")</f>
        <v/>
      </c>
      <c r="R28" s="72" t="str">
        <f>IF(R$2="Y",IF(MaGic_AVM_Land!R28=0,"",MaGic_AVM_Land!R28),"")</f>
        <v/>
      </c>
      <c r="S28" s="72" t="str">
        <f>IF(S$2="Y",IF(MaGic_AVM_Land!S28=0,"",MaGic_AVM_Land!S28),"")</f>
        <v/>
      </c>
      <c r="T28" s="72" t="str">
        <f>IF(T$2="Y",IF(MaGic_AVM_Land!T28=0,"",MaGic_AVM_Land!T28),"")</f>
        <v/>
      </c>
      <c r="U28" s="72" t="str">
        <f>IF(U$2="Y",IF(MaGic_AVM_Land!U28=0,"",MaGic_AVM_Land!U28),"")</f>
        <v/>
      </c>
      <c r="V28" s="72" t="str">
        <f>IF(V$2="Y",IF(MaGic_AVM_Land!V28=0,"",MaGic_AVM_Land!V28),"")</f>
        <v/>
      </c>
      <c r="W28" s="72" t="str">
        <f>IF(W$2="Y",IF(MaGic_AVM_Land!W28=0,"",MaGic_AVM_Land!W28),"")</f>
        <v/>
      </c>
      <c r="X28" s="72" t="str">
        <f>IF(X$2="Y",IF(MaGic_AVM_Land!X28=0,"",MaGic_AVM_Land!X28),"")</f>
        <v/>
      </c>
      <c r="Y28" s="72" t="str">
        <f>IF(Y$2="Y",IF(MaGic_AVM_Land!Y28=0,"",MaGic_AVM_Land!Y28),"")</f>
        <v/>
      </c>
      <c r="Z28" s="72" t="str">
        <f>IF(Z$2="Y",IF(MaGic_AVM_Land!Z28=0,"",MaGic_AVM_Land!Z28),"")</f>
        <v/>
      </c>
      <c r="AA28" s="68" t="str">
        <f t="shared" si="3"/>
        <v/>
      </c>
      <c r="AB28" s="68" t="str" cm="1">
        <f t="array" ref="AB28">_xlfn.UNIQUE(C28:Z28,TRUE,FALSE)</f>
        <v/>
      </c>
    </row>
    <row r="29" spans="1:28" s="68" customFormat="1">
      <c r="A29" s="72">
        <v>27</v>
      </c>
      <c r="B29" s="72" t="s">
        <v>100</v>
      </c>
      <c r="C29" s="72" t="str">
        <f>IF(C$2="Y",IF(MaGic_AVM_Land!C29=0,"",MaGic_AVM_Land!C29),"")</f>
        <v/>
      </c>
      <c r="D29" s="72" t="str">
        <f>IF(D$2="Y",IF(MaGic_AVM_Land!D29=0,"",MaGic_AVM_Land!D29),"")</f>
        <v/>
      </c>
      <c r="E29" s="72" t="str">
        <f>IF(E$2="Y",IF(MaGic_AVM_Land!E29=0,"",MaGic_AVM_Land!E29),"")</f>
        <v/>
      </c>
      <c r="F29" s="72" t="str">
        <f>IF(F$2="Y",IF(MaGic_AVM_Land!F29=0,"",MaGic_AVM_Land!F29),"")</f>
        <v/>
      </c>
      <c r="G29" s="72" t="str">
        <f>IF(G$2="Y",IF(MaGic_AVM_Land!G29=0,"",MaGic_AVM_Land!G29),"")</f>
        <v/>
      </c>
      <c r="H29" s="72" t="str">
        <f>IF(H$2="Y",IF(MaGic_AVM_Land!H29=0,"",MaGic_AVM_Land!H29),"")</f>
        <v/>
      </c>
      <c r="I29" s="72" t="str">
        <f>IF(I$2="Y",IF(MaGic_AVM_Land!I29=0,"",MaGic_AVM_Land!I29),"")</f>
        <v/>
      </c>
      <c r="J29" s="72" t="str">
        <f>IF(J$2="Y",IF(MaGic_AVM_Land!J29=0,"",MaGic_AVM_Land!J29),"")</f>
        <v/>
      </c>
      <c r="K29" s="72" t="str">
        <f>IF(K$2="Y",IF(MaGic_AVM_Land!K29=0,"",MaGic_AVM_Land!K29),"")</f>
        <v/>
      </c>
      <c r="L29" s="72" t="str">
        <f>IF(L$2="Y",IF(MaGic_AVM_Land!L29=0,"",MaGic_AVM_Land!L29),"")</f>
        <v/>
      </c>
      <c r="M29" s="72" t="str">
        <f>IF(M$2="Y",IF(MaGic_AVM_Land!M29=0,"",MaGic_AVM_Land!M29),"")</f>
        <v/>
      </c>
      <c r="N29" s="72" t="str">
        <f>IF(N$2="Y",IF(MaGic_AVM_Land!N29=0,"",MaGic_AVM_Land!N29),"")</f>
        <v/>
      </c>
      <c r="O29" s="72" t="str">
        <f>IF(O$2="Y",IF(MaGic_AVM_Land!O29=0,"",MaGic_AVM_Land!O29),"")</f>
        <v/>
      </c>
      <c r="P29" s="72" t="str">
        <f>IF(P$2="Y",IF(MaGic_AVM_Land!P29=0,"",MaGic_AVM_Land!P29),"")</f>
        <v/>
      </c>
      <c r="Q29" s="72" t="str">
        <f>IF(Q$2="Y",IF(MaGic_AVM_Land!Q29=0,"",MaGic_AVM_Land!Q29),"")</f>
        <v/>
      </c>
      <c r="R29" s="72" t="str">
        <f>IF(R$2="Y",IF(MaGic_AVM_Land!R29=0,"",MaGic_AVM_Land!R29),"")</f>
        <v/>
      </c>
      <c r="S29" s="72" t="str">
        <f>IF(S$2="Y",IF(MaGic_AVM_Land!S29=0,"",MaGic_AVM_Land!S29),"")</f>
        <v/>
      </c>
      <c r="T29" s="72" t="str">
        <f>IF(T$2="Y",IF(MaGic_AVM_Land!T29=0,"",MaGic_AVM_Land!T29),"")</f>
        <v/>
      </c>
      <c r="U29" s="72" t="str">
        <f>IF(U$2="Y",IF(MaGic_AVM_Land!U29=0,"",MaGic_AVM_Land!U29),"")</f>
        <v/>
      </c>
      <c r="V29" s="72" t="str">
        <f>IF(V$2="Y",IF(MaGic_AVM_Land!V29=0,"",MaGic_AVM_Land!V29),"")</f>
        <v/>
      </c>
      <c r="W29" s="72" t="str">
        <f>IF(W$2="Y",IF(MaGic_AVM_Land!W29=0,"",MaGic_AVM_Land!W29),"")</f>
        <v/>
      </c>
      <c r="X29" s="72" t="str">
        <f>IF(X$2="Y",IF(MaGic_AVM_Land!X29=0,"",MaGic_AVM_Land!X29),"")</f>
        <v/>
      </c>
      <c r="Y29" s="72" t="str">
        <f>IF(Y$2="Y",IF(MaGic_AVM_Land!Y29=0,"",MaGic_AVM_Land!Y29),"")</f>
        <v/>
      </c>
      <c r="Z29" s="72" t="str">
        <f>IF(Z$2="Y",IF(MaGic_AVM_Land!Z29=0,"",MaGic_AVM_Land!Z29),"")</f>
        <v/>
      </c>
      <c r="AA29" s="68" t="str">
        <f t="shared" si="3"/>
        <v/>
      </c>
      <c r="AB29" s="68" t="str" cm="1">
        <f t="array" ref="AB29">_xlfn.UNIQUE(C29:Z29,TRUE,FALSE)</f>
        <v/>
      </c>
    </row>
    <row r="30" spans="1:28">
      <c r="A30" s="70">
        <v>28</v>
      </c>
      <c r="B30" s="70" t="s">
        <v>175</v>
      </c>
      <c r="C30" s="70" t="str">
        <f>IF(C$2="Y",IF(MaGic_AVM_Land!C30=0,"",MaGic_AVM_Land!C30),"")</f>
        <v/>
      </c>
      <c r="D30" s="70" t="str">
        <f>IF(D$2="Y",IF(MaGic_AVM_Land!D30=0,"",MaGic_AVM_Land!D30),"")</f>
        <v/>
      </c>
      <c r="E30" s="70" t="str">
        <f>IF(E$2="Y",IF(MaGic_AVM_Land!E30=0,"",MaGic_AVM_Land!E30),"")</f>
        <v/>
      </c>
      <c r="F30" s="70" t="str">
        <f>IF(F$2="Y",IF(MaGic_AVM_Land!F30=0,"",MaGic_AVM_Land!F30),"")</f>
        <v/>
      </c>
      <c r="G30" s="70" t="str">
        <f>IF(G$2="Y",IF(MaGic_AVM_Land!G30=0,"",MaGic_AVM_Land!G30),"")</f>
        <v/>
      </c>
      <c r="H30" s="70" t="str">
        <f>IF(H$2="Y",IF(MaGic_AVM_Land!H30=0,"",MaGic_AVM_Land!H30),"")</f>
        <v/>
      </c>
      <c r="I30" s="70" t="str">
        <f>IF(I$2="Y",IF(MaGic_AVM_Land!I30=0,"",MaGic_AVM_Land!I30),"")</f>
        <v/>
      </c>
      <c r="J30" s="70" t="str">
        <f>IF(J$2="Y",IF(MaGic_AVM_Land!J30=0,"",MaGic_AVM_Land!J30),"")</f>
        <v/>
      </c>
      <c r="K30" s="70" t="str">
        <f>IF(K$2="Y",IF(MaGic_AVM_Land!K30=0,"",MaGic_AVM_Land!K30),"")</f>
        <v/>
      </c>
      <c r="L30" s="70" t="str">
        <f>IF(L$2="Y",IF(MaGic_AVM_Land!L30=0,"",MaGic_AVM_Land!L30),"")</f>
        <v/>
      </c>
      <c r="M30" s="70" t="str">
        <f>IF(M$2="Y",IF(MaGic_AVM_Land!M30=0,"",MaGic_AVM_Land!M30),"")</f>
        <v/>
      </c>
      <c r="N30" s="70" t="str">
        <f>IF(N$2="Y",IF(MaGic_AVM_Land!N30=0,"",MaGic_AVM_Land!N30),"")</f>
        <v/>
      </c>
      <c r="O30" s="70" t="str">
        <f>IF(O$2="Y",IF(MaGic_AVM_Land!O30=0,"",MaGic_AVM_Land!O30),"")</f>
        <v/>
      </c>
      <c r="P30" s="70" t="str">
        <f>IF(P$2="Y",IF(MaGic_AVM_Land!P30=0,"",MaGic_AVM_Land!P30),"")</f>
        <v/>
      </c>
      <c r="Q30" s="70" t="str">
        <f>IF(Q$2="Y",IF(MaGic_AVM_Land!Q30=0,"",MaGic_AVM_Land!Q30),"")</f>
        <v/>
      </c>
      <c r="R30" s="70" t="str">
        <f>IF(R$2="Y",IF(MaGic_AVM_Land!R30=0,"",MaGic_AVM_Land!R30),"")</f>
        <v/>
      </c>
      <c r="S30" s="70" t="str">
        <f>IF(S$2="Y",IF(MaGic_AVM_Land!S30=0,"",MaGic_AVM_Land!S30),"")</f>
        <v/>
      </c>
      <c r="T30" s="70" t="str">
        <f>IF(T$2="Y",IF(MaGic_AVM_Land!T30=0,"",MaGic_AVM_Land!T30),"")</f>
        <v/>
      </c>
      <c r="U30" s="70" t="str">
        <f>IF(U$2="Y",IF(MaGic_AVM_Land!U30=0,"",MaGic_AVM_Land!U30),"")</f>
        <v/>
      </c>
      <c r="V30" s="70" t="str">
        <f>IF(V$2="Y",IF(MaGic_AVM_Land!V30=0,"",MaGic_AVM_Land!V30),"")</f>
        <v/>
      </c>
      <c r="W30" s="70" t="str">
        <f>IF(W$2="Y",IF(MaGic_AVM_Land!W30=0,"",MaGic_AVM_Land!W30),"")</f>
        <v/>
      </c>
      <c r="X30" s="70" t="str">
        <f>IF(X$2="Y",IF(MaGic_AVM_Land!X30=0,"",MaGic_AVM_Land!X30),"")</f>
        <v/>
      </c>
      <c r="Y30" s="70" t="str">
        <f>IF(Y$2="Y",IF(MaGic_AVM_Land!Y30=0,"",MaGic_AVM_Land!Y30),"")</f>
        <v/>
      </c>
      <c r="Z30" s="70" t="str">
        <f>IF(Z$2="Y",IF(MaGic_AVM_Land!Z30=0,"",MaGic_AVM_Land!Z30),"")</f>
        <v/>
      </c>
      <c r="AB30" s="69" t="str" cm="1">
        <f t="array" ref="AB30">_xlfn.UNIQUE(C30:Z30,TRUE,FALSE)</f>
        <v/>
      </c>
    </row>
    <row r="31" spans="1:28">
      <c r="A31" s="70">
        <v>29</v>
      </c>
      <c r="B31" s="70" t="s">
        <v>1103</v>
      </c>
      <c r="C31" s="70" t="str">
        <f>IF(C$2="Y",IF(MaGic_AVM_Land!C31=0,"",MaGic_AVM_Land!C31),"")</f>
        <v/>
      </c>
      <c r="D31" s="70" t="str">
        <f>IF(D$2="Y",IF(MaGic_AVM_Land!D31=0,"",MaGic_AVM_Land!D31),"")</f>
        <v/>
      </c>
      <c r="E31" s="70" t="str">
        <f>IF(E$2="Y",IF(MaGic_AVM_Land!E31=0,"",MaGic_AVM_Land!E31),"")</f>
        <v/>
      </c>
      <c r="F31" s="70" t="str">
        <f>IF(F$2="Y",IF(MaGic_AVM_Land!F31=0,"",MaGic_AVM_Land!F31),"")</f>
        <v/>
      </c>
      <c r="G31" s="70" t="str">
        <f>IF(G$2="Y",IF(MaGic_AVM_Land!G31=0,"",MaGic_AVM_Land!G31),"")</f>
        <v/>
      </c>
      <c r="H31" s="70" t="str">
        <f>IF(H$2="Y",IF(MaGic_AVM_Land!H31=0,"",MaGic_AVM_Land!H31),"")</f>
        <v/>
      </c>
      <c r="I31" s="70" t="str">
        <f>IF(I$2="Y",IF(MaGic_AVM_Land!I31=0,"",MaGic_AVM_Land!I31),"")</f>
        <v/>
      </c>
      <c r="J31" s="70" t="str">
        <f>IF(J$2="Y",IF(MaGic_AVM_Land!J31=0,"",MaGic_AVM_Land!J31),"")</f>
        <v/>
      </c>
      <c r="K31" s="70" t="str">
        <f>IF(K$2="Y",IF(MaGic_AVM_Land!K31=0,"",MaGic_AVM_Land!K31),"")</f>
        <v/>
      </c>
      <c r="L31" s="70" t="str">
        <f>IF(L$2="Y",IF(MaGic_AVM_Land!L31=0,"",MaGic_AVM_Land!L31),"")</f>
        <v/>
      </c>
      <c r="M31" s="70" t="str">
        <f>IF(M$2="Y",IF(MaGic_AVM_Land!M31=0,"",MaGic_AVM_Land!M31),"")</f>
        <v/>
      </c>
      <c r="N31" s="70" t="str">
        <f>IF(N$2="Y",IF(MaGic_AVM_Land!N31=0,"",MaGic_AVM_Land!N31),"")</f>
        <v/>
      </c>
      <c r="O31" s="70" t="str">
        <f>IF(O$2="Y",IF(MaGic_AVM_Land!O31=0,"",MaGic_AVM_Land!O31),"")</f>
        <v/>
      </c>
      <c r="P31" s="70" t="str">
        <f>IF(P$2="Y",IF(MaGic_AVM_Land!P31=0,"",MaGic_AVM_Land!P31),"")</f>
        <v/>
      </c>
      <c r="Q31" s="70" t="str">
        <f>IF(Q$2="Y",IF(MaGic_AVM_Land!Q31=0,"",MaGic_AVM_Land!Q31),"")</f>
        <v/>
      </c>
      <c r="R31" s="70" t="str">
        <f>IF(R$2="Y",IF(MaGic_AVM_Land!R31=0,"",MaGic_AVM_Land!R31),"")</f>
        <v/>
      </c>
      <c r="S31" s="70" t="str">
        <f>IF(S$2="Y",IF(MaGic_AVM_Land!S31=0,"",MaGic_AVM_Land!S31),"")</f>
        <v/>
      </c>
      <c r="T31" s="70" t="str">
        <f>IF(T$2="Y",IF(MaGic_AVM_Land!T31=0,"",MaGic_AVM_Land!T31),"")</f>
        <v/>
      </c>
      <c r="U31" s="70" t="str">
        <f>IF(U$2="Y",IF(MaGic_AVM_Land!U31=0,"",MaGic_AVM_Land!U31),"")</f>
        <v/>
      </c>
      <c r="V31" s="70" t="str">
        <f>IF(V$2="Y",IF(MaGic_AVM_Land!V31=0,"",MaGic_AVM_Land!V31),"")</f>
        <v/>
      </c>
      <c r="W31" s="70" t="str">
        <f>IF(W$2="Y",IF(MaGic_AVM_Land!W31=0,"",MaGic_AVM_Land!W31),"")</f>
        <v/>
      </c>
      <c r="X31" s="70" t="str">
        <f>IF(X$2="Y",IF(MaGic_AVM_Land!X31=0,"",MaGic_AVM_Land!X31),"")</f>
        <v/>
      </c>
      <c r="Y31" s="70" t="str">
        <f>IF(Y$2="Y",IF(MaGic_AVM_Land!Y31=0,"",MaGic_AVM_Land!Y31),"")</f>
        <v/>
      </c>
      <c r="Z31" s="70" t="str">
        <f>IF(Z$2="Y",IF(MaGic_AVM_Land!Z31=0,"",MaGic_AVM_Land!Z31),"")</f>
        <v/>
      </c>
      <c r="AB31" s="69" t="str" cm="1">
        <f t="array" ref="AB31">_xlfn.UNIQUE(C31:Z31,TRUE,FALSE)</f>
        <v/>
      </c>
    </row>
    <row r="32" spans="1:28">
      <c r="A32" s="70">
        <v>30</v>
      </c>
      <c r="B32" s="70" t="s">
        <v>1104</v>
      </c>
      <c r="C32" s="70" t="str">
        <f>IF(C$2="Y",IF(MaGic_AVM_Land!C32=0,"",MaGic_AVM_Land!C32),"")</f>
        <v/>
      </c>
      <c r="D32" s="70" t="str">
        <f>IF(D$2="Y",IF(MaGic_AVM_Land!D32=0,"",MaGic_AVM_Land!D32),"")</f>
        <v/>
      </c>
      <c r="E32" s="70" t="str">
        <f>IF(E$2="Y",IF(MaGic_AVM_Land!E32=0,"",MaGic_AVM_Land!E32),"")</f>
        <v/>
      </c>
      <c r="F32" s="70" t="str">
        <f>IF(F$2="Y",IF(MaGic_AVM_Land!F32=0,"",MaGic_AVM_Land!F32),"")</f>
        <v/>
      </c>
      <c r="G32" s="70" t="str">
        <f>IF(G$2="Y",IF(MaGic_AVM_Land!G32=0,"",MaGic_AVM_Land!G32),"")</f>
        <v/>
      </c>
      <c r="H32" s="70" t="str">
        <f>IF(H$2="Y",IF(MaGic_AVM_Land!H32=0,"",MaGic_AVM_Land!H32),"")</f>
        <v/>
      </c>
      <c r="I32" s="70" t="str">
        <f>IF(I$2="Y",IF(MaGic_AVM_Land!I32=0,"",MaGic_AVM_Land!I32),"")</f>
        <v/>
      </c>
      <c r="J32" s="70" t="str">
        <f>IF(J$2="Y",IF(MaGic_AVM_Land!J32=0,"",MaGic_AVM_Land!J32),"")</f>
        <v/>
      </c>
      <c r="K32" s="70" t="str">
        <f>IF(K$2="Y",IF(MaGic_AVM_Land!K32=0,"",MaGic_AVM_Land!K32),"")</f>
        <v/>
      </c>
      <c r="L32" s="70" t="str">
        <f>IF(L$2="Y",IF(MaGic_AVM_Land!L32=0,"",MaGic_AVM_Land!L32),"")</f>
        <v/>
      </c>
      <c r="M32" s="70" t="str">
        <f>IF(M$2="Y",IF(MaGic_AVM_Land!M32=0,"",MaGic_AVM_Land!M32),"")</f>
        <v/>
      </c>
      <c r="N32" s="70" t="str">
        <f>IF(N$2="Y",IF(MaGic_AVM_Land!N32=0,"",MaGic_AVM_Land!N32),"")</f>
        <v/>
      </c>
      <c r="O32" s="70" t="str">
        <f>IF(O$2="Y",IF(MaGic_AVM_Land!O32=0,"",MaGic_AVM_Land!O32),"")</f>
        <v/>
      </c>
      <c r="P32" s="70" t="str">
        <f>IF(P$2="Y",IF(MaGic_AVM_Land!P32=0,"",MaGic_AVM_Land!P32),"")</f>
        <v/>
      </c>
      <c r="Q32" s="70" t="str">
        <f>IF(Q$2="Y",IF(MaGic_AVM_Land!Q32=0,"",MaGic_AVM_Land!Q32),"")</f>
        <v/>
      </c>
      <c r="R32" s="70" t="str">
        <f>IF(R$2="Y",IF(MaGic_AVM_Land!R32=0,"",MaGic_AVM_Land!R32),"")</f>
        <v/>
      </c>
      <c r="S32" s="70" t="str">
        <f>IF(S$2="Y",IF(MaGic_AVM_Land!S32=0,"",MaGic_AVM_Land!S32),"")</f>
        <v/>
      </c>
      <c r="T32" s="70" t="str">
        <f>IF(T$2="Y",IF(MaGic_AVM_Land!T32=0,"",MaGic_AVM_Land!T32),"")</f>
        <v/>
      </c>
      <c r="U32" s="70" t="str">
        <f>IF(U$2="Y",IF(MaGic_AVM_Land!U32=0,"",MaGic_AVM_Land!U32),"")</f>
        <v/>
      </c>
      <c r="V32" s="70" t="str">
        <f>IF(V$2="Y",IF(MaGic_AVM_Land!V32=0,"",MaGic_AVM_Land!V32),"")</f>
        <v/>
      </c>
      <c r="W32" s="70" t="str">
        <f>IF(W$2="Y",IF(MaGic_AVM_Land!W32=0,"",MaGic_AVM_Land!W32),"")</f>
        <v/>
      </c>
      <c r="X32" s="70" t="str">
        <f>IF(X$2="Y",IF(MaGic_AVM_Land!X32=0,"",MaGic_AVM_Land!X32),"")</f>
        <v/>
      </c>
      <c r="Y32" s="70" t="str">
        <f>IF(Y$2="Y",IF(MaGic_AVM_Land!Y32=0,"",MaGic_AVM_Land!Y32),"")</f>
        <v/>
      </c>
      <c r="Z32" s="70" t="str">
        <f>IF(Z$2="Y",IF(MaGic_AVM_Land!Z32=0,"",MaGic_AVM_Land!Z32),"")</f>
        <v/>
      </c>
      <c r="AB32" s="69" t="str" cm="1">
        <f t="array" ref="AB32">_xlfn.UNIQUE(C32:Z32,TRUE,FALSE)</f>
        <v/>
      </c>
    </row>
    <row r="33" spans="1:28">
      <c r="A33" s="70">
        <v>31</v>
      </c>
      <c r="B33" s="70" t="s">
        <v>1105</v>
      </c>
      <c r="C33" s="70" t="str">
        <f>IF(C$2="Y",IF(MaGic_AVM_Land!C33=0,"",MaGic_AVM_Land!C33),"")</f>
        <v/>
      </c>
      <c r="D33" s="70" t="str">
        <f>IF(D$2="Y",IF(MaGic_AVM_Land!D33=0,"",MaGic_AVM_Land!D33),"")</f>
        <v/>
      </c>
      <c r="E33" s="70" t="str">
        <f>IF(E$2="Y",IF(MaGic_AVM_Land!E33=0,"",MaGic_AVM_Land!E33),"")</f>
        <v/>
      </c>
      <c r="F33" s="70" t="str">
        <f>IF(F$2="Y",IF(MaGic_AVM_Land!F33=0,"",MaGic_AVM_Land!F33),"")</f>
        <v/>
      </c>
      <c r="G33" s="70" t="str">
        <f>IF(G$2="Y",IF(MaGic_AVM_Land!G33=0,"",MaGic_AVM_Land!G33),"")</f>
        <v/>
      </c>
      <c r="H33" s="70" t="str">
        <f>IF(H$2="Y",IF(MaGic_AVM_Land!H33=0,"",MaGic_AVM_Land!H33),"")</f>
        <v/>
      </c>
      <c r="I33" s="70" t="str">
        <f>IF(I$2="Y",IF(MaGic_AVM_Land!I33=0,"",MaGic_AVM_Land!I33),"")</f>
        <v/>
      </c>
      <c r="J33" s="70" t="str">
        <f>IF(J$2="Y",IF(MaGic_AVM_Land!J33=0,"",MaGic_AVM_Land!J33),"")</f>
        <v/>
      </c>
      <c r="K33" s="70" t="str">
        <f>IF(K$2="Y",IF(MaGic_AVM_Land!K33=0,"",MaGic_AVM_Land!K33),"")</f>
        <v/>
      </c>
      <c r="L33" s="70" t="str">
        <f>IF(L$2="Y",IF(MaGic_AVM_Land!L33=0,"",MaGic_AVM_Land!L33),"")</f>
        <v/>
      </c>
      <c r="M33" s="70" t="str">
        <f>IF(M$2="Y",IF(MaGic_AVM_Land!M33=0,"",MaGic_AVM_Land!M33),"")</f>
        <v/>
      </c>
      <c r="N33" s="70" t="str">
        <f>IF(N$2="Y",IF(MaGic_AVM_Land!N33=0,"",MaGic_AVM_Land!N33),"")</f>
        <v/>
      </c>
      <c r="O33" s="70" t="str">
        <f>IF(O$2="Y",IF(MaGic_AVM_Land!O33=0,"",MaGic_AVM_Land!O33),"")</f>
        <v/>
      </c>
      <c r="P33" s="70" t="str">
        <f>IF(P$2="Y",IF(MaGic_AVM_Land!P33=0,"",MaGic_AVM_Land!P33),"")</f>
        <v/>
      </c>
      <c r="Q33" s="70" t="str">
        <f>IF(Q$2="Y",IF(MaGic_AVM_Land!Q33=0,"",MaGic_AVM_Land!Q33),"")</f>
        <v/>
      </c>
      <c r="R33" s="70" t="str">
        <f>IF(R$2="Y",IF(MaGic_AVM_Land!R33=0,"",MaGic_AVM_Land!R33),"")</f>
        <v/>
      </c>
      <c r="S33" s="70" t="str">
        <f>IF(S$2="Y",IF(MaGic_AVM_Land!S33=0,"",MaGic_AVM_Land!S33),"")</f>
        <v/>
      </c>
      <c r="T33" s="70" t="str">
        <f>IF(T$2="Y",IF(MaGic_AVM_Land!T33=0,"",MaGic_AVM_Land!T33),"")</f>
        <v/>
      </c>
      <c r="U33" s="70" t="str">
        <f>IF(U$2="Y",IF(MaGic_AVM_Land!U33=0,"",MaGic_AVM_Land!U33),"")</f>
        <v/>
      </c>
      <c r="V33" s="70" t="str">
        <f>IF(V$2="Y",IF(MaGic_AVM_Land!V33=0,"",MaGic_AVM_Land!V33),"")</f>
        <v/>
      </c>
      <c r="W33" s="70" t="str">
        <f>IF(W$2="Y",IF(MaGic_AVM_Land!W33=0,"",MaGic_AVM_Land!W33),"")</f>
        <v/>
      </c>
      <c r="X33" s="70" t="str">
        <f>IF(X$2="Y",IF(MaGic_AVM_Land!X33=0,"",MaGic_AVM_Land!X33),"")</f>
        <v/>
      </c>
      <c r="Y33" s="70" t="str">
        <f>IF(Y$2="Y",IF(MaGic_AVM_Land!Y33=0,"",MaGic_AVM_Land!Y33),"")</f>
        <v/>
      </c>
      <c r="Z33" s="70" t="str">
        <f>IF(Z$2="Y",IF(MaGic_AVM_Land!Z33=0,"",MaGic_AVM_Land!Z33),"")</f>
        <v/>
      </c>
      <c r="AB33" s="69" t="str" cm="1">
        <f t="array" ref="AB33">_xlfn.UNIQUE(C33:Z33,TRUE,FALSE)</f>
        <v/>
      </c>
    </row>
    <row r="34" spans="1:28">
      <c r="A34" s="70"/>
      <c r="B34" s="70" t="s">
        <v>110</v>
      </c>
      <c r="C34" s="70" t="str">
        <f>IF(C$2="Y",IF(MaGic_AVM_Land!C34=0,"",MaGic_AVM_Land!C34),"")</f>
        <v/>
      </c>
      <c r="D34" s="70" t="str">
        <f>IF(D$2="Y",IF(MaGic_AVM_Land!D34=0,"",MaGic_AVM_Land!D34),"")</f>
        <v/>
      </c>
      <c r="E34" s="70" t="str">
        <f>IF(E$2="Y",IF(MaGic_AVM_Land!E34=0,"",MaGic_AVM_Land!E34),"")</f>
        <v/>
      </c>
      <c r="F34" s="70" t="str">
        <f>IF(F$2="Y",IF(MaGic_AVM_Land!F34=0,"",MaGic_AVM_Land!F34),"")</f>
        <v/>
      </c>
      <c r="G34" s="70" t="str">
        <f>IF(G$2="Y",IF(MaGic_AVM_Land!G34=0,"",MaGic_AVM_Land!G34),"")</f>
        <v/>
      </c>
      <c r="H34" s="70" t="str">
        <f>IF(H$2="Y",IF(MaGic_AVM_Land!H34=0,"",MaGic_AVM_Land!H34),"")</f>
        <v/>
      </c>
      <c r="I34" s="70" t="str">
        <f>IF(I$2="Y",IF(MaGic_AVM_Land!I34=0,"",MaGic_AVM_Land!I34),"")</f>
        <v/>
      </c>
      <c r="J34" s="70" t="str">
        <f>IF(J$2="Y",IF(MaGic_AVM_Land!J34=0,"",MaGic_AVM_Land!J34),"")</f>
        <v/>
      </c>
      <c r="K34" s="70" t="str">
        <f>IF(K$2="Y",IF(MaGic_AVM_Land!K34=0,"",MaGic_AVM_Land!K34),"")</f>
        <v/>
      </c>
      <c r="L34" s="70" t="str">
        <f>IF(L$2="Y",IF(MaGic_AVM_Land!L34=0,"",MaGic_AVM_Land!L34),"")</f>
        <v/>
      </c>
      <c r="M34" s="70" t="str">
        <f>IF(M$2="Y",IF(MaGic_AVM_Land!M34=0,"",MaGic_AVM_Land!M34),"")</f>
        <v/>
      </c>
      <c r="N34" s="70" t="str">
        <f>IF(N$2="Y",IF(MaGic_AVM_Land!N34=0,"",MaGic_AVM_Land!N34),"")</f>
        <v/>
      </c>
      <c r="O34" s="70" t="str">
        <f>IF(O$2="Y",IF(MaGic_AVM_Land!O34=0,"",MaGic_AVM_Land!O34),"")</f>
        <v/>
      </c>
      <c r="P34" s="70" t="str">
        <f>IF(P$2="Y",IF(MaGic_AVM_Land!P34=0,"",MaGic_AVM_Land!P34),"")</f>
        <v/>
      </c>
      <c r="Q34" s="70" t="str">
        <f>IF(Q$2="Y",IF(MaGic_AVM_Land!Q34=0,"",MaGic_AVM_Land!Q34),"")</f>
        <v/>
      </c>
      <c r="R34" s="70" t="str">
        <f>IF(R$2="Y",IF(MaGic_AVM_Land!R34=0,"",MaGic_AVM_Land!R34),"")</f>
        <v/>
      </c>
      <c r="S34" s="70" t="str">
        <f>IF(S$2="Y",IF(MaGic_AVM_Land!S34=0,"",MaGic_AVM_Land!S34),"")</f>
        <v/>
      </c>
      <c r="T34" s="70" t="str">
        <f>IF(T$2="Y",IF(MaGic_AVM_Land!T34=0,"",MaGic_AVM_Land!T34),"")</f>
        <v/>
      </c>
      <c r="U34" s="70" t="str">
        <f>IF(U$2="Y",IF(MaGic_AVM_Land!U34=0,"",MaGic_AVM_Land!U34),"")</f>
        <v/>
      </c>
      <c r="V34" s="70" t="str">
        <f>IF(V$2="Y",IF(MaGic_AVM_Land!V34=0,"",MaGic_AVM_Land!V34),"")</f>
        <v/>
      </c>
      <c r="W34" s="70" t="str">
        <f>IF(W$2="Y",IF(MaGic_AVM_Land!W34=0,"",MaGic_AVM_Land!W34),"")</f>
        <v/>
      </c>
      <c r="X34" s="70" t="str">
        <f>IF(X$2="Y",IF(MaGic_AVM_Land!X34=0,"",MaGic_AVM_Land!X34),"")</f>
        <v/>
      </c>
      <c r="Y34" s="70" t="str">
        <f>IF(Y$2="Y",IF(MaGic_AVM_Land!Y34=0,"",MaGic_AVM_Land!Y34),"")</f>
        <v/>
      </c>
      <c r="Z34" s="70" t="str">
        <f>IF(Z$2="Y",IF(MaGic_AVM_Land!Z34=0,"",MaGic_AVM_Land!Z34),"")</f>
        <v/>
      </c>
      <c r="AB34" s="69" t="str" cm="1">
        <f t="array" ref="AB34">_xlfn.UNIQUE(C34:Z34,TRUE,FALSE)</f>
        <v/>
      </c>
    </row>
    <row r="35" spans="1:28">
      <c r="A35" s="70">
        <v>1</v>
      </c>
      <c r="B35" s="70" t="s">
        <v>1106</v>
      </c>
      <c r="C35" s="70" t="str">
        <f>IF(C$2="Y",IF(MaGic_AVM_Land!C35=0,"",MaGic_AVM_Land!C35),"")</f>
        <v/>
      </c>
      <c r="D35" s="70" t="str">
        <f>IF(D$2="Y",IF(MaGic_AVM_Land!D35=0,"",MaGic_AVM_Land!D35),"")</f>
        <v/>
      </c>
      <c r="E35" s="70" t="str">
        <f>IF(E$2="Y",IF(MaGic_AVM_Land!E35=0,"",MaGic_AVM_Land!E35),"")</f>
        <v/>
      </c>
      <c r="F35" s="70" t="str">
        <f>IF(F$2="Y",IF(MaGic_AVM_Land!F35=0,"",MaGic_AVM_Land!F35),"")</f>
        <v/>
      </c>
      <c r="G35" s="70" t="str">
        <f>IF(G$2="Y",IF(MaGic_AVM_Land!G35=0,"",MaGic_AVM_Land!G35),"")</f>
        <v/>
      </c>
      <c r="H35" s="70" t="str">
        <f>IF(H$2="Y",IF(MaGic_AVM_Land!H35=0,"",MaGic_AVM_Land!H35),"")</f>
        <v/>
      </c>
      <c r="I35" s="70" t="str">
        <f>IF(I$2="Y",IF(MaGic_AVM_Land!I35=0,"",MaGic_AVM_Land!I35),"")</f>
        <v/>
      </c>
      <c r="J35" s="70" t="str">
        <f>IF(J$2="Y",IF(MaGic_AVM_Land!J35=0,"",MaGic_AVM_Land!J35),"")</f>
        <v/>
      </c>
      <c r="K35" s="70" t="str">
        <f>IF(K$2="Y",IF(MaGic_AVM_Land!K35=0,"",MaGic_AVM_Land!K35),"")</f>
        <v/>
      </c>
      <c r="L35" s="70" t="str">
        <f>IF(L$2="Y",IF(MaGic_AVM_Land!L35=0,"",MaGic_AVM_Land!L35),"")</f>
        <v/>
      </c>
      <c r="M35" s="70" t="str">
        <f>IF(M$2="Y",IF(MaGic_AVM_Land!M35=0,"",MaGic_AVM_Land!M35),"")</f>
        <v/>
      </c>
      <c r="N35" s="70" t="str">
        <f>IF(N$2="Y",IF(MaGic_AVM_Land!N35=0,"",MaGic_AVM_Land!N35),"")</f>
        <v/>
      </c>
      <c r="O35" s="70" t="str">
        <f>IF(O$2="Y",IF(MaGic_AVM_Land!O35=0,"",MaGic_AVM_Land!O35),"")</f>
        <v/>
      </c>
      <c r="P35" s="70" t="str">
        <f>IF(P$2="Y",IF(MaGic_AVM_Land!P35=0,"",MaGic_AVM_Land!P35),"")</f>
        <v/>
      </c>
      <c r="Q35" s="70" t="str">
        <f>IF(Q$2="Y",IF(MaGic_AVM_Land!Q35=0,"",MaGic_AVM_Land!Q35),"")</f>
        <v/>
      </c>
      <c r="R35" s="70" t="str">
        <f>IF(R$2="Y",IF(MaGic_AVM_Land!R35=0,"",MaGic_AVM_Land!R35),"")</f>
        <v/>
      </c>
      <c r="S35" s="70" t="str">
        <f>IF(S$2="Y",IF(MaGic_AVM_Land!S35=0,"",MaGic_AVM_Land!S35),"")</f>
        <v/>
      </c>
      <c r="T35" s="70" t="str">
        <f>IF(T$2="Y",IF(MaGic_AVM_Land!T35=0,"",MaGic_AVM_Land!T35),"")</f>
        <v/>
      </c>
      <c r="U35" s="70" t="str">
        <f>IF(U$2="Y",IF(MaGic_AVM_Land!U35=0,"",MaGic_AVM_Land!U35),"")</f>
        <v/>
      </c>
      <c r="V35" s="70" t="str">
        <f>IF(V$2="Y",IF(MaGic_AVM_Land!V35=0,"",MaGic_AVM_Land!V35),"")</f>
        <v/>
      </c>
      <c r="W35" s="70" t="str">
        <f>IF(W$2="Y",IF(MaGic_AVM_Land!W35=0,"",MaGic_AVM_Land!W35),"")</f>
        <v/>
      </c>
      <c r="X35" s="70" t="str">
        <f>IF(X$2="Y",IF(MaGic_AVM_Land!X35=0,"",MaGic_AVM_Land!X35),"")</f>
        <v/>
      </c>
      <c r="Y35" s="70" t="str">
        <f>IF(Y$2="Y",IF(MaGic_AVM_Land!Y35=0,"",MaGic_AVM_Land!Y35),"")</f>
        <v/>
      </c>
      <c r="Z35" s="70" t="str">
        <f>IF(Z$2="Y",IF(MaGic_AVM_Land!Z35=0,"",MaGic_AVM_Land!Z35),"")</f>
        <v/>
      </c>
      <c r="AB35" s="69" t="str" cm="1">
        <f t="array" ref="AB35">_xlfn.UNIQUE(C35:Z35,TRUE,FALSE)</f>
        <v/>
      </c>
    </row>
    <row r="36" spans="1:28">
      <c r="A36" s="70">
        <v>2</v>
      </c>
      <c r="B36" s="70" t="s">
        <v>112</v>
      </c>
      <c r="C36" s="70" t="str">
        <f>IF(C$2="Y",IF(MaGic_AVM_Land!C36=0,"",MaGic_AVM_Land!C36),"")</f>
        <v/>
      </c>
      <c r="D36" s="70" t="str">
        <f>IF(D$2="Y",IF(MaGic_AVM_Land!D36=0,"",MaGic_AVM_Land!D36),"")</f>
        <v/>
      </c>
      <c r="E36" s="70" t="str">
        <f>IF(E$2="Y",IF(MaGic_AVM_Land!E36=0,"",MaGic_AVM_Land!E36),"")</f>
        <v/>
      </c>
      <c r="F36" s="70" t="str">
        <f>IF(F$2="Y",IF(MaGic_AVM_Land!F36=0,"",MaGic_AVM_Land!F36),"")</f>
        <v/>
      </c>
      <c r="G36" s="70" t="str">
        <f>IF(G$2="Y",IF(MaGic_AVM_Land!G36=0,"",MaGic_AVM_Land!G36),"")</f>
        <v/>
      </c>
      <c r="H36" s="70" t="str">
        <f>IF(H$2="Y",IF(MaGic_AVM_Land!H36=0,"",MaGic_AVM_Land!H36),"")</f>
        <v/>
      </c>
      <c r="I36" s="70" t="str">
        <f>IF(I$2="Y",IF(MaGic_AVM_Land!I36=0,"",MaGic_AVM_Land!I36),"")</f>
        <v/>
      </c>
      <c r="J36" s="70" t="str">
        <f>IF(J$2="Y",IF(MaGic_AVM_Land!J36=0,"",MaGic_AVM_Land!J36),"")</f>
        <v/>
      </c>
      <c r="K36" s="70" t="str">
        <f>IF(K$2="Y",IF(MaGic_AVM_Land!K36=0,"",MaGic_AVM_Land!K36),"")</f>
        <v/>
      </c>
      <c r="L36" s="70" t="str">
        <f>IF(L$2="Y",IF(MaGic_AVM_Land!L36=0,"",MaGic_AVM_Land!L36),"")</f>
        <v/>
      </c>
      <c r="M36" s="70" t="str">
        <f>IF(M$2="Y",IF(MaGic_AVM_Land!M36=0,"",MaGic_AVM_Land!M36),"")</f>
        <v/>
      </c>
      <c r="N36" s="70" t="str">
        <f>IF(N$2="Y",IF(MaGic_AVM_Land!N36=0,"",MaGic_AVM_Land!N36),"")</f>
        <v/>
      </c>
      <c r="O36" s="70" t="str">
        <f>IF(O$2="Y",IF(MaGic_AVM_Land!O36=0,"",MaGic_AVM_Land!O36),"")</f>
        <v/>
      </c>
      <c r="P36" s="70" t="str">
        <f>IF(P$2="Y",IF(MaGic_AVM_Land!P36=0,"",MaGic_AVM_Land!P36),"")</f>
        <v/>
      </c>
      <c r="Q36" s="70" t="str">
        <f>IF(Q$2="Y",IF(MaGic_AVM_Land!Q36=0,"",MaGic_AVM_Land!Q36),"")</f>
        <v/>
      </c>
      <c r="R36" s="70" t="str">
        <f>IF(R$2="Y",IF(MaGic_AVM_Land!R36=0,"",MaGic_AVM_Land!R36),"")</f>
        <v/>
      </c>
      <c r="S36" s="70" t="str">
        <f>IF(S$2="Y",IF(MaGic_AVM_Land!S36=0,"",MaGic_AVM_Land!S36),"")</f>
        <v/>
      </c>
      <c r="T36" s="70" t="str">
        <f>IF(T$2="Y",IF(MaGic_AVM_Land!T36=0,"",MaGic_AVM_Land!T36),"")</f>
        <v/>
      </c>
      <c r="U36" s="70" t="str">
        <f>IF(U$2="Y",IF(MaGic_AVM_Land!U36=0,"",MaGic_AVM_Land!U36),"")</f>
        <v/>
      </c>
      <c r="V36" s="70" t="str">
        <f>IF(V$2="Y",IF(MaGic_AVM_Land!V36=0,"",MaGic_AVM_Land!V36),"")</f>
        <v/>
      </c>
      <c r="W36" s="70" t="str">
        <f>IF(W$2="Y",IF(MaGic_AVM_Land!W36=0,"",MaGic_AVM_Land!W36),"")</f>
        <v/>
      </c>
      <c r="X36" s="70" t="str">
        <f>IF(X$2="Y",IF(MaGic_AVM_Land!X36=0,"",MaGic_AVM_Land!X36),"")</f>
        <v/>
      </c>
      <c r="Y36" s="70" t="str">
        <f>IF(Y$2="Y",IF(MaGic_AVM_Land!Y36=0,"",MaGic_AVM_Land!Y36),"")</f>
        <v/>
      </c>
      <c r="Z36" s="70" t="str">
        <f>IF(Z$2="Y",IF(MaGic_AVM_Land!Z36=0,"",MaGic_AVM_Land!Z36),"")</f>
        <v/>
      </c>
      <c r="AB36" s="69" t="str" cm="1">
        <f t="array" ref="AB36">_xlfn.UNIQUE(C36:Z36,TRUE,FALSE)</f>
        <v/>
      </c>
    </row>
    <row r="37" spans="1:28">
      <c r="A37" s="70">
        <v>3</v>
      </c>
      <c r="B37" s="70" t="s">
        <v>113</v>
      </c>
      <c r="C37" s="70" t="str">
        <f>IF(C$2="Y",IF(MaGic_AVM_Land!C37=0,"",MaGic_AVM_Land!C37),"")</f>
        <v/>
      </c>
      <c r="D37" s="70" t="str">
        <f>IF(D$2="Y",IF(MaGic_AVM_Land!D37=0,"",MaGic_AVM_Land!D37),"")</f>
        <v/>
      </c>
      <c r="E37" s="70" t="str">
        <f>IF(E$2="Y",IF(MaGic_AVM_Land!E37=0,"",MaGic_AVM_Land!E37),"")</f>
        <v/>
      </c>
      <c r="F37" s="70" t="str">
        <f>IF(F$2="Y",IF(MaGic_AVM_Land!F37=0,"",MaGic_AVM_Land!F37),"")</f>
        <v/>
      </c>
      <c r="G37" s="70" t="str">
        <f>IF(G$2="Y",IF(MaGic_AVM_Land!G37=0,"",MaGic_AVM_Land!G37),"")</f>
        <v/>
      </c>
      <c r="H37" s="70" t="str">
        <f>IF(H$2="Y",IF(MaGic_AVM_Land!H37=0,"",MaGic_AVM_Land!H37),"")</f>
        <v/>
      </c>
      <c r="I37" s="70" t="str">
        <f>IF(I$2="Y",IF(MaGic_AVM_Land!I37=0,"",MaGic_AVM_Land!I37),"")</f>
        <v/>
      </c>
      <c r="J37" s="70" t="str">
        <f>IF(J$2="Y",IF(MaGic_AVM_Land!J37=0,"",MaGic_AVM_Land!J37),"")</f>
        <v/>
      </c>
      <c r="K37" s="70" t="str">
        <f>IF(K$2="Y",IF(MaGic_AVM_Land!K37=0,"",MaGic_AVM_Land!K37),"")</f>
        <v/>
      </c>
      <c r="L37" s="70" t="str">
        <f>IF(L$2="Y",IF(MaGic_AVM_Land!L37=0,"",MaGic_AVM_Land!L37),"")</f>
        <v/>
      </c>
      <c r="M37" s="70" t="str">
        <f>IF(M$2="Y",IF(MaGic_AVM_Land!M37=0,"",MaGic_AVM_Land!M37),"")</f>
        <v/>
      </c>
      <c r="N37" s="70" t="str">
        <f>IF(N$2="Y",IF(MaGic_AVM_Land!N37=0,"",MaGic_AVM_Land!N37),"")</f>
        <v/>
      </c>
      <c r="O37" s="70" t="str">
        <f>IF(O$2="Y",IF(MaGic_AVM_Land!O37=0,"",MaGic_AVM_Land!O37),"")</f>
        <v/>
      </c>
      <c r="P37" s="70" t="str">
        <f>IF(P$2="Y",IF(MaGic_AVM_Land!P37=0,"",MaGic_AVM_Land!P37),"")</f>
        <v/>
      </c>
      <c r="Q37" s="70" t="str">
        <f>IF(Q$2="Y",IF(MaGic_AVM_Land!Q37=0,"",MaGic_AVM_Land!Q37),"")</f>
        <v/>
      </c>
      <c r="R37" s="70" t="str">
        <f>IF(R$2="Y",IF(MaGic_AVM_Land!R37=0,"",MaGic_AVM_Land!R37),"")</f>
        <v/>
      </c>
      <c r="S37" s="70" t="str">
        <f>IF(S$2="Y",IF(MaGic_AVM_Land!S37=0,"",MaGic_AVM_Land!S37),"")</f>
        <v/>
      </c>
      <c r="T37" s="70" t="str">
        <f>IF(T$2="Y",IF(MaGic_AVM_Land!T37=0,"",MaGic_AVM_Land!T37),"")</f>
        <v/>
      </c>
      <c r="U37" s="70" t="str">
        <f>IF(U$2="Y",IF(MaGic_AVM_Land!U37=0,"",MaGic_AVM_Land!U37),"")</f>
        <v/>
      </c>
      <c r="V37" s="70" t="str">
        <f>IF(V$2="Y",IF(MaGic_AVM_Land!V37=0,"",MaGic_AVM_Land!V37),"")</f>
        <v/>
      </c>
      <c r="W37" s="70" t="str">
        <f>IF(W$2="Y",IF(MaGic_AVM_Land!W37=0,"",MaGic_AVM_Land!W37),"")</f>
        <v/>
      </c>
      <c r="X37" s="70" t="str">
        <f>IF(X$2="Y",IF(MaGic_AVM_Land!X37=0,"",MaGic_AVM_Land!X37),"")</f>
        <v/>
      </c>
      <c r="Y37" s="70" t="str">
        <f>IF(Y$2="Y",IF(MaGic_AVM_Land!Y37=0,"",MaGic_AVM_Land!Y37),"")</f>
        <v/>
      </c>
      <c r="Z37" s="70" t="str">
        <f>IF(Z$2="Y",IF(MaGic_AVM_Land!Z37=0,"",MaGic_AVM_Land!Z37),"")</f>
        <v/>
      </c>
      <c r="AB37" s="69" t="str" cm="1">
        <f t="array" ref="AB37">_xlfn.UNIQUE(C37:Z37,TRUE,FALSE)</f>
        <v/>
      </c>
    </row>
    <row r="38" spans="1:28">
      <c r="A38" s="70">
        <v>4</v>
      </c>
      <c r="B38" s="70" t="s">
        <v>114</v>
      </c>
      <c r="C38" s="70"/>
      <c r="D38" s="70"/>
      <c r="E38" s="70"/>
      <c r="F38" s="70"/>
      <c r="G38" s="70"/>
      <c r="H38" s="70"/>
      <c r="I38" s="70"/>
      <c r="J38" s="70"/>
      <c r="K38" s="70"/>
      <c r="L38" s="70"/>
      <c r="M38" s="70"/>
      <c r="N38" s="70"/>
      <c r="O38" s="70"/>
      <c r="P38" s="70"/>
      <c r="Q38" s="70"/>
      <c r="R38" s="70"/>
      <c r="S38" s="70"/>
      <c r="T38" s="70"/>
      <c r="U38" s="70"/>
      <c r="V38" s="70"/>
      <c r="W38" s="70"/>
      <c r="X38" s="70"/>
      <c r="Y38" s="70"/>
      <c r="Z38" s="70"/>
      <c r="AB38" s="69" cm="1">
        <f t="array" ref="AB38">_xlfn.UNIQUE(C38:Z38,TRUE,FALSE)</f>
        <v>0</v>
      </c>
    </row>
    <row r="39" spans="1:28">
      <c r="A39" s="70">
        <v>5</v>
      </c>
      <c r="B39" s="70" t="s">
        <v>115</v>
      </c>
      <c r="C39" s="70"/>
      <c r="D39" s="70"/>
      <c r="E39" s="70"/>
      <c r="F39" s="70"/>
      <c r="G39" s="70"/>
      <c r="H39" s="70"/>
      <c r="I39" s="70"/>
      <c r="J39" s="70"/>
      <c r="K39" s="70"/>
      <c r="L39" s="70"/>
      <c r="M39" s="70"/>
      <c r="N39" s="70"/>
      <c r="O39" s="70"/>
      <c r="P39" s="70"/>
      <c r="Q39" s="70"/>
      <c r="R39" s="70"/>
      <c r="S39" s="70"/>
      <c r="T39" s="70"/>
      <c r="U39" s="70"/>
      <c r="V39" s="70"/>
      <c r="W39" s="70"/>
      <c r="X39" s="70"/>
      <c r="Y39" s="70"/>
      <c r="Z39" s="70"/>
      <c r="AB39" s="69" cm="1">
        <f t="array" ref="AB39">_xlfn.UNIQUE(C39:Z39,TRUE,FALSE)</f>
        <v>0</v>
      </c>
    </row>
    <row r="40" spans="1:28">
      <c r="A40" s="70">
        <v>6</v>
      </c>
      <c r="B40" s="70" t="s">
        <v>116</v>
      </c>
      <c r="C40" s="70"/>
      <c r="D40" s="70"/>
      <c r="E40" s="70"/>
      <c r="F40" s="70"/>
      <c r="G40" s="70"/>
      <c r="H40" s="70"/>
      <c r="I40" s="70"/>
      <c r="J40" s="70"/>
      <c r="K40" s="70"/>
      <c r="L40" s="70"/>
      <c r="M40" s="70"/>
      <c r="N40" s="70"/>
      <c r="O40" s="70"/>
      <c r="P40" s="70"/>
      <c r="Q40" s="70"/>
      <c r="R40" s="70"/>
      <c r="S40" s="70"/>
      <c r="T40" s="70"/>
      <c r="U40" s="70"/>
      <c r="V40" s="70"/>
      <c r="W40" s="70"/>
      <c r="X40" s="70"/>
      <c r="Y40" s="70"/>
      <c r="Z40" s="70"/>
      <c r="AB40" s="69" cm="1">
        <f t="array" ref="AB40">_xlfn.UNIQUE(C40:Z40,TRUE,FALSE)</f>
        <v>0</v>
      </c>
    </row>
    <row r="41" spans="1:28">
      <c r="A41" s="70"/>
      <c r="B41" s="70" t="s">
        <v>117</v>
      </c>
      <c r="C41" s="70"/>
      <c r="D41" s="70"/>
      <c r="E41" s="70"/>
      <c r="F41" s="70"/>
      <c r="G41" s="70"/>
      <c r="H41" s="70"/>
      <c r="I41" s="70"/>
      <c r="J41" s="70"/>
      <c r="K41" s="70"/>
      <c r="L41" s="70"/>
      <c r="M41" s="70"/>
      <c r="N41" s="70"/>
      <c r="O41" s="70"/>
      <c r="P41" s="70"/>
      <c r="Q41" s="70"/>
      <c r="R41" s="70"/>
      <c r="S41" s="70"/>
      <c r="T41" s="70"/>
      <c r="U41" s="70"/>
      <c r="V41" s="70"/>
      <c r="W41" s="70"/>
      <c r="X41" s="70"/>
      <c r="Y41" s="70"/>
      <c r="Z41" s="70"/>
      <c r="AB41" s="69" cm="1">
        <f t="array" ref="AB41">_xlfn.UNIQUE(C41:Z41,TRUE,FALSE)</f>
        <v>0</v>
      </c>
    </row>
    <row r="42" spans="1:28">
      <c r="A42" s="70">
        <v>1</v>
      </c>
      <c r="B42" s="70" t="s">
        <v>118</v>
      </c>
      <c r="C42" s="70"/>
      <c r="D42" s="70"/>
      <c r="E42" s="70"/>
      <c r="F42" s="70"/>
      <c r="G42" s="70"/>
      <c r="H42" s="70"/>
      <c r="I42" s="70"/>
      <c r="J42" s="70"/>
      <c r="K42" s="70"/>
      <c r="L42" s="70"/>
      <c r="M42" s="70"/>
      <c r="N42" s="70"/>
      <c r="O42" s="70"/>
      <c r="P42" s="70"/>
      <c r="Q42" s="70"/>
      <c r="R42" s="70"/>
      <c r="S42" s="70"/>
      <c r="T42" s="70"/>
      <c r="U42" s="70"/>
      <c r="V42" s="70"/>
      <c r="W42" s="70"/>
      <c r="X42" s="70"/>
      <c r="Y42" s="70"/>
      <c r="Z42" s="70"/>
      <c r="AB42" s="69" cm="1">
        <f t="array" ref="AB42">_xlfn.UNIQUE(C42:Z42,TRUE,FALSE)</f>
        <v>0</v>
      </c>
    </row>
    <row r="43" spans="1:28">
      <c r="A43" s="70">
        <v>2</v>
      </c>
      <c r="B43" s="70" t="s">
        <v>119</v>
      </c>
      <c r="C43" s="70"/>
      <c r="D43" s="70"/>
      <c r="E43" s="70"/>
      <c r="F43" s="70"/>
      <c r="G43" s="70"/>
      <c r="H43" s="70"/>
      <c r="I43" s="70"/>
      <c r="J43" s="70"/>
      <c r="K43" s="70"/>
      <c r="L43" s="70"/>
      <c r="M43" s="70"/>
      <c r="N43" s="70"/>
      <c r="O43" s="70"/>
      <c r="P43" s="70"/>
      <c r="Q43" s="70"/>
      <c r="R43" s="70"/>
      <c r="S43" s="70"/>
      <c r="T43" s="70"/>
      <c r="U43" s="70"/>
      <c r="V43" s="70"/>
      <c r="W43" s="70"/>
      <c r="X43" s="70"/>
      <c r="Y43" s="70"/>
      <c r="Z43" s="70"/>
      <c r="AB43" s="69" cm="1">
        <f t="array" ref="AB43">_xlfn.UNIQUE(C43:Z43,TRUE,FALSE)</f>
        <v>0</v>
      </c>
    </row>
    <row r="44" spans="1:28">
      <c r="A44" s="70">
        <v>3</v>
      </c>
      <c r="B44" s="70" t="s">
        <v>120</v>
      </c>
      <c r="C44" s="70"/>
      <c r="D44" s="70"/>
      <c r="E44" s="70"/>
      <c r="F44" s="70"/>
      <c r="G44" s="70"/>
      <c r="H44" s="70"/>
      <c r="I44" s="70"/>
      <c r="J44" s="70"/>
      <c r="K44" s="70"/>
      <c r="L44" s="70"/>
      <c r="M44" s="70"/>
      <c r="N44" s="70"/>
      <c r="O44" s="70"/>
      <c r="P44" s="70"/>
      <c r="Q44" s="70"/>
      <c r="R44" s="70"/>
      <c r="S44" s="70"/>
      <c r="T44" s="70"/>
      <c r="U44" s="70"/>
      <c r="V44" s="70"/>
      <c r="W44" s="70"/>
      <c r="X44" s="70"/>
      <c r="Y44" s="70"/>
      <c r="Z44" s="70"/>
      <c r="AB44" s="69" cm="1">
        <f t="array" ref="AB44">_xlfn.UNIQUE(C44:Z44,TRUE,FALSE)</f>
        <v>0</v>
      </c>
    </row>
    <row r="45" spans="1:28">
      <c r="A45" s="70">
        <v>4</v>
      </c>
      <c r="B45" s="70" t="s">
        <v>121</v>
      </c>
      <c r="C45" s="70"/>
      <c r="D45" s="70"/>
      <c r="E45" s="70"/>
      <c r="F45" s="70"/>
      <c r="G45" s="70"/>
      <c r="H45" s="70"/>
      <c r="I45" s="70"/>
      <c r="J45" s="70"/>
      <c r="K45" s="70"/>
      <c r="L45" s="70"/>
      <c r="M45" s="70"/>
      <c r="N45" s="70"/>
      <c r="O45" s="70"/>
      <c r="P45" s="70"/>
      <c r="Q45" s="70"/>
      <c r="R45" s="70"/>
      <c r="S45" s="70"/>
      <c r="T45" s="70"/>
      <c r="U45" s="70"/>
      <c r="V45" s="70"/>
      <c r="W45" s="70"/>
      <c r="X45" s="70"/>
      <c r="Y45" s="70"/>
      <c r="Z45" s="70"/>
      <c r="AB45" s="69" cm="1">
        <f t="array" ref="AB45">_xlfn.UNIQUE(C45:Z45,TRUE,FALSE)</f>
        <v>0</v>
      </c>
    </row>
    <row r="46" spans="1:28" ht="48" customHeight="1"/>
    <row r="47" spans="1:28" hidden="1"/>
    <row r="48" spans="1:2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spans="3:27" hidden="1"/>
    <row r="98" spans="3:27" hidden="1"/>
    <row r="99" spans="3:27" hidden="1"/>
    <row r="100" spans="3:27" hidden="1"/>
    <row r="101" spans="3:27" ht="170.25" customHeight="1">
      <c r="C101" s="19" t="str">
        <f>IF(C23="","",CONCATENATE(C23," Ares of land in ",IF(C20="","",CONCATENATE($B$20,C20,", ")),IF(C21="","",CONCATENATE($B$21,C21,", ")),IF(C22="","",CONCATENATE($B$22,C22,", ")),IF(C17="","",CONCATENATE($B$17,C17,", ")),IF(C18="","",CONCATENATE($B$18,C18,", ")),IF(C19="","",CONCATENATE($B$19,C19,", ")),IF(C14="","",CONCATENATE($B$14,C14,", ")),IF(C15="","",CONCATENATE($B$15,C15,", ")),IF(C16="","",CONCATENATE($B$16,C16))))</f>
        <v/>
      </c>
      <c r="D101" s="19" t="str">
        <f>IF(D23="","",CONCATENATE(D23," Ares of land in ",IF(D20="","",CONCATENATE($B$20,D20,", ")),IF(D21="","",CONCATENATE($B$21,D21,", ")),IF(D22="","",CONCATENATE($B$22,D22,", ")),IF(D17="","",CONCATENATE($B$17,D17,", ")),IF(D18="","",CONCATENATE($B$18,D18,", ")),IF(D19="","",CONCATENATE($B$19,D19,", ")),IF(D14="","",CONCATENATE($B$14,D14,", ")),IF(D15="","",CONCATENATE($B$15,D15,", ")),IF(D16="","",CONCATENATE($B$16,D16))))</f>
        <v/>
      </c>
      <c r="E101" s="19" t="str">
        <f t="shared" ref="E101:Z101" si="4">IF(E23="","",CONCATENATE(E23," Ares of land in ",IF(E20="","",CONCATENATE($B$20,E20,", ")),IF(E21="","",CONCATENATE($B$21,E21,", ")),IF(E22="","",CONCATENATE($B$22,E22,", ")),IF(E17="","",CONCATENATE($B$17,E17,", ")),IF(E18="","",CONCATENATE($B$18,E18,", ")),IF(E19="","",CONCATENATE($B$19,E19,", ")),IF(E14="","",CONCATENATE($B$14,E14,", ")),IF(E15="","",CONCATENATE($B$15,E15,", ")),IF(E16="","",CONCATENATE($B$16,E16))))</f>
        <v/>
      </c>
      <c r="F101" s="19" t="str">
        <f t="shared" si="4"/>
        <v/>
      </c>
      <c r="G101" s="19" t="str">
        <f t="shared" si="4"/>
        <v/>
      </c>
      <c r="H101" s="19" t="str">
        <f t="shared" si="4"/>
        <v/>
      </c>
      <c r="I101" s="19" t="str">
        <f t="shared" si="4"/>
        <v/>
      </c>
      <c r="J101" s="19" t="str">
        <f t="shared" si="4"/>
        <v/>
      </c>
      <c r="K101" s="19" t="str">
        <f t="shared" si="4"/>
        <v/>
      </c>
      <c r="L101" s="19" t="str">
        <f t="shared" si="4"/>
        <v/>
      </c>
      <c r="M101" s="19" t="str">
        <f t="shared" si="4"/>
        <v/>
      </c>
      <c r="N101" s="19" t="str">
        <f t="shared" si="4"/>
        <v/>
      </c>
      <c r="O101" s="19" t="str">
        <f t="shared" si="4"/>
        <v/>
      </c>
      <c r="P101" s="19" t="str">
        <f t="shared" si="4"/>
        <v/>
      </c>
      <c r="Q101" s="19" t="str">
        <f t="shared" si="4"/>
        <v/>
      </c>
      <c r="R101" s="19" t="str">
        <f t="shared" si="4"/>
        <v/>
      </c>
      <c r="S101" s="19" t="str">
        <f t="shared" si="4"/>
        <v/>
      </c>
      <c r="T101" s="19" t="str">
        <f t="shared" si="4"/>
        <v/>
      </c>
      <c r="U101" s="19" t="str">
        <f t="shared" si="4"/>
        <v/>
      </c>
      <c r="V101" s="19" t="str">
        <f t="shared" si="4"/>
        <v/>
      </c>
      <c r="W101" s="19" t="str">
        <f t="shared" si="4"/>
        <v/>
      </c>
      <c r="X101" s="19" t="str">
        <f t="shared" si="4"/>
        <v/>
      </c>
      <c r="Y101" s="19" t="str">
        <f t="shared" si="4"/>
        <v/>
      </c>
      <c r="Z101" s="19" t="str">
        <f t="shared" si="4"/>
        <v/>
      </c>
      <c r="AA101" s="19" t="str">
        <f>_xlfn.TEXTJOIN(" and ",TRUE,C101:Z101)</f>
        <v/>
      </c>
    </row>
    <row r="102" spans="3:27">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v>0</v>
      </c>
      <c r="AA102" s="19" t="s">
        <v>212</v>
      </c>
    </row>
    <row r="103" spans="3:27">
      <c r="Z103" s="19">
        <v>1</v>
      </c>
      <c r="AA103" s="19" t="str">
        <f>CONCATENATE(AA101," located in ",AA11,", ",AA10,", ",AA8,". ")</f>
        <v>located in  Village,  Taluk,  District.</v>
      </c>
    </row>
    <row r="104" spans="3:27" ht="146.25" customHeight="1">
      <c r="Z104" s="69">
        <v>2</v>
      </c>
      <c r="AA104" s="19" t="str">
        <f>CONCATENATE("A total of ",AA23," ares of land, comprising ",AA101," located in ",AA11,", ",AA10,", ",AA8,". ")</f>
        <v>A total of 0 ares of land, comprising  located in  Village,  Taluk,  District.</v>
      </c>
    </row>
    <row r="105" spans="3:27" ht="84.65" customHeight="1">
      <c r="Y105" s="477" t="s">
        <v>1107</v>
      </c>
      <c r="Z105" s="477"/>
      <c r="AA105" s="467" t="str">
        <f>IF(AA2&gt;2,AA104,VLOOKUP(AA2,Z102:AA104,2,FALSE))</f>
        <v>NA</v>
      </c>
    </row>
    <row r="106" spans="3:27">
      <c r="Y106" s="477"/>
      <c r="Z106" s="477"/>
      <c r="AA106" s="467"/>
    </row>
    <row r="107" spans="3:27">
      <c r="Y107" s="477" t="s">
        <v>1109</v>
      </c>
      <c r="Z107" s="477"/>
      <c r="AA107" s="467" t="s">
        <v>1110</v>
      </c>
    </row>
    <row r="108" spans="3:27">
      <c r="D108" s="69">
        <v>0</v>
      </c>
      <c r="Y108" s="477"/>
      <c r="Z108" s="477"/>
      <c r="AA108" s="467"/>
    </row>
    <row r="109" spans="3:27">
      <c r="Y109" s="477"/>
      <c r="Z109" s="477"/>
      <c r="AA109" s="467"/>
    </row>
    <row r="110" spans="3:27">
      <c r="Y110" s="477"/>
      <c r="Z110" s="477"/>
      <c r="AA110" s="467"/>
    </row>
    <row r="111" spans="3:27">
      <c r="Y111" s="477"/>
      <c r="Z111" s="477"/>
      <c r="AA111" s="467"/>
    </row>
    <row r="112" spans="3:27">
      <c r="Y112" s="477"/>
      <c r="Z112" s="477"/>
      <c r="AA112" s="467"/>
    </row>
    <row r="113" spans="25:27">
      <c r="Y113" s="477"/>
      <c r="Z113" s="477"/>
      <c r="AA113" s="467"/>
    </row>
  </sheetData>
  <mergeCells count="4">
    <mergeCell ref="AA105:AA106"/>
    <mergeCell ref="AA107:AA113"/>
    <mergeCell ref="Y105:Z106"/>
    <mergeCell ref="Y107:Z113"/>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6"/>
  <dimension ref="A2:AD120"/>
  <sheetViews>
    <sheetView topLeftCell="O1" workbookViewId="0"/>
  </sheetViews>
  <sheetFormatPr defaultColWidth="9.26953125" defaultRowHeight="14.5"/>
  <cols>
    <col min="1" max="1" width="3" style="69" customWidth="1"/>
    <col min="2" max="2" width="23.26953125" style="69" customWidth="1"/>
    <col min="3" max="3" width="11.54296875" style="69" customWidth="1"/>
    <col min="4" max="4" width="14" style="69" customWidth="1"/>
    <col min="5" max="5" width="11.54296875" style="69" customWidth="1"/>
    <col min="6" max="22" width="9.26953125" style="69"/>
    <col min="23" max="23" width="11" style="69" customWidth="1"/>
    <col min="24" max="26" width="9.26953125" style="69"/>
    <col min="27" max="27" width="52.7265625" style="69" customWidth="1"/>
    <col min="28" max="28" width="15.54296875" style="69" customWidth="1"/>
    <col min="29" max="29" width="25.26953125" style="69" customWidth="1"/>
    <col min="30" max="31" width="29.26953125" style="69" customWidth="1"/>
    <col min="32" max="16384" width="9.26953125" style="69"/>
  </cols>
  <sheetData>
    <row r="2" spans="1:28">
      <c r="A2" s="70"/>
      <c r="B2" s="70"/>
      <c r="C2" s="70" t="str">
        <f>IF(MaGic_AVM_Land!C2="Location Sketch","Y","N")</f>
        <v>N</v>
      </c>
      <c r="D2" s="70" t="str">
        <f>IF(MaGic_AVM_Land!D2="Location Sketch","Y","N")</f>
        <v>N</v>
      </c>
      <c r="E2" s="70" t="str">
        <f>IF(MaGic_AVM_Land!E2="Location Sketch","Y","N")</f>
        <v>N</v>
      </c>
      <c r="F2" s="70" t="str">
        <f>IF(MaGic_AVM_Land!F2="Location Sketch","Y","N")</f>
        <v>N</v>
      </c>
      <c r="G2" s="70" t="str">
        <f>IF(MaGic_AVM_Land!G2="Location Sketch","Y","N")</f>
        <v>N</v>
      </c>
      <c r="H2" s="70" t="str">
        <f>IF(MaGic_AVM_Land!H2="Location Sketch","Y","N")</f>
        <v>N</v>
      </c>
      <c r="I2" s="70" t="str">
        <f>IF(MaGic_AVM_Land!I2="Location Sketch","Y","N")</f>
        <v>N</v>
      </c>
      <c r="J2" s="70" t="str">
        <f>IF(MaGic_AVM_Land!J2="Location Sketch","Y","N")</f>
        <v>N</v>
      </c>
      <c r="K2" s="70" t="str">
        <f>IF(MaGic_AVM_Land!K2="Location Sketch","Y","N")</f>
        <v>N</v>
      </c>
      <c r="L2" s="70" t="str">
        <f>IF(MaGic_AVM_Land!L2="Location Sketch","Y","N")</f>
        <v>N</v>
      </c>
      <c r="M2" s="70" t="str">
        <f>IF(MaGic_AVM_Land!M2="Location Sketch","Y","N")</f>
        <v>N</v>
      </c>
      <c r="N2" s="70" t="str">
        <f>IF(MaGic_AVM_Land!N2="Location Sketch","Y","N")</f>
        <v>N</v>
      </c>
      <c r="O2" s="70" t="str">
        <f>IF(MaGic_AVM_Land!O2="Location Sketch","Y","N")</f>
        <v>N</v>
      </c>
      <c r="P2" s="70" t="str">
        <f>IF(MaGic_AVM_Land!P2="Location Sketch","Y","N")</f>
        <v>N</v>
      </c>
      <c r="Q2" s="70" t="str">
        <f>IF(MaGic_AVM_Land!Q2="Location Sketch","Y","N")</f>
        <v>N</v>
      </c>
      <c r="R2" s="70" t="str">
        <f>IF(MaGic_AVM_Land!R2="Location Sketch","Y","N")</f>
        <v>N</v>
      </c>
      <c r="S2" s="70" t="str">
        <f>IF(MaGic_AVM_Land!S2="Location Sketch","Y","N")</f>
        <v>N</v>
      </c>
      <c r="T2" s="70" t="str">
        <f>IF(MaGic_AVM_Land!T2="Location Sketch","Y","N")</f>
        <v>N</v>
      </c>
      <c r="U2" s="70" t="str">
        <f>IF(MaGic_AVM_Land!U2="Location Sketch","Y","N")</f>
        <v>N</v>
      </c>
      <c r="V2" s="70" t="str">
        <f>IF(MaGic_AVM_Land!V2="Location Sketch","Y","N")</f>
        <v>N</v>
      </c>
      <c r="W2" s="70" t="str">
        <f>IF(MaGic_AVM_Land!W2="Location Sketch","Y","N")</f>
        <v>N</v>
      </c>
      <c r="X2" s="70" t="str">
        <f>IF(MaGic_AVM_Land!X2="Location Sketch","Y","N")</f>
        <v>N</v>
      </c>
      <c r="Y2" s="70" t="str">
        <f>IF(MaGic_AVM_Land!Y2="Location Sketch","Y","N")</f>
        <v>N</v>
      </c>
      <c r="Z2" s="70" t="str">
        <f>IF(MaGic_AVM_Land!Z2="Location Sketch","Y","N")</f>
        <v>N</v>
      </c>
      <c r="AA2" s="69">
        <f>COUNTIF(C2:Z2,"Y")</f>
        <v>0</v>
      </c>
      <c r="AB2" s="69" t="str" cm="1">
        <f t="array" ref="AB2">_xlfn.UNIQUE(C2:Z2,TRUE,FALSE)</f>
        <v>N</v>
      </c>
    </row>
    <row r="3" spans="1:28">
      <c r="A3" s="70">
        <v>1</v>
      </c>
      <c r="B3" s="70" t="s">
        <v>48</v>
      </c>
      <c r="C3" s="70" t="str">
        <f>IF(C$2="Y",IF(MaGic_AVM_Land!C3=0,"",MaGic_AVM_Land!C3),"")</f>
        <v/>
      </c>
      <c r="D3" s="70" t="str">
        <f>IF(D$2="Y",IF(MaGic_AVM_Land!D3=0,"",MaGic_AVM_Land!D3),"")</f>
        <v/>
      </c>
      <c r="E3" s="70" t="str">
        <f>IF(E$2="Y",IF(MaGic_AVM_Land!E3=0,"",MaGic_AVM_Land!E3),"")</f>
        <v/>
      </c>
      <c r="F3" s="70" t="str">
        <f>IF(F$2="Y",IF(MaGic_AVM_Land!F3=0,"",MaGic_AVM_Land!F3),"")</f>
        <v/>
      </c>
      <c r="G3" s="70" t="str">
        <f>IF(G$2="Y",IF(MaGic_AVM_Land!G3=0,"",MaGic_AVM_Land!G3),"")</f>
        <v/>
      </c>
      <c r="H3" s="70" t="str">
        <f>IF(H$2="Y",IF(MaGic_AVM_Land!H3=0,"",MaGic_AVM_Land!H3),"")</f>
        <v/>
      </c>
      <c r="I3" s="70" t="str">
        <f>IF(I$2="Y",IF(MaGic_AVM_Land!I3=0,"",MaGic_AVM_Land!I3),"")</f>
        <v/>
      </c>
      <c r="J3" s="70" t="str">
        <f>IF(J$2="Y",IF(MaGic_AVM_Land!J3=0,"",MaGic_AVM_Land!J3),"")</f>
        <v/>
      </c>
      <c r="K3" s="70" t="str">
        <f>IF(K$2="Y",IF(MaGic_AVM_Land!K3=0,"",MaGic_AVM_Land!K3),"")</f>
        <v/>
      </c>
      <c r="L3" s="70" t="str">
        <f>IF(L$2="Y",IF(MaGic_AVM_Land!L3=0,"",MaGic_AVM_Land!L3),"")</f>
        <v/>
      </c>
      <c r="M3" s="70" t="str">
        <f>IF(M$2="Y",IF(MaGic_AVM_Land!M3=0,"",MaGic_AVM_Land!M3),"")</f>
        <v/>
      </c>
      <c r="N3" s="70" t="str">
        <f>IF(N$2="Y",IF(MaGic_AVM_Land!N3=0,"",MaGic_AVM_Land!N3),"")</f>
        <v/>
      </c>
      <c r="O3" s="70" t="str">
        <f>IF(O$2="Y",IF(MaGic_AVM_Land!O3=0,"",MaGic_AVM_Land!O3),"")</f>
        <v/>
      </c>
      <c r="P3" s="70" t="str">
        <f>IF(P$2="Y",IF(MaGic_AVM_Land!P3=0,"",MaGic_AVM_Land!P3),"")</f>
        <v/>
      </c>
      <c r="Q3" s="70" t="str">
        <f>IF(Q$2="Y",IF(MaGic_AVM_Land!Q3=0,"",MaGic_AVM_Land!Q3),"")</f>
        <v/>
      </c>
      <c r="R3" s="70" t="str">
        <f>IF(R$2="Y",IF(MaGic_AVM_Land!R3=0,"",MaGic_AVM_Land!R3),"")</f>
        <v/>
      </c>
      <c r="S3" s="70" t="str">
        <f>IF(S$2="Y",IF(MaGic_AVM_Land!S3=0,"",MaGic_AVM_Land!S3),"")</f>
        <v/>
      </c>
      <c r="T3" s="70" t="str">
        <f>IF(T$2="Y",IF(MaGic_AVM_Land!T3=0,"",MaGic_AVM_Land!T3),"")</f>
        <v/>
      </c>
      <c r="U3" s="70" t="str">
        <f>IF(U$2="Y",IF(MaGic_AVM_Land!U3=0,"",MaGic_AVM_Land!U3),"")</f>
        <v/>
      </c>
      <c r="V3" s="70" t="str">
        <f>IF(V$2="Y",IF(MaGic_AVM_Land!V3=0,"",MaGic_AVM_Land!V3),"")</f>
        <v/>
      </c>
      <c r="W3" s="70" t="str">
        <f>IF(W$2="Y",IF(MaGic_AVM_Land!W3=0,"",MaGic_AVM_Land!W3),"")</f>
        <v/>
      </c>
      <c r="X3" s="70" t="str">
        <f>IF(X$2="Y",IF(MaGic_AVM_Land!X3=0,"",MaGic_AVM_Land!X3),"")</f>
        <v/>
      </c>
      <c r="Y3" s="70" t="str">
        <f>IF(Y$2="Y",IF(MaGic_AVM_Land!Y3=0,"",MaGic_AVM_Land!Y3),"")</f>
        <v/>
      </c>
      <c r="Z3" s="70" t="str">
        <f>IF(Z$2="Y",IF(MaGic_AVM_Land!Z3=0,"",MaGic_AVM_Land!Z3),"")</f>
        <v/>
      </c>
      <c r="AA3" s="69" t="str">
        <f t="shared" ref="AA3:AA7" si="0">_xlfn.TEXTJOIN(", ",TRUE,AB3:AZ3)</f>
        <v/>
      </c>
      <c r="AB3" s="69" t="str" cm="1">
        <f t="array" ref="AB3">_xlfn.UNIQUE(C3:Z3,TRUE,FALSE)</f>
        <v/>
      </c>
    </row>
    <row r="4" spans="1:28">
      <c r="A4" s="70">
        <v>2</v>
      </c>
      <c r="B4" s="70" t="s">
        <v>51</v>
      </c>
      <c r="C4" s="70" t="str">
        <f>IF(C$2="Y",IF(MaGic_AVM_Land!C4=0,"",MaGic_AVM_Land!C4),"")</f>
        <v/>
      </c>
      <c r="D4" s="70" t="str">
        <f>IF(D$2="Y",IF(MaGic_AVM_Land!D4=0,"",MaGic_AVM_Land!D4),"")</f>
        <v/>
      </c>
      <c r="E4" s="70" t="str">
        <f>IF(E$2="Y",IF(MaGic_AVM_Land!E4=0,"",MaGic_AVM_Land!E4),"")</f>
        <v/>
      </c>
      <c r="F4" s="70" t="str">
        <f>IF(F$2="Y",IF(MaGic_AVM_Land!F4=0,"",MaGic_AVM_Land!F4),"")</f>
        <v/>
      </c>
      <c r="G4" s="70" t="str">
        <f>IF(G$2="Y",IF(MaGic_AVM_Land!G4=0,"",MaGic_AVM_Land!G4),"")</f>
        <v/>
      </c>
      <c r="H4" s="70" t="str">
        <f>IF(H$2="Y",IF(MaGic_AVM_Land!H4=0,"",MaGic_AVM_Land!H4),"")</f>
        <v/>
      </c>
      <c r="I4" s="70" t="str">
        <f>IF(I$2="Y",IF(MaGic_AVM_Land!I4=0,"",MaGic_AVM_Land!I4),"")</f>
        <v/>
      </c>
      <c r="J4" s="70" t="str">
        <f>IF(J$2="Y",IF(MaGic_AVM_Land!J4=0,"",MaGic_AVM_Land!J4),"")</f>
        <v/>
      </c>
      <c r="K4" s="70" t="str">
        <f>IF(K$2="Y",IF(MaGic_AVM_Land!K4=0,"",MaGic_AVM_Land!K4),"")</f>
        <v/>
      </c>
      <c r="L4" s="70" t="str">
        <f>IF(L$2="Y",IF(MaGic_AVM_Land!L4=0,"",MaGic_AVM_Land!L4),"")</f>
        <v/>
      </c>
      <c r="M4" s="70" t="str">
        <f>IF(M$2="Y",IF(MaGic_AVM_Land!M4=0,"",MaGic_AVM_Land!M4),"")</f>
        <v/>
      </c>
      <c r="N4" s="70" t="str">
        <f>IF(N$2="Y",IF(MaGic_AVM_Land!N4=0,"",MaGic_AVM_Land!N4),"")</f>
        <v/>
      </c>
      <c r="O4" s="70" t="str">
        <f>IF(O$2="Y",IF(MaGic_AVM_Land!O4=0,"",MaGic_AVM_Land!O4),"")</f>
        <v/>
      </c>
      <c r="P4" s="70" t="str">
        <f>IF(P$2="Y",IF(MaGic_AVM_Land!P4=0,"",MaGic_AVM_Land!P4),"")</f>
        <v/>
      </c>
      <c r="Q4" s="70" t="str">
        <f>IF(Q$2="Y",IF(MaGic_AVM_Land!Q4=0,"",MaGic_AVM_Land!Q4),"")</f>
        <v/>
      </c>
      <c r="R4" s="70" t="str">
        <f>IF(R$2="Y",IF(MaGic_AVM_Land!R4=0,"",MaGic_AVM_Land!R4),"")</f>
        <v/>
      </c>
      <c r="S4" s="70" t="str">
        <f>IF(S$2="Y",IF(MaGic_AVM_Land!S4=0,"",MaGic_AVM_Land!S4),"")</f>
        <v/>
      </c>
      <c r="T4" s="70" t="str">
        <f>IF(T$2="Y",IF(MaGic_AVM_Land!T4=0,"",MaGic_AVM_Land!T4),"")</f>
        <v/>
      </c>
      <c r="U4" s="70" t="str">
        <f>IF(U$2="Y",IF(MaGic_AVM_Land!U4=0,"",MaGic_AVM_Land!U4),"")</f>
        <v/>
      </c>
      <c r="V4" s="70" t="str">
        <f>IF(V$2="Y",IF(MaGic_AVM_Land!V4=0,"",MaGic_AVM_Land!V4),"")</f>
        <v/>
      </c>
      <c r="W4" s="70" t="str">
        <f>IF(W$2="Y",IF(MaGic_AVM_Land!W4=0,"",MaGic_AVM_Land!W4),"")</f>
        <v/>
      </c>
      <c r="X4" s="70" t="str">
        <f>IF(X$2="Y",IF(MaGic_AVM_Land!X4=0,"",MaGic_AVM_Land!X4),"")</f>
        <v/>
      </c>
      <c r="Y4" s="70" t="str">
        <f>IF(Y$2="Y",IF(MaGic_AVM_Land!Y4=0,"",MaGic_AVM_Land!Y4),"")</f>
        <v/>
      </c>
      <c r="Z4" s="70" t="str">
        <f>IF(Z$2="Y",IF(MaGic_AVM_Land!Z4=0,"",MaGic_AVM_Land!Z4),"")</f>
        <v/>
      </c>
      <c r="AA4" s="69" t="str">
        <f t="shared" si="0"/>
        <v/>
      </c>
      <c r="AB4" s="69" t="str" cm="1">
        <f t="array" ref="AB4">_xlfn.UNIQUE(C4:Z4,TRUE,FALSE)</f>
        <v/>
      </c>
    </row>
    <row r="5" spans="1:28">
      <c r="A5" s="70">
        <v>3</v>
      </c>
      <c r="B5" s="70" t="s">
        <v>52</v>
      </c>
      <c r="C5" s="70" t="str">
        <f>IF(C$2="Y",IF(MaGic_AVM_Land!C5=0,"",MaGic_AVM_Land!C5),"")</f>
        <v/>
      </c>
      <c r="D5" s="70" t="str">
        <f>IF(D$2="Y",IF(MaGic_AVM_Land!D5=0,"",MaGic_AVM_Land!D5),"")</f>
        <v/>
      </c>
      <c r="E5" s="70" t="str">
        <f>IF(E$2="Y",IF(MaGic_AVM_Land!E5=0,"",MaGic_AVM_Land!E5),"")</f>
        <v/>
      </c>
      <c r="F5" s="70" t="str">
        <f>IF(F$2="Y",IF(MaGic_AVM_Land!F5=0,"",MaGic_AVM_Land!F5),"")</f>
        <v/>
      </c>
      <c r="G5" s="70" t="str">
        <f>IF(G$2="Y",IF(MaGic_AVM_Land!G5=0,"",MaGic_AVM_Land!G5),"")</f>
        <v/>
      </c>
      <c r="H5" s="70" t="str">
        <f>IF(H$2="Y",IF(MaGic_AVM_Land!H5=0,"",MaGic_AVM_Land!H5),"")</f>
        <v/>
      </c>
      <c r="I5" s="70" t="str">
        <f>IF(I$2="Y",IF(MaGic_AVM_Land!I5=0,"",MaGic_AVM_Land!I5),"")</f>
        <v/>
      </c>
      <c r="J5" s="70" t="str">
        <f>IF(J$2="Y",IF(MaGic_AVM_Land!J5=0,"",MaGic_AVM_Land!J5),"")</f>
        <v/>
      </c>
      <c r="K5" s="70" t="str">
        <f>IF(K$2="Y",IF(MaGic_AVM_Land!K5=0,"",MaGic_AVM_Land!K5),"")</f>
        <v/>
      </c>
      <c r="L5" s="70" t="str">
        <f>IF(L$2="Y",IF(MaGic_AVM_Land!L5=0,"",MaGic_AVM_Land!L5),"")</f>
        <v/>
      </c>
      <c r="M5" s="70" t="str">
        <f>IF(M$2="Y",IF(MaGic_AVM_Land!M5=0,"",MaGic_AVM_Land!M5),"")</f>
        <v/>
      </c>
      <c r="N5" s="70" t="str">
        <f>IF(N$2="Y",IF(MaGic_AVM_Land!N5=0,"",MaGic_AVM_Land!N5),"")</f>
        <v/>
      </c>
      <c r="O5" s="70" t="str">
        <f>IF(O$2="Y",IF(MaGic_AVM_Land!O5=0,"",MaGic_AVM_Land!O5),"")</f>
        <v/>
      </c>
      <c r="P5" s="70" t="str">
        <f>IF(P$2="Y",IF(MaGic_AVM_Land!P5=0,"",MaGic_AVM_Land!P5),"")</f>
        <v/>
      </c>
      <c r="Q5" s="70" t="str">
        <f>IF(Q$2="Y",IF(MaGic_AVM_Land!Q5=0,"",MaGic_AVM_Land!Q5),"")</f>
        <v/>
      </c>
      <c r="R5" s="70" t="str">
        <f>IF(R$2="Y",IF(MaGic_AVM_Land!R5=0,"",MaGic_AVM_Land!R5),"")</f>
        <v/>
      </c>
      <c r="S5" s="70" t="str">
        <f>IF(S$2="Y",IF(MaGic_AVM_Land!S5=0,"",MaGic_AVM_Land!S5),"")</f>
        <v/>
      </c>
      <c r="T5" s="70" t="str">
        <f>IF(T$2="Y",IF(MaGic_AVM_Land!T5=0,"",MaGic_AVM_Land!T5),"")</f>
        <v/>
      </c>
      <c r="U5" s="70" t="str">
        <f>IF(U$2="Y",IF(MaGic_AVM_Land!U5=0,"",MaGic_AVM_Land!U5),"")</f>
        <v/>
      </c>
      <c r="V5" s="70" t="str">
        <f>IF(V$2="Y",IF(MaGic_AVM_Land!V5=0,"",MaGic_AVM_Land!V5),"")</f>
        <v/>
      </c>
      <c r="W5" s="70" t="str">
        <f>IF(W$2="Y",IF(MaGic_AVM_Land!W5=0,"",MaGic_AVM_Land!W5),"")</f>
        <v/>
      </c>
      <c r="X5" s="70" t="str">
        <f>IF(X$2="Y",IF(MaGic_AVM_Land!X5=0,"",MaGic_AVM_Land!X5),"")</f>
        <v/>
      </c>
      <c r="Y5" s="70" t="str">
        <f>IF(Y$2="Y",IF(MaGic_AVM_Land!Y5=0,"",MaGic_AVM_Land!Y5),"")</f>
        <v/>
      </c>
      <c r="Z5" s="70" t="str">
        <f>IF(Z$2="Y",IF(MaGic_AVM_Land!Z5=0,"",MaGic_AVM_Land!Z5),"")</f>
        <v/>
      </c>
      <c r="AA5" s="69" t="str">
        <f t="shared" si="0"/>
        <v/>
      </c>
      <c r="AB5" s="69" t="str" cm="1">
        <f t="array" ref="AB5">_xlfn.UNIQUE(C5:Z5,TRUE,FALSE)</f>
        <v/>
      </c>
    </row>
    <row r="6" spans="1:28">
      <c r="A6" s="70">
        <v>4</v>
      </c>
      <c r="B6" s="70" t="s">
        <v>1101</v>
      </c>
      <c r="C6" s="70" t="str">
        <f>IF(C$2="Y",IF(MaGic_AVM_Land!C6=0,"",MaGic_AVM_Land!C6),"")</f>
        <v/>
      </c>
      <c r="D6" s="70" t="str">
        <f>IF(D$2="Y",IF(MaGic_AVM_Land!D6=0,"",MaGic_AVM_Land!D6),"")</f>
        <v/>
      </c>
      <c r="E6" s="70" t="str">
        <f>IF(E$2="Y",IF(MaGic_AVM_Land!E6=0,"",MaGic_AVM_Land!E6),"")</f>
        <v/>
      </c>
      <c r="F6" s="70" t="str">
        <f>IF(F$2="Y",IF(MaGic_AVM_Land!F6=0,"",MaGic_AVM_Land!F6),"")</f>
        <v/>
      </c>
      <c r="G6" s="70" t="str">
        <f>IF(G$2="Y",IF(MaGic_AVM_Land!G6=0,"",MaGic_AVM_Land!G6),"")</f>
        <v/>
      </c>
      <c r="H6" s="70" t="str">
        <f>IF(H$2="Y",IF(MaGic_AVM_Land!H6=0,"",MaGic_AVM_Land!H6),"")</f>
        <v/>
      </c>
      <c r="I6" s="70" t="str">
        <f>IF(I$2="Y",IF(MaGic_AVM_Land!I6=0,"",MaGic_AVM_Land!I6),"")</f>
        <v/>
      </c>
      <c r="J6" s="70" t="str">
        <f>IF(J$2="Y",IF(MaGic_AVM_Land!J6=0,"",MaGic_AVM_Land!J6),"")</f>
        <v/>
      </c>
      <c r="K6" s="70" t="str">
        <f>IF(K$2="Y",IF(MaGic_AVM_Land!K6=0,"",MaGic_AVM_Land!K6),"")</f>
        <v/>
      </c>
      <c r="L6" s="70" t="str">
        <f>IF(L$2="Y",IF(MaGic_AVM_Land!L6=0,"",MaGic_AVM_Land!L6),"")</f>
        <v/>
      </c>
      <c r="M6" s="70" t="str">
        <f>IF(M$2="Y",IF(MaGic_AVM_Land!M6=0,"",MaGic_AVM_Land!M6),"")</f>
        <v/>
      </c>
      <c r="N6" s="70" t="str">
        <f>IF(N$2="Y",IF(MaGic_AVM_Land!N6=0,"",MaGic_AVM_Land!N6),"")</f>
        <v/>
      </c>
      <c r="O6" s="70" t="str">
        <f>IF(O$2="Y",IF(MaGic_AVM_Land!O6=0,"",MaGic_AVM_Land!O6),"")</f>
        <v/>
      </c>
      <c r="P6" s="70" t="str">
        <f>IF(P$2="Y",IF(MaGic_AVM_Land!P6=0,"",MaGic_AVM_Land!P6),"")</f>
        <v/>
      </c>
      <c r="Q6" s="70" t="str">
        <f>IF(Q$2="Y",IF(MaGic_AVM_Land!Q6=0,"",MaGic_AVM_Land!Q6),"")</f>
        <v/>
      </c>
      <c r="R6" s="70" t="str">
        <f>IF(R$2="Y",IF(MaGic_AVM_Land!R6=0,"",MaGic_AVM_Land!R6),"")</f>
        <v/>
      </c>
      <c r="S6" s="70" t="str">
        <f>IF(S$2="Y",IF(MaGic_AVM_Land!S6=0,"",MaGic_AVM_Land!S6),"")</f>
        <v/>
      </c>
      <c r="T6" s="70" t="str">
        <f>IF(T$2="Y",IF(MaGic_AVM_Land!T6=0,"",MaGic_AVM_Land!T6),"")</f>
        <v/>
      </c>
      <c r="U6" s="70" t="str">
        <f>IF(U$2="Y",IF(MaGic_AVM_Land!U6=0,"",MaGic_AVM_Land!U6),"")</f>
        <v/>
      </c>
      <c r="V6" s="70" t="str">
        <f>IF(V$2="Y",IF(MaGic_AVM_Land!V6=0,"",MaGic_AVM_Land!V6),"")</f>
        <v/>
      </c>
      <c r="W6" s="70" t="str">
        <f>IF(W$2="Y",IF(MaGic_AVM_Land!W6=0,"",MaGic_AVM_Land!W6),"")</f>
        <v/>
      </c>
      <c r="X6" s="70" t="str">
        <f>IF(X$2="Y",IF(MaGic_AVM_Land!X6=0,"",MaGic_AVM_Land!X6),"")</f>
        <v/>
      </c>
      <c r="Y6" s="70" t="str">
        <f>IF(Y$2="Y",IF(MaGic_AVM_Land!Y6=0,"",MaGic_AVM_Land!Y6),"")</f>
        <v/>
      </c>
      <c r="Z6" s="70" t="str">
        <f>IF(Z$2="Y",IF(MaGic_AVM_Land!Z6=0,"",MaGic_AVM_Land!Z6),"")</f>
        <v/>
      </c>
      <c r="AA6" s="69" t="str">
        <f t="shared" si="0"/>
        <v/>
      </c>
      <c r="AB6" s="69" t="str" cm="1">
        <f t="array" ref="AB6">_xlfn.UNIQUE(C6:Z6,TRUE,FALSE)</f>
        <v/>
      </c>
    </row>
    <row r="7" spans="1:28">
      <c r="A7" s="70">
        <v>2</v>
      </c>
      <c r="B7" s="70" t="s">
        <v>1102</v>
      </c>
      <c r="C7" s="70" t="str">
        <f>IF(C$2="Y",IF(MaGic_AVM_Land!C7=0,"",MaGic_AVM_Land!C7),"")</f>
        <v/>
      </c>
      <c r="D7" s="70" t="str">
        <f>IF(D$2="Y",IF(MaGic_AVM_Land!D7=0,"",MaGic_AVM_Land!D7),"")</f>
        <v/>
      </c>
      <c r="E7" s="70" t="str">
        <f>IF(E$2="Y",IF(MaGic_AVM_Land!E7=0,"",MaGic_AVM_Land!E7),"")</f>
        <v/>
      </c>
      <c r="F7" s="70" t="str">
        <f>IF(F$2="Y",IF(MaGic_AVM_Land!F7=0,"",MaGic_AVM_Land!F7),"")</f>
        <v/>
      </c>
      <c r="G7" s="70" t="str">
        <f>IF(G$2="Y",IF(MaGic_AVM_Land!G7=0,"",MaGic_AVM_Land!G7),"")</f>
        <v/>
      </c>
      <c r="H7" s="70" t="str">
        <f>IF(H$2="Y",IF(MaGic_AVM_Land!H7=0,"",MaGic_AVM_Land!H7),"")</f>
        <v/>
      </c>
      <c r="I7" s="70" t="str">
        <f>IF(I$2="Y",IF(MaGic_AVM_Land!I7=0,"",MaGic_AVM_Land!I7),"")</f>
        <v/>
      </c>
      <c r="J7" s="70" t="str">
        <f>IF(J$2="Y",IF(MaGic_AVM_Land!J7=0,"",MaGic_AVM_Land!J7),"")</f>
        <v/>
      </c>
      <c r="K7" s="70" t="str">
        <f>IF(K$2="Y",IF(MaGic_AVM_Land!K7=0,"",MaGic_AVM_Land!K7),"")</f>
        <v/>
      </c>
      <c r="L7" s="70" t="str">
        <f>IF(L$2="Y",IF(MaGic_AVM_Land!L7=0,"",MaGic_AVM_Land!L7),"")</f>
        <v/>
      </c>
      <c r="M7" s="70" t="str">
        <f>IF(M$2="Y",IF(MaGic_AVM_Land!M7=0,"",MaGic_AVM_Land!M7),"")</f>
        <v/>
      </c>
      <c r="N7" s="70" t="str">
        <f>IF(N$2="Y",IF(MaGic_AVM_Land!N7=0,"",MaGic_AVM_Land!N7),"")</f>
        <v/>
      </c>
      <c r="O7" s="70" t="str">
        <f>IF(O$2="Y",IF(MaGic_AVM_Land!O7=0,"",MaGic_AVM_Land!O7),"")</f>
        <v/>
      </c>
      <c r="P7" s="70" t="str">
        <f>IF(P$2="Y",IF(MaGic_AVM_Land!P7=0,"",MaGic_AVM_Land!P7),"")</f>
        <v/>
      </c>
      <c r="Q7" s="70" t="str">
        <f>IF(Q$2="Y",IF(MaGic_AVM_Land!Q7=0,"",MaGic_AVM_Land!Q7),"")</f>
        <v/>
      </c>
      <c r="R7" s="70" t="str">
        <f>IF(R$2="Y",IF(MaGic_AVM_Land!R7=0,"",MaGic_AVM_Land!R7),"")</f>
        <v/>
      </c>
      <c r="S7" s="70" t="str">
        <f>IF(S$2="Y",IF(MaGic_AVM_Land!S7=0,"",MaGic_AVM_Land!S7),"")</f>
        <v/>
      </c>
      <c r="T7" s="70" t="str">
        <f>IF(T$2="Y",IF(MaGic_AVM_Land!T7=0,"",MaGic_AVM_Land!T7),"")</f>
        <v/>
      </c>
      <c r="U7" s="70" t="str">
        <f>IF(U$2="Y",IF(MaGic_AVM_Land!U7=0,"",MaGic_AVM_Land!U7),"")</f>
        <v/>
      </c>
      <c r="V7" s="70" t="str">
        <f>IF(V$2="Y",IF(MaGic_AVM_Land!V7=0,"",MaGic_AVM_Land!V7),"")</f>
        <v/>
      </c>
      <c r="W7" s="70" t="str">
        <f>IF(W$2="Y",IF(MaGic_AVM_Land!W7=0,"",MaGic_AVM_Land!W7),"")</f>
        <v/>
      </c>
      <c r="X7" s="70" t="str">
        <f>IF(X$2="Y",IF(MaGic_AVM_Land!X7=0,"",MaGic_AVM_Land!X7),"")</f>
        <v/>
      </c>
      <c r="Y7" s="70" t="str">
        <f>IF(Y$2="Y",IF(MaGic_AVM_Land!Y7=0,"",MaGic_AVM_Land!Y7),"")</f>
        <v/>
      </c>
      <c r="Z7" s="70" t="str">
        <f>IF(Z$2="Y",IF(MaGic_AVM_Land!Z7=0,"",MaGic_AVM_Land!Z7),"")</f>
        <v/>
      </c>
      <c r="AA7" s="69" t="str">
        <f t="shared" si="0"/>
        <v/>
      </c>
      <c r="AB7" s="69" t="str" cm="1">
        <f t="array" ref="AB7">_xlfn.UNIQUE(C7:Z7,TRUE,FALSE)</f>
        <v/>
      </c>
    </row>
    <row r="8" spans="1:28">
      <c r="A8" s="70">
        <v>6</v>
      </c>
      <c r="B8" s="70" t="s">
        <v>31</v>
      </c>
      <c r="C8" s="70" t="str">
        <f>IF(C$2="Y",IF(MaGic_AVM_Land!C8=0,"",MaGic_AVM_Land!C8),"")</f>
        <v/>
      </c>
      <c r="D8" s="70" t="str">
        <f>IF(D$2="Y",IF(MaGic_AVM_Land!D8=0,"",MaGic_AVM_Land!D8),"")</f>
        <v/>
      </c>
      <c r="E8" s="70" t="str">
        <f>IF(E$2="Y",IF(MaGic_AVM_Land!E8=0,"",MaGic_AVM_Land!E8),"")</f>
        <v/>
      </c>
      <c r="F8" s="70" t="str">
        <f>IF(F$2="Y",IF(MaGic_AVM_Land!F8=0,"",MaGic_AVM_Land!F8),"")</f>
        <v/>
      </c>
      <c r="G8" s="70" t="str">
        <f>IF(G$2="Y",IF(MaGic_AVM_Land!G8=0,"",MaGic_AVM_Land!G8),"")</f>
        <v/>
      </c>
      <c r="H8" s="70" t="str">
        <f>IF(H$2="Y",IF(MaGic_AVM_Land!H8=0,"",MaGic_AVM_Land!H8),"")</f>
        <v/>
      </c>
      <c r="I8" s="70" t="str">
        <f>IF(I$2="Y",IF(MaGic_AVM_Land!I8=0,"",MaGic_AVM_Land!I8),"")</f>
        <v/>
      </c>
      <c r="J8" s="70" t="str">
        <f>IF(J$2="Y",IF(MaGic_AVM_Land!J8=0,"",MaGic_AVM_Land!J8),"")</f>
        <v/>
      </c>
      <c r="K8" s="70" t="str">
        <f>IF(K$2="Y",IF(MaGic_AVM_Land!K8=0,"",MaGic_AVM_Land!K8),"")</f>
        <v/>
      </c>
      <c r="L8" s="70" t="str">
        <f>IF(L$2="Y",IF(MaGic_AVM_Land!L8=0,"",MaGic_AVM_Land!L8),"")</f>
        <v/>
      </c>
      <c r="M8" s="70" t="str">
        <f>IF(M$2="Y",IF(MaGic_AVM_Land!M8=0,"",MaGic_AVM_Land!M8),"")</f>
        <v/>
      </c>
      <c r="N8" s="70" t="str">
        <f>IF(N$2="Y",IF(MaGic_AVM_Land!N8=0,"",MaGic_AVM_Land!N8),"")</f>
        <v/>
      </c>
      <c r="O8" s="70" t="str">
        <f>IF(O$2="Y",IF(MaGic_AVM_Land!O8=0,"",MaGic_AVM_Land!O8),"")</f>
        <v/>
      </c>
      <c r="P8" s="70" t="str">
        <f>IF(P$2="Y",IF(MaGic_AVM_Land!P8=0,"",MaGic_AVM_Land!P8),"")</f>
        <v/>
      </c>
      <c r="Q8" s="70" t="str">
        <f>IF(Q$2="Y",IF(MaGic_AVM_Land!Q8=0,"",MaGic_AVM_Land!Q8),"")</f>
        <v/>
      </c>
      <c r="R8" s="70" t="str">
        <f>IF(R$2="Y",IF(MaGic_AVM_Land!R8=0,"",MaGic_AVM_Land!R8),"")</f>
        <v/>
      </c>
      <c r="S8" s="70" t="str">
        <f>IF(S$2="Y",IF(MaGic_AVM_Land!S8=0,"",MaGic_AVM_Land!S8),"")</f>
        <v/>
      </c>
      <c r="T8" s="70" t="str">
        <f>IF(T$2="Y",IF(MaGic_AVM_Land!T8=0,"",MaGic_AVM_Land!T8),"")</f>
        <v/>
      </c>
      <c r="U8" s="70" t="str">
        <f>IF(U$2="Y",IF(MaGic_AVM_Land!U8=0,"",MaGic_AVM_Land!U8),"")</f>
        <v/>
      </c>
      <c r="V8" s="70" t="str">
        <f>IF(V$2="Y",IF(MaGic_AVM_Land!V8=0,"",MaGic_AVM_Land!V8),"")</f>
        <v/>
      </c>
      <c r="W8" s="70" t="str">
        <f>IF(W$2="Y",IF(MaGic_AVM_Land!W8=0,"",MaGic_AVM_Land!W8),"")</f>
        <v/>
      </c>
      <c r="X8" s="70" t="str">
        <f>IF(X$2="Y",IF(MaGic_AVM_Land!X8=0,"",MaGic_AVM_Land!X8),"")</f>
        <v/>
      </c>
      <c r="Y8" s="70" t="str">
        <f>IF(Y$2="Y",IF(MaGic_AVM_Land!Y8=0,"",MaGic_AVM_Land!Y8),"")</f>
        <v/>
      </c>
      <c r="Z8" s="70" t="str">
        <f>IF(Z$2="Y",IF(MaGic_AVM_Land!Z8=0,"",MaGic_AVM_Land!Z8),"")</f>
        <v/>
      </c>
      <c r="AA8" s="69" t="str">
        <f>CONCATENATE(IF(AB8="",AC8,AB8)," District")</f>
        <v>District</v>
      </c>
      <c r="AB8" s="69" t="str" cm="1">
        <f t="array" ref="AB8">_xlfn.UNIQUE(C8:Z8,TRUE,FALSE)</f>
        <v/>
      </c>
    </row>
    <row r="9" spans="1:28">
      <c r="A9" s="70">
        <v>7</v>
      </c>
      <c r="B9" s="70" t="s">
        <v>59</v>
      </c>
      <c r="C9" s="70" t="str">
        <f>IF(C$2="Y",IF(MaGic_AVM_Land!C9=0,"",MaGic_AVM_Land!C9),"")</f>
        <v/>
      </c>
      <c r="D9" s="70" t="str">
        <f>IF(D$2="Y",IF(MaGic_AVM_Land!D9=0,"",MaGic_AVM_Land!D9),"")</f>
        <v/>
      </c>
      <c r="E9" s="70" t="str">
        <f>IF(E$2="Y",IF(MaGic_AVM_Land!E9=0,"",MaGic_AVM_Land!E9),"")</f>
        <v/>
      </c>
      <c r="F9" s="70" t="str">
        <f>IF(F$2="Y",IF(MaGic_AVM_Land!F9=0,"",MaGic_AVM_Land!F9),"")</f>
        <v/>
      </c>
      <c r="G9" s="70" t="str">
        <f>IF(G$2="Y",IF(MaGic_AVM_Land!G9=0,"",MaGic_AVM_Land!G9),"")</f>
        <v/>
      </c>
      <c r="H9" s="70" t="str">
        <f>IF(H$2="Y",IF(MaGic_AVM_Land!H9=0,"",MaGic_AVM_Land!H9),"")</f>
        <v/>
      </c>
      <c r="I9" s="70" t="str">
        <f>IF(I$2="Y",IF(MaGic_AVM_Land!I9=0,"",MaGic_AVM_Land!I9),"")</f>
        <v/>
      </c>
      <c r="J9" s="70" t="str">
        <f>IF(J$2="Y",IF(MaGic_AVM_Land!J9=0,"",MaGic_AVM_Land!J9),"")</f>
        <v/>
      </c>
      <c r="K9" s="70" t="str">
        <f>IF(K$2="Y",IF(MaGic_AVM_Land!K9=0,"",MaGic_AVM_Land!K9),"")</f>
        <v/>
      </c>
      <c r="L9" s="70" t="str">
        <f>IF(L$2="Y",IF(MaGic_AVM_Land!L9=0,"",MaGic_AVM_Land!L9),"")</f>
        <v/>
      </c>
      <c r="M9" s="70" t="str">
        <f>IF(M$2="Y",IF(MaGic_AVM_Land!M9=0,"",MaGic_AVM_Land!M9),"")</f>
        <v/>
      </c>
      <c r="N9" s="70" t="str">
        <f>IF(N$2="Y",IF(MaGic_AVM_Land!N9=0,"",MaGic_AVM_Land!N9),"")</f>
        <v/>
      </c>
      <c r="O9" s="70" t="str">
        <f>IF(O$2="Y",IF(MaGic_AVM_Land!O9=0,"",MaGic_AVM_Land!O9),"")</f>
        <v/>
      </c>
      <c r="P9" s="70" t="str">
        <f>IF(P$2="Y",IF(MaGic_AVM_Land!P9=0,"",MaGic_AVM_Land!P9),"")</f>
        <v/>
      </c>
      <c r="Q9" s="70" t="str">
        <f>IF(Q$2="Y",IF(MaGic_AVM_Land!Q9=0,"",MaGic_AVM_Land!Q9),"")</f>
        <v/>
      </c>
      <c r="R9" s="70" t="str">
        <f>IF(R$2="Y",IF(MaGic_AVM_Land!R9=0,"",MaGic_AVM_Land!R9),"")</f>
        <v/>
      </c>
      <c r="S9" s="70" t="str">
        <f>IF(S$2="Y",IF(MaGic_AVM_Land!S9=0,"",MaGic_AVM_Land!S9),"")</f>
        <v/>
      </c>
      <c r="T9" s="70" t="str">
        <f>IF(T$2="Y",IF(MaGic_AVM_Land!T9=0,"",MaGic_AVM_Land!T9),"")</f>
        <v/>
      </c>
      <c r="U9" s="70" t="str">
        <f>IF(U$2="Y",IF(MaGic_AVM_Land!U9=0,"",MaGic_AVM_Land!U9),"")</f>
        <v/>
      </c>
      <c r="V9" s="70" t="str">
        <f>IF(V$2="Y",IF(MaGic_AVM_Land!V9=0,"",MaGic_AVM_Land!V9),"")</f>
        <v/>
      </c>
      <c r="W9" s="70" t="str">
        <f>IF(W$2="Y",IF(MaGic_AVM_Land!W9=0,"",MaGic_AVM_Land!W9),"")</f>
        <v/>
      </c>
      <c r="X9" s="70" t="str">
        <f>IF(X$2="Y",IF(MaGic_AVM_Land!X9=0,"",MaGic_AVM_Land!X9),"")</f>
        <v/>
      </c>
      <c r="Y9" s="70" t="str">
        <f>IF(Y$2="Y",IF(MaGic_AVM_Land!Y9=0,"",MaGic_AVM_Land!Y9),"")</f>
        <v/>
      </c>
      <c r="Z9" s="70" t="str">
        <f>IF(Z$2="Y",IF(MaGic_AVM_Land!Z9=0,"",MaGic_AVM_Land!Z9),"")</f>
        <v/>
      </c>
      <c r="AA9" s="69" t="str">
        <f>CONCATENATE(IF(AB9="",AC9,AB9)," SRO")</f>
        <v>SRO</v>
      </c>
      <c r="AB9" s="69" t="str" cm="1">
        <f t="array" ref="AB9">_xlfn.UNIQUE(C9:Z9,TRUE,FALSE)</f>
        <v/>
      </c>
    </row>
    <row r="10" spans="1:28">
      <c r="A10" s="70">
        <v>8</v>
      </c>
      <c r="B10" s="70" t="s">
        <v>61</v>
      </c>
      <c r="C10" s="70" t="str">
        <f>IF(C$2="Y",IF(MaGic_AVM_Land!C10=0,"",MaGic_AVM_Land!C10),"")</f>
        <v/>
      </c>
      <c r="D10" s="70" t="str">
        <f>IF(D$2="Y",IF(MaGic_AVM_Land!D10=0,"",MaGic_AVM_Land!D10),"")</f>
        <v/>
      </c>
      <c r="E10" s="70" t="str">
        <f>IF(E$2="Y",IF(MaGic_AVM_Land!E10=0,"",MaGic_AVM_Land!E10),"")</f>
        <v/>
      </c>
      <c r="F10" s="70" t="str">
        <f>IF(F$2="Y",IF(MaGic_AVM_Land!F10=0,"",MaGic_AVM_Land!F10),"")</f>
        <v/>
      </c>
      <c r="G10" s="70" t="str">
        <f>IF(G$2="Y",IF(MaGic_AVM_Land!G10=0,"",MaGic_AVM_Land!G10),"")</f>
        <v/>
      </c>
      <c r="H10" s="70" t="str">
        <f>IF(H$2="Y",IF(MaGic_AVM_Land!H10=0,"",MaGic_AVM_Land!H10),"")</f>
        <v/>
      </c>
      <c r="I10" s="70" t="str">
        <f>IF(I$2="Y",IF(MaGic_AVM_Land!I10=0,"",MaGic_AVM_Land!I10),"")</f>
        <v/>
      </c>
      <c r="J10" s="70" t="str">
        <f>IF(J$2="Y",IF(MaGic_AVM_Land!J10=0,"",MaGic_AVM_Land!J10),"")</f>
        <v/>
      </c>
      <c r="K10" s="70" t="str">
        <f>IF(K$2="Y",IF(MaGic_AVM_Land!K10=0,"",MaGic_AVM_Land!K10),"")</f>
        <v/>
      </c>
      <c r="L10" s="70" t="str">
        <f>IF(L$2="Y",IF(MaGic_AVM_Land!L10=0,"",MaGic_AVM_Land!L10),"")</f>
        <v/>
      </c>
      <c r="M10" s="70" t="str">
        <f>IF(M$2="Y",IF(MaGic_AVM_Land!M10=0,"",MaGic_AVM_Land!M10),"")</f>
        <v/>
      </c>
      <c r="N10" s="70" t="str">
        <f>IF(N$2="Y",IF(MaGic_AVM_Land!N10=0,"",MaGic_AVM_Land!N10),"")</f>
        <v/>
      </c>
      <c r="O10" s="70" t="str">
        <f>IF(O$2="Y",IF(MaGic_AVM_Land!O10=0,"",MaGic_AVM_Land!O10),"")</f>
        <v/>
      </c>
      <c r="P10" s="70" t="str">
        <f>IF(P$2="Y",IF(MaGic_AVM_Land!P10=0,"",MaGic_AVM_Land!P10),"")</f>
        <v/>
      </c>
      <c r="Q10" s="70" t="str">
        <f>IF(Q$2="Y",IF(MaGic_AVM_Land!Q10=0,"",MaGic_AVM_Land!Q10),"")</f>
        <v/>
      </c>
      <c r="R10" s="70" t="str">
        <f>IF(R$2="Y",IF(MaGic_AVM_Land!R10=0,"",MaGic_AVM_Land!R10),"")</f>
        <v/>
      </c>
      <c r="S10" s="70" t="str">
        <f>IF(S$2="Y",IF(MaGic_AVM_Land!S10=0,"",MaGic_AVM_Land!S10),"")</f>
        <v/>
      </c>
      <c r="T10" s="70" t="str">
        <f>IF(T$2="Y",IF(MaGic_AVM_Land!T10=0,"",MaGic_AVM_Land!T10),"")</f>
        <v/>
      </c>
      <c r="U10" s="70" t="str">
        <f>IF(U$2="Y",IF(MaGic_AVM_Land!U10=0,"",MaGic_AVM_Land!U10),"")</f>
        <v/>
      </c>
      <c r="V10" s="70" t="str">
        <f>IF(V$2="Y",IF(MaGic_AVM_Land!V10=0,"",MaGic_AVM_Land!V10),"")</f>
        <v/>
      </c>
      <c r="W10" s="70" t="str">
        <f>IF(W$2="Y",IF(MaGic_AVM_Land!W10=0,"",MaGic_AVM_Land!W10),"")</f>
        <v/>
      </c>
      <c r="X10" s="70" t="str">
        <f>IF(X$2="Y",IF(MaGic_AVM_Land!X10=0,"",MaGic_AVM_Land!X10),"")</f>
        <v/>
      </c>
      <c r="Y10" s="70" t="str">
        <f>IF(Y$2="Y",IF(MaGic_AVM_Land!Y10=0,"",MaGic_AVM_Land!Y10),"")</f>
        <v/>
      </c>
      <c r="Z10" s="70" t="str">
        <f>IF(Z$2="Y",IF(MaGic_AVM_Land!Z10=0,"",MaGic_AVM_Land!Z10),"")</f>
        <v/>
      </c>
      <c r="AA10" s="69" t="str">
        <f>CONCATENATE(IF(AB10="",AC10,AB10)," Taluk")</f>
        <v>Taluk</v>
      </c>
      <c r="AB10" s="69" t="str" cm="1">
        <f t="array" ref="AB10">_xlfn.UNIQUE(C10:Z10,TRUE,FALSE)</f>
        <v/>
      </c>
    </row>
    <row r="11" spans="1:28">
      <c r="A11" s="70">
        <v>9</v>
      </c>
      <c r="B11" s="70" t="s">
        <v>63</v>
      </c>
      <c r="C11" s="70" t="str">
        <f>IF(C$2="Y",IF(MaGic_AVM_Land!C11=0,"",MaGic_AVM_Land!C11),"")</f>
        <v/>
      </c>
      <c r="D11" s="70" t="str">
        <f>IF(D$2="Y",IF(MaGic_AVM_Land!D11=0,"",MaGic_AVM_Land!D11),"")</f>
        <v/>
      </c>
      <c r="E11" s="70" t="str">
        <f>IF(E$2="Y",IF(MaGic_AVM_Land!E11=0,"",MaGic_AVM_Land!E11),"")</f>
        <v/>
      </c>
      <c r="F11" s="70" t="str">
        <f>IF(F$2="Y",IF(MaGic_AVM_Land!F11=0,"",MaGic_AVM_Land!F11),"")</f>
        <v/>
      </c>
      <c r="G11" s="70" t="str">
        <f>IF(G$2="Y",IF(MaGic_AVM_Land!G11=0,"",MaGic_AVM_Land!G11),"")</f>
        <v/>
      </c>
      <c r="H11" s="70" t="str">
        <f>IF(H$2="Y",IF(MaGic_AVM_Land!H11=0,"",MaGic_AVM_Land!H11),"")</f>
        <v/>
      </c>
      <c r="I11" s="70" t="str">
        <f>IF(I$2="Y",IF(MaGic_AVM_Land!I11=0,"",MaGic_AVM_Land!I11),"")</f>
        <v/>
      </c>
      <c r="J11" s="70" t="str">
        <f>IF(J$2="Y",IF(MaGic_AVM_Land!J11=0,"",MaGic_AVM_Land!J11),"")</f>
        <v/>
      </c>
      <c r="K11" s="70" t="str">
        <f>IF(K$2="Y",IF(MaGic_AVM_Land!K11=0,"",MaGic_AVM_Land!K11),"")</f>
        <v/>
      </c>
      <c r="L11" s="70" t="str">
        <f>IF(L$2="Y",IF(MaGic_AVM_Land!L11=0,"",MaGic_AVM_Land!L11),"")</f>
        <v/>
      </c>
      <c r="M11" s="70" t="str">
        <f>IF(M$2="Y",IF(MaGic_AVM_Land!M11=0,"",MaGic_AVM_Land!M11),"")</f>
        <v/>
      </c>
      <c r="N11" s="70" t="str">
        <f>IF(N$2="Y",IF(MaGic_AVM_Land!N11=0,"",MaGic_AVM_Land!N11),"")</f>
        <v/>
      </c>
      <c r="O11" s="70" t="str">
        <f>IF(O$2="Y",IF(MaGic_AVM_Land!O11=0,"",MaGic_AVM_Land!O11),"")</f>
        <v/>
      </c>
      <c r="P11" s="70" t="str">
        <f>IF(P$2="Y",IF(MaGic_AVM_Land!P11=0,"",MaGic_AVM_Land!P11),"")</f>
        <v/>
      </c>
      <c r="Q11" s="70" t="str">
        <f>IF(Q$2="Y",IF(MaGic_AVM_Land!Q11=0,"",MaGic_AVM_Land!Q11),"")</f>
        <v/>
      </c>
      <c r="R11" s="70" t="str">
        <f>IF(R$2="Y",IF(MaGic_AVM_Land!R11=0,"",MaGic_AVM_Land!R11),"")</f>
        <v/>
      </c>
      <c r="S11" s="70" t="str">
        <f>IF(S$2="Y",IF(MaGic_AVM_Land!S11=0,"",MaGic_AVM_Land!S11),"")</f>
        <v/>
      </c>
      <c r="T11" s="70" t="str">
        <f>IF(T$2="Y",IF(MaGic_AVM_Land!T11=0,"",MaGic_AVM_Land!T11),"")</f>
        <v/>
      </c>
      <c r="U11" s="70" t="str">
        <f>IF(U$2="Y",IF(MaGic_AVM_Land!U11=0,"",MaGic_AVM_Land!U11),"")</f>
        <v/>
      </c>
      <c r="V11" s="70" t="str">
        <f>IF(V$2="Y",IF(MaGic_AVM_Land!V11=0,"",MaGic_AVM_Land!V11),"")</f>
        <v/>
      </c>
      <c r="W11" s="70" t="str">
        <f>IF(W$2="Y",IF(MaGic_AVM_Land!W11=0,"",MaGic_AVM_Land!W11),"")</f>
        <v/>
      </c>
      <c r="X11" s="70" t="str">
        <f>IF(X$2="Y",IF(MaGic_AVM_Land!X11=0,"",MaGic_AVM_Land!X11),"")</f>
        <v/>
      </c>
      <c r="Y11" s="70" t="str">
        <f>IF(Y$2="Y",IF(MaGic_AVM_Land!Y11=0,"",MaGic_AVM_Land!Y11),"")</f>
        <v/>
      </c>
      <c r="Z11" s="70" t="str">
        <f>IF(Z$2="Y",IF(MaGic_AVM_Land!Z11=0,"",MaGic_AVM_Land!Z11),"")</f>
        <v/>
      </c>
      <c r="AA11" s="69" t="str">
        <f>CONCATENATE(IF(AB11="",AC11,AB11)," Village")</f>
        <v>Village</v>
      </c>
      <c r="AB11" s="69" t="str" cm="1">
        <f t="array" ref="AB11">_xlfn.UNIQUE(C11:Z11,TRUE,FALSE)</f>
        <v/>
      </c>
    </row>
    <row r="12" spans="1:28">
      <c r="A12" s="70">
        <v>10</v>
      </c>
      <c r="B12" s="70" t="s">
        <v>65</v>
      </c>
      <c r="C12" s="70" t="str">
        <f>IF(C$2="Y",IF(MaGic_AVM_Land!C12=0,"",MaGic_AVM_Land!C12),"")</f>
        <v/>
      </c>
      <c r="D12" s="70" t="str">
        <f>IF(D$2="Y",IF(MaGic_AVM_Land!D12=0,"",MaGic_AVM_Land!D12),"")</f>
        <v/>
      </c>
      <c r="E12" s="70" t="str">
        <f>IF(E$2="Y",IF(MaGic_AVM_Land!E12=0,"",MaGic_AVM_Land!E12),"")</f>
        <v/>
      </c>
      <c r="F12" s="70" t="str">
        <f>IF(F$2="Y",IF(MaGic_AVM_Land!F12=0,"",MaGic_AVM_Land!F12),"")</f>
        <v/>
      </c>
      <c r="G12" s="70" t="str">
        <f>IF(G$2="Y",IF(MaGic_AVM_Land!G12=0,"",MaGic_AVM_Land!G12),"")</f>
        <v/>
      </c>
      <c r="H12" s="70" t="str">
        <f>IF(H$2="Y",IF(MaGic_AVM_Land!H12=0,"",MaGic_AVM_Land!H12),"")</f>
        <v/>
      </c>
      <c r="I12" s="70" t="str">
        <f>IF(I$2="Y",IF(MaGic_AVM_Land!I12=0,"",MaGic_AVM_Land!I12),"")</f>
        <v/>
      </c>
      <c r="J12" s="70" t="str">
        <f>IF(J$2="Y",IF(MaGic_AVM_Land!J12=0,"",MaGic_AVM_Land!J12),"")</f>
        <v/>
      </c>
      <c r="K12" s="70" t="str">
        <f>IF(K$2="Y",IF(MaGic_AVM_Land!K12=0,"",MaGic_AVM_Land!K12),"")</f>
        <v/>
      </c>
      <c r="L12" s="70" t="str">
        <f>IF(L$2="Y",IF(MaGic_AVM_Land!L12=0,"",MaGic_AVM_Land!L12),"")</f>
        <v/>
      </c>
      <c r="M12" s="70" t="str">
        <f>IF(M$2="Y",IF(MaGic_AVM_Land!M12=0,"",MaGic_AVM_Land!M12),"")</f>
        <v/>
      </c>
      <c r="N12" s="70" t="str">
        <f>IF(N$2="Y",IF(MaGic_AVM_Land!N12=0,"",MaGic_AVM_Land!N12),"")</f>
        <v/>
      </c>
      <c r="O12" s="70" t="str">
        <f>IF(O$2="Y",IF(MaGic_AVM_Land!O12=0,"",MaGic_AVM_Land!O12),"")</f>
        <v/>
      </c>
      <c r="P12" s="70" t="str">
        <f>IF(P$2="Y",IF(MaGic_AVM_Land!P12=0,"",MaGic_AVM_Land!P12),"")</f>
        <v/>
      </c>
      <c r="Q12" s="70" t="str">
        <f>IF(Q$2="Y",IF(MaGic_AVM_Land!Q12=0,"",MaGic_AVM_Land!Q12),"")</f>
        <v/>
      </c>
      <c r="R12" s="70" t="str">
        <f>IF(R$2="Y",IF(MaGic_AVM_Land!R12=0,"",MaGic_AVM_Land!R12),"")</f>
        <v/>
      </c>
      <c r="S12" s="70" t="str">
        <f>IF(S$2="Y",IF(MaGic_AVM_Land!S12=0,"",MaGic_AVM_Land!S12),"")</f>
        <v/>
      </c>
      <c r="T12" s="70" t="str">
        <f>IF(T$2="Y",IF(MaGic_AVM_Land!T12=0,"",MaGic_AVM_Land!T12),"")</f>
        <v/>
      </c>
      <c r="U12" s="70" t="str">
        <f>IF(U$2="Y",IF(MaGic_AVM_Land!U12=0,"",MaGic_AVM_Land!U12),"")</f>
        <v/>
      </c>
      <c r="V12" s="70" t="str">
        <f>IF(V$2="Y",IF(MaGic_AVM_Land!V12=0,"",MaGic_AVM_Land!V12),"")</f>
        <v/>
      </c>
      <c r="W12" s="70" t="str">
        <f>IF(W$2="Y",IF(MaGic_AVM_Land!W12=0,"",MaGic_AVM_Land!W12),"")</f>
        <v/>
      </c>
      <c r="X12" s="70" t="str">
        <f>IF(X$2="Y",IF(MaGic_AVM_Land!X12=0,"",MaGic_AVM_Land!X12),"")</f>
        <v/>
      </c>
      <c r="Y12" s="70" t="str">
        <f>IF(Y$2="Y",IF(MaGic_AVM_Land!Y12=0,"",MaGic_AVM_Land!Y12),"")</f>
        <v/>
      </c>
      <c r="Z12" s="70" t="str">
        <f>IF(Z$2="Y",IF(MaGic_AVM_Land!Z12=0,"",MaGic_AVM_Land!Z12),"")</f>
        <v/>
      </c>
      <c r="AA12" s="69" t="str">
        <f>CONCATENATE(IF(AB12="",AC12,AB12))</f>
        <v/>
      </c>
      <c r="AB12" s="69" t="str" cm="1">
        <f t="array" ref="AB12">_xlfn.UNIQUE(C12:Z12,TRUE,FALSE)</f>
        <v/>
      </c>
    </row>
    <row r="13" spans="1:28">
      <c r="A13" s="70">
        <v>11</v>
      </c>
      <c r="B13" s="70" t="s">
        <v>67</v>
      </c>
      <c r="C13" s="71" t="str">
        <f>IF(C$2="Y",IF(MaGic_AVM_Land!C13=0,"",MaGic_AVM_Land!C13),"")</f>
        <v/>
      </c>
      <c r="D13" s="71" t="str">
        <f>IF(D$2="Y",IF(MaGic_AVM_Land!D13=0,"",MaGic_AVM_Land!D13),"")</f>
        <v/>
      </c>
      <c r="E13" s="71" t="str">
        <f>IF(E$2="Y",IF(MaGic_AVM_Land!E13=0,"",MaGic_AVM_Land!E13),"")</f>
        <v/>
      </c>
      <c r="F13" s="71" t="str">
        <f>IF(F$2="Y",IF(MaGic_AVM_Land!F13=0,"",MaGic_AVM_Land!F13),"")</f>
        <v/>
      </c>
      <c r="G13" s="71" t="str">
        <f>IF(G$2="Y",IF(MaGic_AVM_Land!G13=0,"",MaGic_AVM_Land!G13),"")</f>
        <v/>
      </c>
      <c r="H13" s="71" t="str">
        <f>IF(H$2="Y",IF(MaGic_AVM_Land!H13=0,"",MaGic_AVM_Land!H13),"")</f>
        <v/>
      </c>
      <c r="I13" s="71" t="str">
        <f>IF(I$2="Y",IF(MaGic_AVM_Land!I13=0,"",MaGic_AVM_Land!I13),"")</f>
        <v/>
      </c>
      <c r="J13" s="71" t="str">
        <f>IF(J$2="Y",IF(MaGic_AVM_Land!J13=0,"",MaGic_AVM_Land!J13),"")</f>
        <v/>
      </c>
      <c r="K13" s="71" t="str">
        <f>IF(K$2="Y",IF(MaGic_AVM_Land!K13=0,"",MaGic_AVM_Land!K13),"")</f>
        <v/>
      </c>
      <c r="L13" s="71" t="str">
        <f>IF(L$2="Y",IF(MaGic_AVM_Land!L13=0,"",MaGic_AVM_Land!L13),"")</f>
        <v/>
      </c>
      <c r="M13" s="71" t="str">
        <f>IF(M$2="Y",IF(MaGic_AVM_Land!M13=0,"",MaGic_AVM_Land!M13),"")</f>
        <v/>
      </c>
      <c r="N13" s="71" t="str">
        <f>IF(N$2="Y",IF(MaGic_AVM_Land!N13=0,"",MaGic_AVM_Land!N13),"")</f>
        <v/>
      </c>
      <c r="O13" s="71" t="str">
        <f>IF(O$2="Y",IF(MaGic_AVM_Land!O13=0,"",MaGic_AVM_Land!O13),"")</f>
        <v/>
      </c>
      <c r="P13" s="71" t="str">
        <f>IF(P$2="Y",IF(MaGic_AVM_Land!P13=0,"",MaGic_AVM_Land!P13),"")</f>
        <v/>
      </c>
      <c r="Q13" s="71" t="str">
        <f>IF(Q$2="Y",IF(MaGic_AVM_Land!Q13=0,"",MaGic_AVM_Land!Q13),"")</f>
        <v/>
      </c>
      <c r="R13" s="71" t="str">
        <f>IF(R$2="Y",IF(MaGic_AVM_Land!R13=0,"",MaGic_AVM_Land!R13),"")</f>
        <v/>
      </c>
      <c r="S13" s="71" t="str">
        <f>IF(S$2="Y",IF(MaGic_AVM_Land!S13=0,"",MaGic_AVM_Land!S13),"")</f>
        <v/>
      </c>
      <c r="T13" s="71" t="str">
        <f>IF(T$2="Y",IF(MaGic_AVM_Land!T13=0,"",MaGic_AVM_Land!T13),"")</f>
        <v/>
      </c>
      <c r="U13" s="71" t="str">
        <f>IF(U$2="Y",IF(MaGic_AVM_Land!U13=0,"",MaGic_AVM_Land!U13),"")</f>
        <v/>
      </c>
      <c r="V13" s="71" t="str">
        <f>IF(V$2="Y",IF(MaGic_AVM_Land!V13=0,"",MaGic_AVM_Land!V13),"")</f>
        <v/>
      </c>
      <c r="W13" s="71" t="str">
        <f>IF(W$2="Y",IF(MaGic_AVM_Land!W13=0,"",MaGic_AVM_Land!W13),"")</f>
        <v/>
      </c>
      <c r="X13" s="71" t="str">
        <f>IF(X$2="Y",IF(MaGic_AVM_Land!X13=0,"",MaGic_AVM_Land!X13),"")</f>
        <v/>
      </c>
      <c r="Y13" s="71" t="str">
        <f>IF(Y$2="Y",IF(MaGic_AVM_Land!Y13=0,"",MaGic_AVM_Land!Y13),"")</f>
        <v/>
      </c>
      <c r="Z13" s="71" t="str">
        <f>IF(Z$2="Y",IF(MaGic_AVM_Land!Z13=0,"",MaGic_AVM_Land!Z13),"")</f>
        <v/>
      </c>
      <c r="AA13" s="69" t="str">
        <f>CONCATENATE(IF(AB13="",AC13,AB13)," ",AA12)</f>
        <v/>
      </c>
      <c r="AB13" s="69" t="str" cm="1">
        <f t="array" ref="AB13">_xlfn.UNIQUE(C13:Z13,TRUE,FALSE)</f>
        <v/>
      </c>
    </row>
    <row r="14" spans="1:28">
      <c r="A14" s="70">
        <v>12</v>
      </c>
      <c r="B14" s="70" t="s">
        <v>69</v>
      </c>
      <c r="C14" s="71" t="str">
        <f>IF(C$2="Y",IF(MaGic_AVM_Land!C14=0,"",MaGic_AVM_Land!C14),"")</f>
        <v/>
      </c>
      <c r="D14" s="71" t="str">
        <f>IF(D$2="Y",IF(MaGic_AVM_Land!D14=0,"",MaGic_AVM_Land!D14),"")</f>
        <v/>
      </c>
      <c r="E14" s="71" t="str">
        <f>IF(E$2="Y",IF(MaGic_AVM_Land!E14=0,"",MaGic_AVM_Land!E14),"")</f>
        <v/>
      </c>
      <c r="F14" s="71" t="str">
        <f>IF(F$2="Y",IF(MaGic_AVM_Land!F14=0,"",MaGic_AVM_Land!F14),"")</f>
        <v/>
      </c>
      <c r="G14" s="71" t="str">
        <f>IF(G$2="Y",IF(MaGic_AVM_Land!G14=0,"",MaGic_AVM_Land!G14),"")</f>
        <v/>
      </c>
      <c r="H14" s="71" t="str">
        <f>IF(H$2="Y",IF(MaGic_AVM_Land!H14=0,"",MaGic_AVM_Land!H14),"")</f>
        <v/>
      </c>
      <c r="I14" s="71" t="str">
        <f>IF(I$2="Y",IF(MaGic_AVM_Land!I14=0,"",MaGic_AVM_Land!I14),"")</f>
        <v/>
      </c>
      <c r="J14" s="71" t="str">
        <f>IF(J$2="Y",IF(MaGic_AVM_Land!J14=0,"",MaGic_AVM_Land!J14),"")</f>
        <v/>
      </c>
      <c r="K14" s="71" t="str">
        <f>IF(K$2="Y",IF(MaGic_AVM_Land!K14=0,"",MaGic_AVM_Land!K14),"")</f>
        <v/>
      </c>
      <c r="L14" s="71" t="str">
        <f>IF(L$2="Y",IF(MaGic_AVM_Land!L14=0,"",MaGic_AVM_Land!L14),"")</f>
        <v/>
      </c>
      <c r="M14" s="71" t="str">
        <f>IF(M$2="Y",IF(MaGic_AVM_Land!M14=0,"",MaGic_AVM_Land!M14),"")</f>
        <v/>
      </c>
      <c r="N14" s="71" t="str">
        <f>IF(N$2="Y",IF(MaGic_AVM_Land!N14=0,"",MaGic_AVM_Land!N14),"")</f>
        <v/>
      </c>
      <c r="O14" s="71" t="str">
        <f>IF(O$2="Y",IF(MaGic_AVM_Land!O14=0,"",MaGic_AVM_Land!O14),"")</f>
        <v/>
      </c>
      <c r="P14" s="71" t="str">
        <f>IF(P$2="Y",IF(MaGic_AVM_Land!P14=0,"",MaGic_AVM_Land!P14),"")</f>
        <v/>
      </c>
      <c r="Q14" s="71" t="str">
        <f>IF(Q$2="Y",IF(MaGic_AVM_Land!Q14=0,"",MaGic_AVM_Land!Q14),"")</f>
        <v/>
      </c>
      <c r="R14" s="71" t="str">
        <f>IF(R$2="Y",IF(MaGic_AVM_Land!R14=0,"",MaGic_AVM_Land!R14),"")</f>
        <v/>
      </c>
      <c r="S14" s="71" t="str">
        <f>IF(S$2="Y",IF(MaGic_AVM_Land!S14=0,"",MaGic_AVM_Land!S14),"")</f>
        <v/>
      </c>
      <c r="T14" s="71" t="str">
        <f>IF(T$2="Y",IF(MaGic_AVM_Land!T14=0,"",MaGic_AVM_Land!T14),"")</f>
        <v/>
      </c>
      <c r="U14" s="71" t="str">
        <f>IF(U$2="Y",IF(MaGic_AVM_Land!U14=0,"",MaGic_AVM_Land!U14),"")</f>
        <v/>
      </c>
      <c r="V14" s="71" t="str">
        <f>IF(V$2="Y",IF(MaGic_AVM_Land!V14=0,"",MaGic_AVM_Land!V14),"")</f>
        <v/>
      </c>
      <c r="W14" s="71" t="str">
        <f>IF(W$2="Y",IF(MaGic_AVM_Land!W14=0,"",MaGic_AVM_Land!W14),"")</f>
        <v/>
      </c>
      <c r="X14" s="71" t="str">
        <f>IF(X$2="Y",IF(MaGic_AVM_Land!X14=0,"",MaGic_AVM_Land!X14),"")</f>
        <v/>
      </c>
      <c r="Y14" s="71" t="str">
        <f>IF(Y$2="Y",IF(MaGic_AVM_Land!Y14=0,"",MaGic_AVM_Land!Y14),"")</f>
        <v/>
      </c>
      <c r="Z14" s="71" t="str">
        <f>IF(Z$2="Y",IF(MaGic_AVM_Land!Z14=0,"",MaGic_AVM_Land!Z14),"")</f>
        <v/>
      </c>
      <c r="AA14" s="69" t="str">
        <f t="shared" ref="AA14:AA18" si="1">_xlfn.TEXTJOIN(",",TRUE,AB14:AZ14)</f>
        <v/>
      </c>
      <c r="AB14" s="69" t="str" cm="1">
        <f t="array" ref="AB14">_xlfn.UNIQUE(C14:Z14,TRUE,FALSE)</f>
        <v/>
      </c>
    </row>
    <row r="15" spans="1:28">
      <c r="A15" s="70">
        <v>13</v>
      </c>
      <c r="B15" s="70" t="s">
        <v>70</v>
      </c>
      <c r="C15" s="71" t="str">
        <f>IF(C$2="Y",IF(MaGic_AVM_Land!C15=0,"",MaGic_AVM_Land!C15),"")</f>
        <v/>
      </c>
      <c r="D15" s="71" t="str">
        <f>IF(D$2="Y",IF(MaGic_AVM_Land!D15=0,"",MaGic_AVM_Land!D15),"")</f>
        <v/>
      </c>
      <c r="E15" s="71" t="str">
        <f>IF(E$2="Y",IF(MaGic_AVM_Land!E15=0,"",MaGic_AVM_Land!E15),"")</f>
        <v/>
      </c>
      <c r="F15" s="71" t="str">
        <f>IF(F$2="Y",IF(MaGic_AVM_Land!F15=0,"",MaGic_AVM_Land!F15),"")</f>
        <v/>
      </c>
      <c r="G15" s="71" t="str">
        <f>IF(G$2="Y",IF(MaGic_AVM_Land!G15=0,"",MaGic_AVM_Land!G15),"")</f>
        <v/>
      </c>
      <c r="H15" s="71" t="str">
        <f>IF(H$2="Y",IF(MaGic_AVM_Land!H15=0,"",MaGic_AVM_Land!H15),"")</f>
        <v/>
      </c>
      <c r="I15" s="71" t="str">
        <f>IF(I$2="Y",IF(MaGic_AVM_Land!I15=0,"",MaGic_AVM_Land!I15),"")</f>
        <v/>
      </c>
      <c r="J15" s="71" t="str">
        <f>IF(J$2="Y",IF(MaGic_AVM_Land!J15=0,"",MaGic_AVM_Land!J15),"")</f>
        <v/>
      </c>
      <c r="K15" s="71" t="str">
        <f>IF(K$2="Y",IF(MaGic_AVM_Land!K15=0,"",MaGic_AVM_Land!K15),"")</f>
        <v/>
      </c>
      <c r="L15" s="71" t="str">
        <f>IF(L$2="Y",IF(MaGic_AVM_Land!L15=0,"",MaGic_AVM_Land!L15),"")</f>
        <v/>
      </c>
      <c r="M15" s="71" t="str">
        <f>IF(M$2="Y",IF(MaGic_AVM_Land!M15=0,"",MaGic_AVM_Land!M15),"")</f>
        <v/>
      </c>
      <c r="N15" s="71" t="str">
        <f>IF(N$2="Y",IF(MaGic_AVM_Land!N15=0,"",MaGic_AVM_Land!N15),"")</f>
        <v/>
      </c>
      <c r="O15" s="71" t="str">
        <f>IF(O$2="Y",IF(MaGic_AVM_Land!O15=0,"",MaGic_AVM_Land!O15),"")</f>
        <v/>
      </c>
      <c r="P15" s="71" t="str">
        <f>IF(P$2="Y",IF(MaGic_AVM_Land!P15=0,"",MaGic_AVM_Land!P15),"")</f>
        <v/>
      </c>
      <c r="Q15" s="71" t="str">
        <f>IF(Q$2="Y",IF(MaGic_AVM_Land!Q15=0,"",MaGic_AVM_Land!Q15),"")</f>
        <v/>
      </c>
      <c r="R15" s="71" t="str">
        <f>IF(R$2="Y",IF(MaGic_AVM_Land!R15=0,"",MaGic_AVM_Land!R15),"")</f>
        <v/>
      </c>
      <c r="S15" s="71" t="str">
        <f>IF(S$2="Y",IF(MaGic_AVM_Land!S15=0,"",MaGic_AVM_Land!S15),"")</f>
        <v/>
      </c>
      <c r="T15" s="71" t="str">
        <f>IF(T$2="Y",IF(MaGic_AVM_Land!T15=0,"",MaGic_AVM_Land!T15),"")</f>
        <v/>
      </c>
      <c r="U15" s="71" t="str">
        <f>IF(U$2="Y",IF(MaGic_AVM_Land!U15=0,"",MaGic_AVM_Land!U15),"")</f>
        <v/>
      </c>
      <c r="V15" s="71" t="str">
        <f>IF(V$2="Y",IF(MaGic_AVM_Land!V15=0,"",MaGic_AVM_Land!V15),"")</f>
        <v/>
      </c>
      <c r="W15" s="71" t="str">
        <f>IF(W$2="Y",IF(MaGic_AVM_Land!W15=0,"",MaGic_AVM_Land!W15),"")</f>
        <v/>
      </c>
      <c r="X15" s="71" t="str">
        <f>IF(X$2="Y",IF(MaGic_AVM_Land!X15=0,"",MaGic_AVM_Land!X15),"")</f>
        <v/>
      </c>
      <c r="Y15" s="71" t="str">
        <f>IF(Y$2="Y",IF(MaGic_AVM_Land!Y15=0,"",MaGic_AVM_Land!Y15),"")</f>
        <v/>
      </c>
      <c r="Z15" s="71" t="str">
        <f>IF(Z$2="Y",IF(MaGic_AVM_Land!Z15=0,"",MaGic_AVM_Land!Z15),"")</f>
        <v/>
      </c>
      <c r="AA15" s="69" t="str">
        <f t="shared" si="1"/>
        <v/>
      </c>
      <c r="AB15" s="69" t="str" cm="1">
        <f t="array" ref="AB15">_xlfn.UNIQUE(C15:Z15,TRUE,FALSE)</f>
        <v/>
      </c>
    </row>
    <row r="16" spans="1:28">
      <c r="A16" s="70">
        <v>14</v>
      </c>
      <c r="B16" s="70" t="s">
        <v>71</v>
      </c>
      <c r="C16" s="71" t="str">
        <f>IF(C$2="Y",IF(MaGic_AVM_Land!C16=0,"",MaGic_AVM_Land!C16),"")</f>
        <v/>
      </c>
      <c r="D16" s="71" t="str">
        <f>IF(D$2="Y",IF(MaGic_AVM_Land!D16=0,"",MaGic_AVM_Land!D16),"")</f>
        <v/>
      </c>
      <c r="E16" s="71" t="str">
        <f>IF(E$2="Y",IF(MaGic_AVM_Land!E16=0,"",MaGic_AVM_Land!E16),"")</f>
        <v/>
      </c>
      <c r="F16" s="71" t="str">
        <f>IF(F$2="Y",IF(MaGic_AVM_Land!F16=0,"",MaGic_AVM_Land!F16),"")</f>
        <v/>
      </c>
      <c r="G16" s="71" t="str">
        <f>IF(G$2="Y",IF(MaGic_AVM_Land!G16=0,"",MaGic_AVM_Land!G16),"")</f>
        <v/>
      </c>
      <c r="H16" s="71" t="str">
        <f>IF(H$2="Y",IF(MaGic_AVM_Land!H16=0,"",MaGic_AVM_Land!H16),"")</f>
        <v/>
      </c>
      <c r="I16" s="71" t="str">
        <f>IF(I$2="Y",IF(MaGic_AVM_Land!I16=0,"",MaGic_AVM_Land!I16),"")</f>
        <v/>
      </c>
      <c r="J16" s="71" t="str">
        <f>IF(J$2="Y",IF(MaGic_AVM_Land!J16=0,"",MaGic_AVM_Land!J16),"")</f>
        <v/>
      </c>
      <c r="K16" s="71" t="str">
        <f>IF(K$2="Y",IF(MaGic_AVM_Land!K16=0,"",MaGic_AVM_Land!K16),"")</f>
        <v/>
      </c>
      <c r="L16" s="71" t="str">
        <f>IF(L$2="Y",IF(MaGic_AVM_Land!L16=0,"",MaGic_AVM_Land!L16),"")</f>
        <v/>
      </c>
      <c r="M16" s="71" t="str">
        <f>IF(M$2="Y",IF(MaGic_AVM_Land!M16=0,"",MaGic_AVM_Land!M16),"")</f>
        <v/>
      </c>
      <c r="N16" s="71" t="str">
        <f>IF(N$2="Y",IF(MaGic_AVM_Land!N16=0,"",MaGic_AVM_Land!N16),"")</f>
        <v/>
      </c>
      <c r="O16" s="71" t="str">
        <f>IF(O$2="Y",IF(MaGic_AVM_Land!O16=0,"",MaGic_AVM_Land!O16),"")</f>
        <v/>
      </c>
      <c r="P16" s="71" t="str">
        <f>IF(P$2="Y",IF(MaGic_AVM_Land!P16=0,"",MaGic_AVM_Land!P16),"")</f>
        <v/>
      </c>
      <c r="Q16" s="71" t="str">
        <f>IF(Q$2="Y",IF(MaGic_AVM_Land!Q16=0,"",MaGic_AVM_Land!Q16),"")</f>
        <v/>
      </c>
      <c r="R16" s="71" t="str">
        <f>IF(R$2="Y",IF(MaGic_AVM_Land!R16=0,"",MaGic_AVM_Land!R16),"")</f>
        <v/>
      </c>
      <c r="S16" s="71" t="str">
        <f>IF(S$2="Y",IF(MaGic_AVM_Land!S16=0,"",MaGic_AVM_Land!S16),"")</f>
        <v/>
      </c>
      <c r="T16" s="71" t="str">
        <f>IF(T$2="Y",IF(MaGic_AVM_Land!T16=0,"",MaGic_AVM_Land!T16),"")</f>
        <v/>
      </c>
      <c r="U16" s="71" t="str">
        <f>IF(U$2="Y",IF(MaGic_AVM_Land!U16=0,"",MaGic_AVM_Land!U16),"")</f>
        <v/>
      </c>
      <c r="V16" s="71" t="str">
        <f>IF(V$2="Y",IF(MaGic_AVM_Land!V16=0,"",MaGic_AVM_Land!V16),"")</f>
        <v/>
      </c>
      <c r="W16" s="71" t="str">
        <f>IF(W$2="Y",IF(MaGic_AVM_Land!W16=0,"",MaGic_AVM_Land!W16),"")</f>
        <v/>
      </c>
      <c r="X16" s="71" t="str">
        <f>IF(X$2="Y",IF(MaGic_AVM_Land!X16=0,"",MaGic_AVM_Land!X16),"")</f>
        <v/>
      </c>
      <c r="Y16" s="71" t="str">
        <f>IF(Y$2="Y",IF(MaGic_AVM_Land!Y16=0,"",MaGic_AVM_Land!Y16),"")</f>
        <v/>
      </c>
      <c r="Z16" s="71" t="str">
        <f>IF(Z$2="Y",IF(MaGic_AVM_Land!Z16=0,"",MaGic_AVM_Land!Z16),"")</f>
        <v/>
      </c>
      <c r="AA16" s="69" t="str">
        <f t="shared" si="1"/>
        <v/>
      </c>
      <c r="AB16" s="69" t="str" cm="1">
        <f t="array" ref="AB16">_xlfn.UNIQUE(C16:Z16,TRUE,FALSE)</f>
        <v/>
      </c>
    </row>
    <row r="17" spans="1:28">
      <c r="A17" s="70">
        <v>15</v>
      </c>
      <c r="B17" s="70" t="s">
        <v>77</v>
      </c>
      <c r="C17" s="71" t="str">
        <f>IF(C$2="Y",IF(MaGic_AVM_Land!C17=0,"",MaGic_AVM_Land!C17),"")</f>
        <v/>
      </c>
      <c r="D17" s="71" t="str">
        <f>IF(D$2="Y",IF(MaGic_AVM_Land!D17=0,"",MaGic_AVM_Land!D17),"")</f>
        <v/>
      </c>
      <c r="E17" s="71" t="str">
        <f>IF(E$2="Y",IF(MaGic_AVM_Land!E17=0,"",MaGic_AVM_Land!E17),"")</f>
        <v/>
      </c>
      <c r="F17" s="71" t="str">
        <f>IF(F$2="Y",IF(MaGic_AVM_Land!F17=0,"",MaGic_AVM_Land!F17),"")</f>
        <v/>
      </c>
      <c r="G17" s="71" t="str">
        <f>IF(G$2="Y",IF(MaGic_AVM_Land!G17=0,"",MaGic_AVM_Land!G17),"")</f>
        <v/>
      </c>
      <c r="H17" s="71" t="str">
        <f>IF(H$2="Y",IF(MaGic_AVM_Land!H17=0,"",MaGic_AVM_Land!H17),"")</f>
        <v/>
      </c>
      <c r="I17" s="71" t="str">
        <f>IF(I$2="Y",IF(MaGic_AVM_Land!I17=0,"",MaGic_AVM_Land!I17),"")</f>
        <v/>
      </c>
      <c r="J17" s="71" t="str">
        <f>IF(J$2="Y",IF(MaGic_AVM_Land!J17=0,"",MaGic_AVM_Land!J17),"")</f>
        <v/>
      </c>
      <c r="K17" s="71" t="str">
        <f>IF(K$2="Y",IF(MaGic_AVM_Land!K17=0,"",MaGic_AVM_Land!K17),"")</f>
        <v/>
      </c>
      <c r="L17" s="71" t="str">
        <f>IF(L$2="Y",IF(MaGic_AVM_Land!L17=0,"",MaGic_AVM_Land!L17),"")</f>
        <v/>
      </c>
      <c r="M17" s="71" t="str">
        <f>IF(M$2="Y",IF(MaGic_AVM_Land!M17=0,"",MaGic_AVM_Land!M17),"")</f>
        <v/>
      </c>
      <c r="N17" s="71" t="str">
        <f>IF(N$2="Y",IF(MaGic_AVM_Land!N17=0,"",MaGic_AVM_Land!N17),"")</f>
        <v/>
      </c>
      <c r="O17" s="71" t="str">
        <f>IF(O$2="Y",IF(MaGic_AVM_Land!O17=0,"",MaGic_AVM_Land!O17),"")</f>
        <v/>
      </c>
      <c r="P17" s="71" t="str">
        <f>IF(P$2="Y",IF(MaGic_AVM_Land!P17=0,"",MaGic_AVM_Land!P17),"")</f>
        <v/>
      </c>
      <c r="Q17" s="71" t="str">
        <f>IF(Q$2="Y",IF(MaGic_AVM_Land!Q17=0,"",MaGic_AVM_Land!Q17),"")</f>
        <v/>
      </c>
      <c r="R17" s="71" t="str">
        <f>IF(R$2="Y",IF(MaGic_AVM_Land!R17=0,"",MaGic_AVM_Land!R17),"")</f>
        <v/>
      </c>
      <c r="S17" s="71" t="str">
        <f>IF(S$2="Y",IF(MaGic_AVM_Land!S17=0,"",MaGic_AVM_Land!S17),"")</f>
        <v/>
      </c>
      <c r="T17" s="71" t="str">
        <f>IF(T$2="Y",IF(MaGic_AVM_Land!T17=0,"",MaGic_AVM_Land!T17),"")</f>
        <v/>
      </c>
      <c r="U17" s="71" t="str">
        <f>IF(U$2="Y",IF(MaGic_AVM_Land!U17=0,"",MaGic_AVM_Land!U17),"")</f>
        <v/>
      </c>
      <c r="V17" s="71" t="str">
        <f>IF(V$2="Y",IF(MaGic_AVM_Land!V17=0,"",MaGic_AVM_Land!V17),"")</f>
        <v/>
      </c>
      <c r="W17" s="71" t="str">
        <f>IF(W$2="Y",IF(MaGic_AVM_Land!W17=0,"",MaGic_AVM_Land!W17),"")</f>
        <v/>
      </c>
      <c r="X17" s="71" t="str">
        <f>IF(X$2="Y",IF(MaGic_AVM_Land!X17=0,"",MaGic_AVM_Land!X17),"")</f>
        <v/>
      </c>
      <c r="Y17" s="71" t="str">
        <f>IF(Y$2="Y",IF(MaGic_AVM_Land!Y17=0,"",MaGic_AVM_Land!Y17),"")</f>
        <v/>
      </c>
      <c r="Z17" s="71" t="str">
        <f>IF(Z$2="Y",IF(MaGic_AVM_Land!Z17=0,"",MaGic_AVM_Land!Z17),"")</f>
        <v/>
      </c>
      <c r="AA17" s="69" t="str">
        <f t="shared" si="1"/>
        <v/>
      </c>
      <c r="AB17" s="69" t="str" cm="1">
        <f t="array" ref="AB17">_xlfn.UNIQUE(C17:Z17,TRUE,FALSE)</f>
        <v/>
      </c>
    </row>
    <row r="18" spans="1:28">
      <c r="A18" s="70">
        <v>16</v>
      </c>
      <c r="B18" s="70" t="s">
        <v>78</v>
      </c>
      <c r="C18" s="71" t="str">
        <f>IF(C$2="Y",IF(MaGic_AVM_Land!C18=0,"",MaGic_AVM_Land!C18),"")</f>
        <v/>
      </c>
      <c r="D18" s="71" t="str">
        <f>IF(D$2="Y",IF(MaGic_AVM_Land!D18=0,"",MaGic_AVM_Land!D18),"")</f>
        <v/>
      </c>
      <c r="E18" s="71" t="str">
        <f>IF(E$2="Y",IF(MaGic_AVM_Land!E18=0,"",MaGic_AVM_Land!E18),"")</f>
        <v/>
      </c>
      <c r="F18" s="71" t="str">
        <f>IF(F$2="Y",IF(MaGic_AVM_Land!F18=0,"",MaGic_AVM_Land!F18),"")</f>
        <v/>
      </c>
      <c r="G18" s="71" t="str">
        <f>IF(G$2="Y",IF(MaGic_AVM_Land!G18=0,"",MaGic_AVM_Land!G18),"")</f>
        <v/>
      </c>
      <c r="H18" s="71" t="str">
        <f>IF(H$2="Y",IF(MaGic_AVM_Land!H18=0,"",MaGic_AVM_Land!H18),"")</f>
        <v/>
      </c>
      <c r="I18" s="71" t="str">
        <f>IF(I$2="Y",IF(MaGic_AVM_Land!I18=0,"",MaGic_AVM_Land!I18),"")</f>
        <v/>
      </c>
      <c r="J18" s="71" t="str">
        <f>IF(J$2="Y",IF(MaGic_AVM_Land!J18=0,"",MaGic_AVM_Land!J18),"")</f>
        <v/>
      </c>
      <c r="K18" s="71" t="str">
        <f>IF(K$2="Y",IF(MaGic_AVM_Land!K18=0,"",MaGic_AVM_Land!K18),"")</f>
        <v/>
      </c>
      <c r="L18" s="71" t="str">
        <f>IF(L$2="Y",IF(MaGic_AVM_Land!L18=0,"",MaGic_AVM_Land!L18),"")</f>
        <v/>
      </c>
      <c r="M18" s="71" t="str">
        <f>IF(M$2="Y",IF(MaGic_AVM_Land!M18=0,"",MaGic_AVM_Land!M18),"")</f>
        <v/>
      </c>
      <c r="N18" s="71" t="str">
        <f>IF(N$2="Y",IF(MaGic_AVM_Land!N18=0,"",MaGic_AVM_Land!N18),"")</f>
        <v/>
      </c>
      <c r="O18" s="71" t="str">
        <f>IF(O$2="Y",IF(MaGic_AVM_Land!O18=0,"",MaGic_AVM_Land!O18),"")</f>
        <v/>
      </c>
      <c r="P18" s="71" t="str">
        <f>IF(P$2="Y",IF(MaGic_AVM_Land!P18=0,"",MaGic_AVM_Land!P18),"")</f>
        <v/>
      </c>
      <c r="Q18" s="71" t="str">
        <f>IF(Q$2="Y",IF(MaGic_AVM_Land!Q18=0,"",MaGic_AVM_Land!Q18),"")</f>
        <v/>
      </c>
      <c r="R18" s="71" t="str">
        <f>IF(R$2="Y",IF(MaGic_AVM_Land!R18=0,"",MaGic_AVM_Land!R18),"")</f>
        <v/>
      </c>
      <c r="S18" s="71" t="str">
        <f>IF(S$2="Y",IF(MaGic_AVM_Land!S18=0,"",MaGic_AVM_Land!S18),"")</f>
        <v/>
      </c>
      <c r="T18" s="71" t="str">
        <f>IF(T$2="Y",IF(MaGic_AVM_Land!T18=0,"",MaGic_AVM_Land!T18),"")</f>
        <v/>
      </c>
      <c r="U18" s="71" t="str">
        <f>IF(U$2="Y",IF(MaGic_AVM_Land!U18=0,"",MaGic_AVM_Land!U18),"")</f>
        <v/>
      </c>
      <c r="V18" s="71" t="str">
        <f>IF(V$2="Y",IF(MaGic_AVM_Land!V18=0,"",MaGic_AVM_Land!V18),"")</f>
        <v/>
      </c>
      <c r="W18" s="71" t="str">
        <f>IF(W$2="Y",IF(MaGic_AVM_Land!W18=0,"",MaGic_AVM_Land!W18),"")</f>
        <v/>
      </c>
      <c r="X18" s="71" t="str">
        <f>IF(X$2="Y",IF(MaGic_AVM_Land!X18=0,"",MaGic_AVM_Land!X18),"")</f>
        <v/>
      </c>
      <c r="Y18" s="71" t="str">
        <f>IF(Y$2="Y",IF(MaGic_AVM_Land!Y18=0,"",MaGic_AVM_Land!Y18),"")</f>
        <v/>
      </c>
      <c r="Z18" s="71" t="str">
        <f>IF(Z$2="Y",IF(MaGic_AVM_Land!Z18=0,"",MaGic_AVM_Land!Z18),"")</f>
        <v/>
      </c>
      <c r="AA18" s="69" t="str">
        <f t="shared" si="1"/>
        <v/>
      </c>
      <c r="AB18" s="69" t="str" cm="1">
        <f t="array" ref="AB18">_xlfn.UNIQUE(C18:Z18,TRUE,FALSE)</f>
        <v/>
      </c>
    </row>
    <row r="19" spans="1:28">
      <c r="A19" s="70">
        <v>17</v>
      </c>
      <c r="B19" s="70" t="s">
        <v>79</v>
      </c>
      <c r="C19" s="71" t="str">
        <f>IF(C$2="Y",IF(MaGic_AVM_Land!C19=0,"",MaGic_AVM_Land!C19),"")</f>
        <v/>
      </c>
      <c r="D19" s="71" t="str">
        <f>IF(D$2="Y",IF(MaGic_AVM_Land!D19=0,"",MaGic_AVM_Land!D19),"")</f>
        <v/>
      </c>
      <c r="E19" s="71" t="str">
        <f>IF(E$2="Y",IF(MaGic_AVM_Land!E19=0,"",MaGic_AVM_Land!E19),"")</f>
        <v/>
      </c>
      <c r="F19" s="71" t="str">
        <f>IF(F$2="Y",IF(MaGic_AVM_Land!F19=0,"",MaGic_AVM_Land!F19),"")</f>
        <v/>
      </c>
      <c r="G19" s="71" t="str">
        <f>IF(G$2="Y",IF(MaGic_AVM_Land!G19=0,"",MaGic_AVM_Land!G19),"")</f>
        <v/>
      </c>
      <c r="H19" s="71" t="str">
        <f>IF(H$2="Y",IF(MaGic_AVM_Land!H19=0,"",MaGic_AVM_Land!H19),"")</f>
        <v/>
      </c>
      <c r="I19" s="71" t="str">
        <f>IF(I$2="Y",IF(MaGic_AVM_Land!I19=0,"",MaGic_AVM_Land!I19),"")</f>
        <v/>
      </c>
      <c r="J19" s="71" t="str">
        <f>IF(J$2="Y",IF(MaGic_AVM_Land!J19=0,"",MaGic_AVM_Land!J19),"")</f>
        <v/>
      </c>
      <c r="K19" s="71" t="str">
        <f>IF(K$2="Y",IF(MaGic_AVM_Land!K19=0,"",MaGic_AVM_Land!K19),"")</f>
        <v/>
      </c>
      <c r="L19" s="71" t="str">
        <f>IF(L$2="Y",IF(MaGic_AVM_Land!L19=0,"",MaGic_AVM_Land!L19),"")</f>
        <v/>
      </c>
      <c r="M19" s="71" t="str">
        <f>IF(M$2="Y",IF(MaGic_AVM_Land!M19=0,"",MaGic_AVM_Land!M19),"")</f>
        <v/>
      </c>
      <c r="N19" s="71" t="str">
        <f>IF(N$2="Y",IF(MaGic_AVM_Land!N19=0,"",MaGic_AVM_Land!N19),"")</f>
        <v/>
      </c>
      <c r="O19" s="71" t="str">
        <f>IF(O$2="Y",IF(MaGic_AVM_Land!O19=0,"",MaGic_AVM_Land!O19),"")</f>
        <v/>
      </c>
      <c r="P19" s="71" t="str">
        <f>IF(P$2="Y",IF(MaGic_AVM_Land!P19=0,"",MaGic_AVM_Land!P19),"")</f>
        <v/>
      </c>
      <c r="Q19" s="71" t="str">
        <f>IF(Q$2="Y",IF(MaGic_AVM_Land!Q19=0,"",MaGic_AVM_Land!Q19),"")</f>
        <v/>
      </c>
      <c r="R19" s="71" t="str">
        <f>IF(R$2="Y",IF(MaGic_AVM_Land!R19=0,"",MaGic_AVM_Land!R19),"")</f>
        <v/>
      </c>
      <c r="S19" s="71" t="str">
        <f>IF(S$2="Y",IF(MaGic_AVM_Land!S19=0,"",MaGic_AVM_Land!S19),"")</f>
        <v/>
      </c>
      <c r="T19" s="71" t="str">
        <f>IF(T$2="Y",IF(MaGic_AVM_Land!T19=0,"",MaGic_AVM_Land!T19),"")</f>
        <v/>
      </c>
      <c r="U19" s="71" t="str">
        <f>IF(U$2="Y",IF(MaGic_AVM_Land!U19=0,"",MaGic_AVM_Land!U19),"")</f>
        <v/>
      </c>
      <c r="V19" s="71" t="str">
        <f>IF(V$2="Y",IF(MaGic_AVM_Land!V19=0,"",MaGic_AVM_Land!V19),"")</f>
        <v/>
      </c>
      <c r="W19" s="71" t="str">
        <f>IF(W$2="Y",IF(MaGic_AVM_Land!W19=0,"",MaGic_AVM_Land!W19),"")</f>
        <v/>
      </c>
      <c r="X19" s="71" t="str">
        <f>IF(X$2="Y",IF(MaGic_AVM_Land!X19=0,"",MaGic_AVM_Land!X19),"")</f>
        <v/>
      </c>
      <c r="Y19" s="71" t="str">
        <f>IF(Y$2="Y",IF(MaGic_AVM_Land!Y19=0,"",MaGic_AVM_Land!Y19),"")</f>
        <v/>
      </c>
      <c r="Z19" s="71" t="str">
        <f>IF(Z$2="Y",IF(MaGic_AVM_Land!Z19=0,"",MaGic_AVM_Land!Z19),"")</f>
        <v/>
      </c>
      <c r="AA19" s="69" t="str">
        <f t="shared" ref="AA19:AA22" si="2">_xlfn.TEXTJOIN(",",TRUE,AB19:AZ19)</f>
        <v/>
      </c>
      <c r="AB19" s="69" t="str" cm="1">
        <f t="array" ref="AB19">_xlfn.UNIQUE(C19:Z19,TRUE,FALSE)</f>
        <v/>
      </c>
    </row>
    <row r="20" spans="1:28">
      <c r="A20" s="70">
        <v>18</v>
      </c>
      <c r="B20" s="70" t="s">
        <v>80</v>
      </c>
      <c r="C20" s="71" t="str">
        <f>IF(C$2="Y",IF(MaGic_AVM_Land!C20=0,"",MaGic_AVM_Land!C20),"")</f>
        <v/>
      </c>
      <c r="D20" s="71" t="str">
        <f>IF(D$2="Y",IF(MaGic_AVM_Land!D20=0,"",MaGic_AVM_Land!D20),"")</f>
        <v/>
      </c>
      <c r="E20" s="71" t="str">
        <f>IF(E$2="Y",IF(MaGic_AVM_Land!E20=0,"",MaGic_AVM_Land!E20),"")</f>
        <v/>
      </c>
      <c r="F20" s="71" t="str">
        <f>IF(F$2="Y",IF(MaGic_AVM_Land!F20=0,"",MaGic_AVM_Land!F20),"")</f>
        <v/>
      </c>
      <c r="G20" s="71" t="str">
        <f>IF(G$2="Y",IF(MaGic_AVM_Land!G20=0,"",MaGic_AVM_Land!G20),"")</f>
        <v/>
      </c>
      <c r="H20" s="71" t="str">
        <f>IF(H$2="Y",IF(MaGic_AVM_Land!H20=0,"",MaGic_AVM_Land!H20),"")</f>
        <v/>
      </c>
      <c r="I20" s="71" t="str">
        <f>IF(I$2="Y",IF(MaGic_AVM_Land!I20=0,"",MaGic_AVM_Land!I20),"")</f>
        <v/>
      </c>
      <c r="J20" s="71" t="str">
        <f>IF(J$2="Y",IF(MaGic_AVM_Land!J20=0,"",MaGic_AVM_Land!J20),"")</f>
        <v/>
      </c>
      <c r="K20" s="71" t="str">
        <f>IF(K$2="Y",IF(MaGic_AVM_Land!K20=0,"",MaGic_AVM_Land!K20),"")</f>
        <v/>
      </c>
      <c r="L20" s="71" t="str">
        <f>IF(L$2="Y",IF(MaGic_AVM_Land!L20=0,"",MaGic_AVM_Land!L20),"")</f>
        <v/>
      </c>
      <c r="M20" s="71" t="str">
        <f>IF(M$2="Y",IF(MaGic_AVM_Land!M20=0,"",MaGic_AVM_Land!M20),"")</f>
        <v/>
      </c>
      <c r="N20" s="71" t="str">
        <f>IF(N$2="Y",IF(MaGic_AVM_Land!N20=0,"",MaGic_AVM_Land!N20),"")</f>
        <v/>
      </c>
      <c r="O20" s="71" t="str">
        <f>IF(O$2="Y",IF(MaGic_AVM_Land!O20=0,"",MaGic_AVM_Land!O20),"")</f>
        <v/>
      </c>
      <c r="P20" s="71" t="str">
        <f>IF(P$2="Y",IF(MaGic_AVM_Land!P20=0,"",MaGic_AVM_Land!P20),"")</f>
        <v/>
      </c>
      <c r="Q20" s="71" t="str">
        <f>IF(Q$2="Y",IF(MaGic_AVM_Land!Q20=0,"",MaGic_AVM_Land!Q20),"")</f>
        <v/>
      </c>
      <c r="R20" s="71" t="str">
        <f>IF(R$2="Y",IF(MaGic_AVM_Land!R20=0,"",MaGic_AVM_Land!R20),"")</f>
        <v/>
      </c>
      <c r="S20" s="71" t="str">
        <f>IF(S$2="Y",IF(MaGic_AVM_Land!S20=0,"",MaGic_AVM_Land!S20),"")</f>
        <v/>
      </c>
      <c r="T20" s="71" t="str">
        <f>IF(T$2="Y",IF(MaGic_AVM_Land!T20=0,"",MaGic_AVM_Land!T20),"")</f>
        <v/>
      </c>
      <c r="U20" s="71" t="str">
        <f>IF(U$2="Y",IF(MaGic_AVM_Land!U20=0,"",MaGic_AVM_Land!U20),"")</f>
        <v/>
      </c>
      <c r="V20" s="71" t="str">
        <f>IF(V$2="Y",IF(MaGic_AVM_Land!V20=0,"",MaGic_AVM_Land!V20),"")</f>
        <v/>
      </c>
      <c r="W20" s="71" t="str">
        <f>IF(W$2="Y",IF(MaGic_AVM_Land!W20=0,"",MaGic_AVM_Land!W20),"")</f>
        <v/>
      </c>
      <c r="X20" s="71" t="str">
        <f>IF(X$2="Y",IF(MaGic_AVM_Land!X20=0,"",MaGic_AVM_Land!X20),"")</f>
        <v/>
      </c>
      <c r="Y20" s="71" t="str">
        <f>IF(Y$2="Y",IF(MaGic_AVM_Land!Y20=0,"",MaGic_AVM_Land!Y20),"")</f>
        <v/>
      </c>
      <c r="Z20" s="71" t="str">
        <f>IF(Z$2="Y",IF(MaGic_AVM_Land!Z20=0,"",MaGic_AVM_Land!Z20),"")</f>
        <v/>
      </c>
      <c r="AA20" s="69" t="str">
        <f t="shared" si="2"/>
        <v/>
      </c>
      <c r="AB20" s="69" t="str" cm="1">
        <f t="array" ref="AB20">_xlfn.UNIQUE(C20:Z20,TRUE,FALSE)</f>
        <v/>
      </c>
    </row>
    <row r="21" spans="1:28">
      <c r="A21" s="70">
        <v>19</v>
      </c>
      <c r="B21" s="70" t="s">
        <v>81</v>
      </c>
      <c r="C21" s="71" t="str">
        <f>IF(C$2="Y",IF(MaGic_AVM_Land!C21=0,"",MaGic_AVM_Land!C21),"")</f>
        <v/>
      </c>
      <c r="D21" s="71" t="str">
        <f>IF(D$2="Y",IF(MaGic_AVM_Land!D21=0,"",MaGic_AVM_Land!D21),"")</f>
        <v/>
      </c>
      <c r="E21" s="71" t="str">
        <f>IF(E$2="Y",IF(MaGic_AVM_Land!E21=0,"",MaGic_AVM_Land!E21),"")</f>
        <v/>
      </c>
      <c r="F21" s="71" t="str">
        <f>IF(F$2="Y",IF(MaGic_AVM_Land!F21=0,"",MaGic_AVM_Land!F21),"")</f>
        <v/>
      </c>
      <c r="G21" s="71" t="str">
        <f>IF(G$2="Y",IF(MaGic_AVM_Land!G21=0,"",MaGic_AVM_Land!G21),"")</f>
        <v/>
      </c>
      <c r="H21" s="71" t="str">
        <f>IF(H$2="Y",IF(MaGic_AVM_Land!H21=0,"",MaGic_AVM_Land!H21),"")</f>
        <v/>
      </c>
      <c r="I21" s="71" t="str">
        <f>IF(I$2="Y",IF(MaGic_AVM_Land!I21=0,"",MaGic_AVM_Land!I21),"")</f>
        <v/>
      </c>
      <c r="J21" s="71" t="str">
        <f>IF(J$2="Y",IF(MaGic_AVM_Land!J21=0,"",MaGic_AVM_Land!J21),"")</f>
        <v/>
      </c>
      <c r="K21" s="71" t="str">
        <f>IF(K$2="Y",IF(MaGic_AVM_Land!K21=0,"",MaGic_AVM_Land!K21),"")</f>
        <v/>
      </c>
      <c r="L21" s="71" t="str">
        <f>IF(L$2="Y",IF(MaGic_AVM_Land!L21=0,"",MaGic_AVM_Land!L21),"")</f>
        <v/>
      </c>
      <c r="M21" s="71" t="str">
        <f>IF(M$2="Y",IF(MaGic_AVM_Land!M21=0,"",MaGic_AVM_Land!M21),"")</f>
        <v/>
      </c>
      <c r="N21" s="71" t="str">
        <f>IF(N$2="Y",IF(MaGic_AVM_Land!N21=0,"",MaGic_AVM_Land!N21),"")</f>
        <v/>
      </c>
      <c r="O21" s="71" t="str">
        <f>IF(O$2="Y",IF(MaGic_AVM_Land!O21=0,"",MaGic_AVM_Land!O21),"")</f>
        <v/>
      </c>
      <c r="P21" s="71" t="str">
        <f>IF(P$2="Y",IF(MaGic_AVM_Land!P21=0,"",MaGic_AVM_Land!P21),"")</f>
        <v/>
      </c>
      <c r="Q21" s="71" t="str">
        <f>IF(Q$2="Y",IF(MaGic_AVM_Land!Q21=0,"",MaGic_AVM_Land!Q21),"")</f>
        <v/>
      </c>
      <c r="R21" s="71" t="str">
        <f>IF(R$2="Y",IF(MaGic_AVM_Land!R21=0,"",MaGic_AVM_Land!R21),"")</f>
        <v/>
      </c>
      <c r="S21" s="71" t="str">
        <f>IF(S$2="Y",IF(MaGic_AVM_Land!S21=0,"",MaGic_AVM_Land!S21),"")</f>
        <v/>
      </c>
      <c r="T21" s="71" t="str">
        <f>IF(T$2="Y",IF(MaGic_AVM_Land!T21=0,"",MaGic_AVM_Land!T21),"")</f>
        <v/>
      </c>
      <c r="U21" s="71" t="str">
        <f>IF(U$2="Y",IF(MaGic_AVM_Land!U21=0,"",MaGic_AVM_Land!U21),"")</f>
        <v/>
      </c>
      <c r="V21" s="71" t="str">
        <f>IF(V$2="Y",IF(MaGic_AVM_Land!V21=0,"",MaGic_AVM_Land!V21),"")</f>
        <v/>
      </c>
      <c r="W21" s="71" t="str">
        <f>IF(W$2="Y",IF(MaGic_AVM_Land!W21=0,"",MaGic_AVM_Land!W21),"")</f>
        <v/>
      </c>
      <c r="X21" s="71" t="str">
        <f>IF(X$2="Y",IF(MaGic_AVM_Land!X21=0,"",MaGic_AVM_Land!X21),"")</f>
        <v/>
      </c>
      <c r="Y21" s="71" t="str">
        <f>IF(Y$2="Y",IF(MaGic_AVM_Land!Y21=0,"",MaGic_AVM_Land!Y21),"")</f>
        <v/>
      </c>
      <c r="Z21" s="71" t="str">
        <f>IF(Z$2="Y",IF(MaGic_AVM_Land!Z21=0,"",MaGic_AVM_Land!Z21),"")</f>
        <v/>
      </c>
      <c r="AA21" s="69" t="str">
        <f t="shared" si="2"/>
        <v/>
      </c>
      <c r="AB21" s="69" t="str" cm="1">
        <f t="array" ref="AB21">_xlfn.UNIQUE(C21:Z21,TRUE,FALSE)</f>
        <v/>
      </c>
    </row>
    <row r="22" spans="1:28">
      <c r="A22" s="70">
        <v>20</v>
      </c>
      <c r="B22" s="70" t="s">
        <v>82</v>
      </c>
      <c r="C22" s="71" t="str">
        <f>IF(C$2="Y",IF(MaGic_AVM_Land!C22=0,"",MaGic_AVM_Land!C22),"")</f>
        <v/>
      </c>
      <c r="D22" s="71" t="str">
        <f>IF(D$2="Y",IF(MaGic_AVM_Land!D22=0,"",MaGic_AVM_Land!D22),"")</f>
        <v/>
      </c>
      <c r="E22" s="71" t="str">
        <f>IF(E$2="Y",IF(MaGic_AVM_Land!E22=0,"",MaGic_AVM_Land!E22),"")</f>
        <v/>
      </c>
      <c r="F22" s="71" t="str">
        <f>IF(F$2="Y",IF(MaGic_AVM_Land!F22=0,"",MaGic_AVM_Land!F22),"")</f>
        <v/>
      </c>
      <c r="G22" s="71" t="str">
        <f>IF(G$2="Y",IF(MaGic_AVM_Land!G22=0,"",MaGic_AVM_Land!G22),"")</f>
        <v/>
      </c>
      <c r="H22" s="71" t="str">
        <f>IF(H$2="Y",IF(MaGic_AVM_Land!H22=0,"",MaGic_AVM_Land!H22),"")</f>
        <v/>
      </c>
      <c r="I22" s="71" t="str">
        <f>IF(I$2="Y",IF(MaGic_AVM_Land!I22=0,"",MaGic_AVM_Land!I22),"")</f>
        <v/>
      </c>
      <c r="J22" s="71" t="str">
        <f>IF(J$2="Y",IF(MaGic_AVM_Land!J22=0,"",MaGic_AVM_Land!J22),"")</f>
        <v/>
      </c>
      <c r="K22" s="71" t="str">
        <f>IF(K$2="Y",IF(MaGic_AVM_Land!K22=0,"",MaGic_AVM_Land!K22),"")</f>
        <v/>
      </c>
      <c r="L22" s="71" t="str">
        <f>IF(L$2="Y",IF(MaGic_AVM_Land!L22=0,"",MaGic_AVM_Land!L22),"")</f>
        <v/>
      </c>
      <c r="M22" s="71" t="str">
        <f>IF(M$2="Y",IF(MaGic_AVM_Land!M22=0,"",MaGic_AVM_Land!M22),"")</f>
        <v/>
      </c>
      <c r="N22" s="71" t="str">
        <f>IF(N$2="Y",IF(MaGic_AVM_Land!N22=0,"",MaGic_AVM_Land!N22),"")</f>
        <v/>
      </c>
      <c r="O22" s="71" t="str">
        <f>IF(O$2="Y",IF(MaGic_AVM_Land!O22=0,"",MaGic_AVM_Land!O22),"")</f>
        <v/>
      </c>
      <c r="P22" s="71" t="str">
        <f>IF(P$2="Y",IF(MaGic_AVM_Land!P22=0,"",MaGic_AVM_Land!P22),"")</f>
        <v/>
      </c>
      <c r="Q22" s="71" t="str">
        <f>IF(Q$2="Y",IF(MaGic_AVM_Land!Q22=0,"",MaGic_AVM_Land!Q22),"")</f>
        <v/>
      </c>
      <c r="R22" s="71" t="str">
        <f>IF(R$2="Y",IF(MaGic_AVM_Land!R22=0,"",MaGic_AVM_Land!R22),"")</f>
        <v/>
      </c>
      <c r="S22" s="71" t="str">
        <f>IF(S$2="Y",IF(MaGic_AVM_Land!S22=0,"",MaGic_AVM_Land!S22),"")</f>
        <v/>
      </c>
      <c r="T22" s="71" t="str">
        <f>IF(T$2="Y",IF(MaGic_AVM_Land!T22=0,"",MaGic_AVM_Land!T22),"")</f>
        <v/>
      </c>
      <c r="U22" s="71" t="str">
        <f>IF(U$2="Y",IF(MaGic_AVM_Land!U22=0,"",MaGic_AVM_Land!U22),"")</f>
        <v/>
      </c>
      <c r="V22" s="71" t="str">
        <f>IF(V$2="Y",IF(MaGic_AVM_Land!V22=0,"",MaGic_AVM_Land!V22),"")</f>
        <v/>
      </c>
      <c r="W22" s="71" t="str">
        <f>IF(W$2="Y",IF(MaGic_AVM_Land!W22=0,"",MaGic_AVM_Land!W22),"")</f>
        <v/>
      </c>
      <c r="X22" s="71" t="str">
        <f>IF(X$2="Y",IF(MaGic_AVM_Land!X22=0,"",MaGic_AVM_Land!X22),"")</f>
        <v/>
      </c>
      <c r="Y22" s="71" t="str">
        <f>IF(Y$2="Y",IF(MaGic_AVM_Land!Y22=0,"",MaGic_AVM_Land!Y22),"")</f>
        <v/>
      </c>
      <c r="Z22" s="71" t="str">
        <f>IF(Z$2="Y",IF(MaGic_AVM_Land!Z22=0,"",MaGic_AVM_Land!Z22),"")</f>
        <v/>
      </c>
      <c r="AA22" s="69" t="str">
        <f t="shared" si="2"/>
        <v/>
      </c>
      <c r="AB22" s="69" t="str" cm="1">
        <f t="array" ref="AB22">_xlfn.UNIQUE(C22:Z22,TRUE,FALSE)</f>
        <v/>
      </c>
    </row>
    <row r="23" spans="1:28">
      <c r="A23" s="70">
        <v>21</v>
      </c>
      <c r="B23" s="70" t="s">
        <v>83</v>
      </c>
      <c r="C23" s="70" t="str">
        <f>IF(C$2="Y",IF(MaGic_AVM_Land!C23=0,"",MaGic_AVM_Land!C23),"")</f>
        <v/>
      </c>
      <c r="D23" s="70" t="str">
        <f>IF(D$2="Y",IF(MaGic_AVM_Land!D23=0,"",MaGic_AVM_Land!D23),"")</f>
        <v/>
      </c>
      <c r="E23" s="70" t="str">
        <f>IF(E$2="Y",IF(MaGic_AVM_Land!E23=0,"",MaGic_AVM_Land!E23),"")</f>
        <v/>
      </c>
      <c r="F23" s="70" t="str">
        <f>IF(F$2="Y",IF(MaGic_AVM_Land!F23=0,"",MaGic_AVM_Land!F23),"")</f>
        <v/>
      </c>
      <c r="G23" s="70" t="str">
        <f>IF(G$2="Y",IF(MaGic_AVM_Land!G23=0,"",MaGic_AVM_Land!G23),"")</f>
        <v/>
      </c>
      <c r="H23" s="70" t="str">
        <f>IF(H$2="Y",IF(MaGic_AVM_Land!H23=0,"",MaGic_AVM_Land!H23),"")</f>
        <v/>
      </c>
      <c r="I23" s="70" t="str">
        <f>IF(I$2="Y",IF(MaGic_AVM_Land!I23=0,"",MaGic_AVM_Land!I23),"")</f>
        <v/>
      </c>
      <c r="J23" s="70" t="str">
        <f>IF(J$2="Y",IF(MaGic_AVM_Land!J23=0,"",MaGic_AVM_Land!J23),"")</f>
        <v/>
      </c>
      <c r="K23" s="70" t="str">
        <f>IF(K$2="Y",IF(MaGic_AVM_Land!K23=0,"",MaGic_AVM_Land!K23),"")</f>
        <v/>
      </c>
      <c r="L23" s="70" t="str">
        <f>IF(L$2="Y",IF(MaGic_AVM_Land!L23=0,"",MaGic_AVM_Land!L23),"")</f>
        <v/>
      </c>
      <c r="M23" s="70" t="str">
        <f>IF(M$2="Y",IF(MaGic_AVM_Land!M23=0,"",MaGic_AVM_Land!M23),"")</f>
        <v/>
      </c>
      <c r="N23" s="70" t="str">
        <f>IF(N$2="Y",IF(MaGic_AVM_Land!N23=0,"",MaGic_AVM_Land!N23),"")</f>
        <v/>
      </c>
      <c r="O23" s="70" t="str">
        <f>IF(O$2="Y",IF(MaGic_AVM_Land!O23=0,"",MaGic_AVM_Land!O23),"")</f>
        <v/>
      </c>
      <c r="P23" s="70" t="str">
        <f>IF(P$2="Y",IF(MaGic_AVM_Land!P23=0,"",MaGic_AVM_Land!P23),"")</f>
        <v/>
      </c>
      <c r="Q23" s="70" t="str">
        <f>IF(Q$2="Y",IF(MaGic_AVM_Land!Q23=0,"",MaGic_AVM_Land!Q23),"")</f>
        <v/>
      </c>
      <c r="R23" s="70" t="str">
        <f>IF(R$2="Y",IF(MaGic_AVM_Land!R23=0,"",MaGic_AVM_Land!R23),"")</f>
        <v/>
      </c>
      <c r="S23" s="70" t="str">
        <f>IF(S$2="Y",IF(MaGic_AVM_Land!S23=0,"",MaGic_AVM_Land!S23),"")</f>
        <v/>
      </c>
      <c r="T23" s="70" t="str">
        <f>IF(T$2="Y",IF(MaGic_AVM_Land!T23=0,"",MaGic_AVM_Land!T23),"")</f>
        <v/>
      </c>
      <c r="U23" s="70" t="str">
        <f>IF(U$2="Y",IF(MaGic_AVM_Land!U23=0,"",MaGic_AVM_Land!U23),"")</f>
        <v/>
      </c>
      <c r="V23" s="70" t="str">
        <f>IF(V$2="Y",IF(MaGic_AVM_Land!V23=0,"",MaGic_AVM_Land!V23),"")</f>
        <v/>
      </c>
      <c r="W23" s="70" t="str">
        <f>IF(W$2="Y",IF(MaGic_AVM_Land!W23=0,"",MaGic_AVM_Land!W23),"")</f>
        <v/>
      </c>
      <c r="X23" s="70" t="str">
        <f>IF(X$2="Y",IF(MaGic_AVM_Land!X23=0,"",MaGic_AVM_Land!X23),"")</f>
        <v/>
      </c>
      <c r="Y23" s="70" t="str">
        <f>IF(Y$2="Y",IF(MaGic_AVM_Land!Y23=0,"",MaGic_AVM_Land!Y23),"")</f>
        <v/>
      </c>
      <c r="Z23" s="70" t="str">
        <f>IF(Z$2="Y",IF(MaGic_AVM_Land!Z23=0,"",MaGic_AVM_Land!Z23),"")</f>
        <v/>
      </c>
      <c r="AA23" s="69">
        <f>SUM(C23:Z23)</f>
        <v>0</v>
      </c>
      <c r="AB23" s="69" t="str" cm="1">
        <f t="array" ref="AB23">_xlfn.UNIQUE(C23:Z23,TRUE,FALSE)</f>
        <v/>
      </c>
    </row>
    <row r="24" spans="1:28">
      <c r="A24" s="70">
        <v>22</v>
      </c>
      <c r="B24" s="70" t="s">
        <v>84</v>
      </c>
      <c r="C24" s="70" t="str">
        <f>IF(C$2="Y",IF(MaGic_AVM_Land!C24=0,"",MaGic_AVM_Land!C24),"")</f>
        <v/>
      </c>
      <c r="D24" s="70" t="str">
        <f>IF(D$2="Y",IF(MaGic_AVM_Land!D24=0,"",MaGic_AVM_Land!D24),"")</f>
        <v/>
      </c>
      <c r="E24" s="70" t="str">
        <f>IF(E$2="Y",IF(MaGic_AVM_Land!E24=0,"",MaGic_AVM_Land!E24),"")</f>
        <v/>
      </c>
      <c r="F24" s="70" t="str">
        <f>IF(F$2="Y",IF(MaGic_AVM_Land!F24=0,"",MaGic_AVM_Land!F24),"")</f>
        <v/>
      </c>
      <c r="G24" s="70" t="str">
        <f>IF(G$2="Y",IF(MaGic_AVM_Land!G24=0,"",MaGic_AVM_Land!G24),"")</f>
        <v/>
      </c>
      <c r="H24" s="70" t="str">
        <f>IF(H$2="Y",IF(MaGic_AVM_Land!H24=0,"",MaGic_AVM_Land!H24),"")</f>
        <v/>
      </c>
      <c r="I24" s="70" t="str">
        <f>IF(I$2="Y",IF(MaGic_AVM_Land!I24=0,"",MaGic_AVM_Land!I24),"")</f>
        <v/>
      </c>
      <c r="J24" s="70" t="str">
        <f>IF(J$2="Y",IF(MaGic_AVM_Land!J24=0,"",MaGic_AVM_Land!J24),"")</f>
        <v/>
      </c>
      <c r="K24" s="70" t="str">
        <f>IF(K$2="Y",IF(MaGic_AVM_Land!K24=0,"",MaGic_AVM_Land!K24),"")</f>
        <v/>
      </c>
      <c r="L24" s="70" t="str">
        <f>IF(L$2="Y",IF(MaGic_AVM_Land!L24=0,"",MaGic_AVM_Land!L24),"")</f>
        <v/>
      </c>
      <c r="M24" s="70" t="str">
        <f>IF(M$2="Y",IF(MaGic_AVM_Land!M24=0,"",MaGic_AVM_Land!M24),"")</f>
        <v/>
      </c>
      <c r="N24" s="70" t="str">
        <f>IF(N$2="Y",IF(MaGic_AVM_Land!N24=0,"",MaGic_AVM_Land!N24),"")</f>
        <v/>
      </c>
      <c r="O24" s="70" t="str">
        <f>IF(O$2="Y",IF(MaGic_AVM_Land!O24=0,"",MaGic_AVM_Land!O24),"")</f>
        <v/>
      </c>
      <c r="P24" s="70" t="str">
        <f>IF(P$2="Y",IF(MaGic_AVM_Land!P24=0,"",MaGic_AVM_Land!P24),"")</f>
        <v/>
      </c>
      <c r="Q24" s="70" t="str">
        <f>IF(Q$2="Y",IF(MaGic_AVM_Land!Q24=0,"",MaGic_AVM_Land!Q24),"")</f>
        <v/>
      </c>
      <c r="R24" s="70" t="str">
        <f>IF(R$2="Y",IF(MaGic_AVM_Land!R24=0,"",MaGic_AVM_Land!R24),"")</f>
        <v/>
      </c>
      <c r="S24" s="70" t="str">
        <f>IF(S$2="Y",IF(MaGic_AVM_Land!S24=0,"",MaGic_AVM_Land!S24),"")</f>
        <v/>
      </c>
      <c r="T24" s="70" t="str">
        <f>IF(T$2="Y",IF(MaGic_AVM_Land!T24=0,"",MaGic_AVM_Land!T24),"")</f>
        <v/>
      </c>
      <c r="U24" s="70" t="str">
        <f>IF(U$2="Y",IF(MaGic_AVM_Land!U24=0,"",MaGic_AVM_Land!U24),"")</f>
        <v/>
      </c>
      <c r="V24" s="70" t="str">
        <f>IF(V$2="Y",IF(MaGic_AVM_Land!V24=0,"",MaGic_AVM_Land!V24),"")</f>
        <v/>
      </c>
      <c r="W24" s="70" t="str">
        <f>IF(W$2="Y",IF(MaGic_AVM_Land!W24=0,"",MaGic_AVM_Land!W24),"")</f>
        <v/>
      </c>
      <c r="X24" s="70" t="str">
        <f>IF(X$2="Y",IF(MaGic_AVM_Land!X24=0,"",MaGic_AVM_Land!X24),"")</f>
        <v/>
      </c>
      <c r="Y24" s="70" t="str">
        <f>IF(Y$2="Y",IF(MaGic_AVM_Land!Y24=0,"",MaGic_AVM_Land!Y24),"")</f>
        <v/>
      </c>
      <c r="Z24" s="70" t="str">
        <f>IF(Z$2="Y",IF(MaGic_AVM_Land!Z24=0,"",MaGic_AVM_Land!Z24),"")</f>
        <v/>
      </c>
      <c r="AA24" s="69" t="str">
        <f>_xlfn.TEXTJOIN(", ",TRUE,AB24:AZ24)</f>
        <v/>
      </c>
      <c r="AB24" s="69" t="str" cm="1">
        <f t="array" ref="AB24">_xlfn.UNIQUE(C24:Z24,TRUE,FALSE)</f>
        <v/>
      </c>
    </row>
    <row r="25" spans="1:28">
      <c r="A25" s="70"/>
      <c r="B25" s="70" t="s">
        <v>168</v>
      </c>
      <c r="C25" s="70" t="str">
        <f>IF(C$2="Y",IF(MaGic_AVM_Land!C25=0,"",MaGic_AVM_Land!C25),"")</f>
        <v/>
      </c>
      <c r="D25" s="70" t="str">
        <f>IF(D$2="Y",IF(MaGic_AVM_Land!D25=0,"",MaGic_AVM_Land!D25),"")</f>
        <v/>
      </c>
      <c r="E25" s="70" t="str">
        <f>IF(E$2="Y",IF(MaGic_AVM_Land!E25=0,"",MaGic_AVM_Land!E25),"")</f>
        <v/>
      </c>
      <c r="F25" s="70" t="str">
        <f>IF(F$2="Y",IF(MaGic_AVM_Land!F25=0,"",MaGic_AVM_Land!F25),"")</f>
        <v/>
      </c>
      <c r="G25" s="70" t="str">
        <f>IF(G$2="Y",IF(MaGic_AVM_Land!G25=0,"",MaGic_AVM_Land!G25),"")</f>
        <v/>
      </c>
      <c r="H25" s="70" t="str">
        <f>IF(H$2="Y",IF(MaGic_AVM_Land!H25=0,"",MaGic_AVM_Land!H25),"")</f>
        <v/>
      </c>
      <c r="I25" s="70" t="str">
        <f>IF(I$2="Y",IF(MaGic_AVM_Land!I25=0,"",MaGic_AVM_Land!I25),"")</f>
        <v/>
      </c>
      <c r="J25" s="70" t="str">
        <f>IF(J$2="Y",IF(MaGic_AVM_Land!J25=0,"",MaGic_AVM_Land!J25),"")</f>
        <v/>
      </c>
      <c r="K25" s="70" t="str">
        <f>IF(K$2="Y",IF(MaGic_AVM_Land!K25=0,"",MaGic_AVM_Land!K25),"")</f>
        <v/>
      </c>
      <c r="L25" s="70" t="str">
        <f>IF(L$2="Y",IF(MaGic_AVM_Land!L25=0,"",MaGic_AVM_Land!L25),"")</f>
        <v/>
      </c>
      <c r="M25" s="70" t="str">
        <f>IF(M$2="Y",IF(MaGic_AVM_Land!M25=0,"",MaGic_AVM_Land!M25),"")</f>
        <v/>
      </c>
      <c r="N25" s="70" t="str">
        <f>IF(N$2="Y",IF(MaGic_AVM_Land!N25=0,"",MaGic_AVM_Land!N25),"")</f>
        <v/>
      </c>
      <c r="O25" s="70" t="str">
        <f>IF(O$2="Y",IF(MaGic_AVM_Land!O25=0,"",MaGic_AVM_Land!O25),"")</f>
        <v/>
      </c>
      <c r="P25" s="70" t="str">
        <f>IF(P$2="Y",IF(MaGic_AVM_Land!P25=0,"",MaGic_AVM_Land!P25),"")</f>
        <v/>
      </c>
      <c r="Q25" s="70" t="str">
        <f>IF(Q$2="Y",IF(MaGic_AVM_Land!Q25=0,"",MaGic_AVM_Land!Q25),"")</f>
        <v/>
      </c>
      <c r="R25" s="70" t="str">
        <f>IF(R$2="Y",IF(MaGic_AVM_Land!R25=0,"",MaGic_AVM_Land!R25),"")</f>
        <v/>
      </c>
      <c r="S25" s="70" t="str">
        <f>IF(S$2="Y",IF(MaGic_AVM_Land!S25=0,"",MaGic_AVM_Land!S25),"")</f>
        <v/>
      </c>
      <c r="T25" s="70" t="str">
        <f>IF(T$2="Y",IF(MaGic_AVM_Land!T25=0,"",MaGic_AVM_Land!T25),"")</f>
        <v/>
      </c>
      <c r="U25" s="70" t="str">
        <f>IF(U$2="Y",IF(MaGic_AVM_Land!U25=0,"",MaGic_AVM_Land!U25),"")</f>
        <v/>
      </c>
      <c r="V25" s="70" t="str">
        <f>IF(V$2="Y",IF(MaGic_AVM_Land!V25=0,"",MaGic_AVM_Land!V25),"")</f>
        <v/>
      </c>
      <c r="W25" s="70" t="str">
        <f>IF(W$2="Y",IF(MaGic_AVM_Land!W25=0,"",MaGic_AVM_Land!W25),"")</f>
        <v/>
      </c>
      <c r="X25" s="70" t="str">
        <f>IF(X$2="Y",IF(MaGic_AVM_Land!X25=0,"",MaGic_AVM_Land!X25),"")</f>
        <v/>
      </c>
      <c r="Y25" s="70" t="str">
        <f>IF(Y$2="Y",IF(MaGic_AVM_Land!Y25=0,"",MaGic_AVM_Land!Y25),"")</f>
        <v/>
      </c>
      <c r="Z25" s="70" t="str">
        <f>IF(Z$2="Y",IF(MaGic_AVM_Land!Z25=0,"",MaGic_AVM_Land!Z25),"")</f>
        <v/>
      </c>
      <c r="AB25" s="69" t="str" cm="1">
        <f t="array" ref="AB25">_xlfn.UNIQUE(C25:Z25,TRUE,FALSE)</f>
        <v/>
      </c>
    </row>
    <row r="26" spans="1:28" s="68" customFormat="1">
      <c r="A26" s="72">
        <v>24</v>
      </c>
      <c r="B26" s="72" t="s">
        <v>91</v>
      </c>
      <c r="C26" s="72" t="str">
        <f>IF(C$2="Y",IF(MaGic_AVM_Land!C26=0,"",MaGic_AVM_Land!C26),"")</f>
        <v/>
      </c>
      <c r="D26" s="72" t="str">
        <f>IF(D$2="Y",IF(MaGic_AVM_Land!D26=0,"",MaGic_AVM_Land!D26),"")</f>
        <v/>
      </c>
      <c r="E26" s="72" t="str">
        <f>IF(E$2="Y",IF(MaGic_AVM_Land!E26=0,"",MaGic_AVM_Land!E26),"")</f>
        <v/>
      </c>
      <c r="F26" s="72" t="str">
        <f>IF(F$2="Y",IF(MaGic_AVM_Land!F26=0,"",MaGic_AVM_Land!F26),"")</f>
        <v/>
      </c>
      <c r="G26" s="72" t="str">
        <f>IF(G$2="Y",IF(MaGic_AVM_Land!G26=0,"",MaGic_AVM_Land!G26),"")</f>
        <v/>
      </c>
      <c r="H26" s="72" t="str">
        <f>IF(H$2="Y",IF(MaGic_AVM_Land!H26=0,"",MaGic_AVM_Land!H26),"")</f>
        <v/>
      </c>
      <c r="I26" s="72" t="str">
        <f>IF(I$2="Y",IF(MaGic_AVM_Land!I26=0,"",MaGic_AVM_Land!I26),"")</f>
        <v/>
      </c>
      <c r="J26" s="72" t="str">
        <f>IF(J$2="Y",IF(MaGic_AVM_Land!J26=0,"",MaGic_AVM_Land!J26),"")</f>
        <v/>
      </c>
      <c r="K26" s="72" t="str">
        <f>IF(K$2="Y",IF(MaGic_AVM_Land!K26=0,"",MaGic_AVM_Land!K26),"")</f>
        <v/>
      </c>
      <c r="L26" s="72" t="str">
        <f>IF(L$2="Y",IF(MaGic_AVM_Land!L26=0,"",MaGic_AVM_Land!L26),"")</f>
        <v/>
      </c>
      <c r="M26" s="72" t="str">
        <f>IF(M$2="Y",IF(MaGic_AVM_Land!M26=0,"",MaGic_AVM_Land!M26),"")</f>
        <v/>
      </c>
      <c r="N26" s="72" t="str">
        <f>IF(N$2="Y",IF(MaGic_AVM_Land!N26=0,"",MaGic_AVM_Land!N26),"")</f>
        <v/>
      </c>
      <c r="O26" s="72" t="str">
        <f>IF(O$2="Y",IF(MaGic_AVM_Land!O26=0,"",MaGic_AVM_Land!O26),"")</f>
        <v/>
      </c>
      <c r="P26" s="72" t="str">
        <f>IF(P$2="Y",IF(MaGic_AVM_Land!P26=0,"",MaGic_AVM_Land!P26),"")</f>
        <v/>
      </c>
      <c r="Q26" s="72" t="str">
        <f>IF(Q$2="Y",IF(MaGic_AVM_Land!Q26=0,"",MaGic_AVM_Land!Q26),"")</f>
        <v/>
      </c>
      <c r="R26" s="72" t="str">
        <f>IF(R$2="Y",IF(MaGic_AVM_Land!R26=0,"",MaGic_AVM_Land!R26),"")</f>
        <v/>
      </c>
      <c r="S26" s="72" t="str">
        <f>IF(S$2="Y",IF(MaGic_AVM_Land!S26=0,"",MaGic_AVM_Land!S26),"")</f>
        <v/>
      </c>
      <c r="T26" s="72" t="str">
        <f>IF(T$2="Y",IF(MaGic_AVM_Land!T26=0,"",MaGic_AVM_Land!T26),"")</f>
        <v/>
      </c>
      <c r="U26" s="72" t="str">
        <f>IF(U$2="Y",IF(MaGic_AVM_Land!U26=0,"",MaGic_AVM_Land!U26),"")</f>
        <v/>
      </c>
      <c r="V26" s="72" t="str">
        <f>IF(V$2="Y",IF(MaGic_AVM_Land!V26=0,"",MaGic_AVM_Land!V26),"")</f>
        <v/>
      </c>
      <c r="W26" s="72" t="str">
        <f>IF(W$2="Y",IF(MaGic_AVM_Land!W26=0,"",MaGic_AVM_Land!W26),"")</f>
        <v/>
      </c>
      <c r="X26" s="72" t="str">
        <f>IF(X$2="Y",IF(MaGic_AVM_Land!X26=0,"",MaGic_AVM_Land!X26),"")</f>
        <v/>
      </c>
      <c r="Y26" s="72" t="str">
        <f>IF(Y$2="Y",IF(MaGic_AVM_Land!Y26=0,"",MaGic_AVM_Land!Y26),"")</f>
        <v/>
      </c>
      <c r="Z26" s="72" t="str">
        <f>IF(Z$2="Y",IF(MaGic_AVM_Land!Z26=0,"",MaGic_AVM_Land!Z26),"")</f>
        <v/>
      </c>
      <c r="AA26" s="68" t="str">
        <f>_xlfn.TEXTJOIN(" ,",TRUE,AB26:AZ26)</f>
        <v/>
      </c>
      <c r="AB26" s="68" t="str" cm="1">
        <f t="array" ref="AB26">_xlfn.UNIQUE(C26:Z26,TRUE,FALSE)</f>
        <v/>
      </c>
    </row>
    <row r="27" spans="1:28" s="68" customFormat="1">
      <c r="A27" s="72">
        <v>25</v>
      </c>
      <c r="B27" s="72" t="s">
        <v>94</v>
      </c>
      <c r="C27" s="72" t="str">
        <f>IF(C$2="Y",IF(MaGic_AVM_Land!C27=0,"",MaGic_AVM_Land!C27),"")</f>
        <v/>
      </c>
      <c r="D27" s="72" t="str">
        <f>IF(D$2="Y",IF(MaGic_AVM_Land!D27=0,"",MaGic_AVM_Land!D27),"")</f>
        <v/>
      </c>
      <c r="E27" s="72" t="str">
        <f>IF(E$2="Y",IF(MaGic_AVM_Land!E27=0,"",MaGic_AVM_Land!E27),"")</f>
        <v/>
      </c>
      <c r="F27" s="72" t="str">
        <f>IF(F$2="Y",IF(MaGic_AVM_Land!F27=0,"",MaGic_AVM_Land!F27),"")</f>
        <v/>
      </c>
      <c r="G27" s="72" t="str">
        <f>IF(G$2="Y",IF(MaGic_AVM_Land!G27=0,"",MaGic_AVM_Land!G27),"")</f>
        <v/>
      </c>
      <c r="H27" s="72" t="str">
        <f>IF(H$2="Y",IF(MaGic_AVM_Land!H27=0,"",MaGic_AVM_Land!H27),"")</f>
        <v/>
      </c>
      <c r="I27" s="72" t="str">
        <f>IF(I$2="Y",IF(MaGic_AVM_Land!I27=0,"",MaGic_AVM_Land!I27),"")</f>
        <v/>
      </c>
      <c r="J27" s="72" t="str">
        <f>IF(J$2="Y",IF(MaGic_AVM_Land!J27=0,"",MaGic_AVM_Land!J27),"")</f>
        <v/>
      </c>
      <c r="K27" s="72" t="str">
        <f>IF(K$2="Y",IF(MaGic_AVM_Land!K27=0,"",MaGic_AVM_Land!K27),"")</f>
        <v/>
      </c>
      <c r="L27" s="72" t="str">
        <f>IF(L$2="Y",IF(MaGic_AVM_Land!L27=0,"",MaGic_AVM_Land!L27),"")</f>
        <v/>
      </c>
      <c r="M27" s="72" t="str">
        <f>IF(M$2="Y",IF(MaGic_AVM_Land!M27=0,"",MaGic_AVM_Land!M27),"")</f>
        <v/>
      </c>
      <c r="N27" s="72" t="str">
        <f>IF(N$2="Y",IF(MaGic_AVM_Land!N27=0,"",MaGic_AVM_Land!N27),"")</f>
        <v/>
      </c>
      <c r="O27" s="72" t="str">
        <f>IF(O$2="Y",IF(MaGic_AVM_Land!O27=0,"",MaGic_AVM_Land!O27),"")</f>
        <v/>
      </c>
      <c r="P27" s="72" t="str">
        <f>IF(P$2="Y",IF(MaGic_AVM_Land!P27=0,"",MaGic_AVM_Land!P27),"")</f>
        <v/>
      </c>
      <c r="Q27" s="72" t="str">
        <f>IF(Q$2="Y",IF(MaGic_AVM_Land!Q27=0,"",MaGic_AVM_Land!Q27),"")</f>
        <v/>
      </c>
      <c r="R27" s="72" t="str">
        <f>IF(R$2="Y",IF(MaGic_AVM_Land!R27=0,"",MaGic_AVM_Land!R27),"")</f>
        <v/>
      </c>
      <c r="S27" s="72" t="str">
        <f>IF(S$2="Y",IF(MaGic_AVM_Land!S27=0,"",MaGic_AVM_Land!S27),"")</f>
        <v/>
      </c>
      <c r="T27" s="72" t="str">
        <f>IF(T$2="Y",IF(MaGic_AVM_Land!T27=0,"",MaGic_AVM_Land!T27),"")</f>
        <v/>
      </c>
      <c r="U27" s="72" t="str">
        <f>IF(U$2="Y",IF(MaGic_AVM_Land!U27=0,"",MaGic_AVM_Land!U27),"")</f>
        <v/>
      </c>
      <c r="V27" s="72" t="str">
        <f>IF(V$2="Y",IF(MaGic_AVM_Land!V27=0,"",MaGic_AVM_Land!V27),"")</f>
        <v/>
      </c>
      <c r="W27" s="72" t="str">
        <f>IF(W$2="Y",IF(MaGic_AVM_Land!W27=0,"",MaGic_AVM_Land!W27),"")</f>
        <v/>
      </c>
      <c r="X27" s="72" t="str">
        <f>IF(X$2="Y",IF(MaGic_AVM_Land!X27=0,"",MaGic_AVM_Land!X27),"")</f>
        <v/>
      </c>
      <c r="Y27" s="72" t="str">
        <f>IF(Y$2="Y",IF(MaGic_AVM_Land!Y27=0,"",MaGic_AVM_Land!Y27),"")</f>
        <v/>
      </c>
      <c r="Z27" s="72" t="str">
        <f>IF(Z$2="Y",IF(MaGic_AVM_Land!Z27=0,"",MaGic_AVM_Land!Z27),"")</f>
        <v/>
      </c>
      <c r="AA27" s="68" t="str">
        <f t="shared" ref="AA27:AA31" si="3">_xlfn.TEXTJOIN(" ,",TRUE,AB27:AZ27)</f>
        <v/>
      </c>
      <c r="AB27" s="68" t="str" cm="1">
        <f t="array" ref="AB27">_xlfn.UNIQUE(C27:Z27,TRUE,FALSE)</f>
        <v/>
      </c>
    </row>
    <row r="28" spans="1:28" s="68" customFormat="1">
      <c r="A28" s="72">
        <v>26</v>
      </c>
      <c r="B28" s="72" t="s">
        <v>97</v>
      </c>
      <c r="C28" s="72" t="str">
        <f>IF(C$2="Y",IF(MaGic_AVM_Land!C28=0,"",MaGic_AVM_Land!C28),"")</f>
        <v/>
      </c>
      <c r="D28" s="72" t="str">
        <f>IF(D$2="Y",IF(MaGic_AVM_Land!D28=0,"",MaGic_AVM_Land!D28),"")</f>
        <v/>
      </c>
      <c r="E28" s="72" t="str">
        <f>IF(E$2="Y",IF(MaGic_AVM_Land!E28=0,"",MaGic_AVM_Land!E28),"")</f>
        <v/>
      </c>
      <c r="F28" s="72" t="str">
        <f>IF(F$2="Y",IF(MaGic_AVM_Land!F28=0,"",MaGic_AVM_Land!F28),"")</f>
        <v/>
      </c>
      <c r="G28" s="72" t="str">
        <f>IF(G$2="Y",IF(MaGic_AVM_Land!G28=0,"",MaGic_AVM_Land!G28),"")</f>
        <v/>
      </c>
      <c r="H28" s="72" t="str">
        <f>IF(H$2="Y",IF(MaGic_AVM_Land!H28=0,"",MaGic_AVM_Land!H28),"")</f>
        <v/>
      </c>
      <c r="I28" s="72" t="str">
        <f>IF(I$2="Y",IF(MaGic_AVM_Land!I28=0,"",MaGic_AVM_Land!I28),"")</f>
        <v/>
      </c>
      <c r="J28" s="72" t="str">
        <f>IF(J$2="Y",IF(MaGic_AVM_Land!J28=0,"",MaGic_AVM_Land!J28),"")</f>
        <v/>
      </c>
      <c r="K28" s="72" t="str">
        <f>IF(K$2="Y",IF(MaGic_AVM_Land!K28=0,"",MaGic_AVM_Land!K28),"")</f>
        <v/>
      </c>
      <c r="L28" s="72" t="str">
        <f>IF(L$2="Y",IF(MaGic_AVM_Land!L28=0,"",MaGic_AVM_Land!L28),"")</f>
        <v/>
      </c>
      <c r="M28" s="72" t="str">
        <f>IF(M$2="Y",IF(MaGic_AVM_Land!M28=0,"",MaGic_AVM_Land!M28),"")</f>
        <v/>
      </c>
      <c r="N28" s="72" t="str">
        <f>IF(N$2="Y",IF(MaGic_AVM_Land!N28=0,"",MaGic_AVM_Land!N28),"")</f>
        <v/>
      </c>
      <c r="O28" s="72" t="str">
        <f>IF(O$2="Y",IF(MaGic_AVM_Land!O28=0,"",MaGic_AVM_Land!O28),"")</f>
        <v/>
      </c>
      <c r="P28" s="72" t="str">
        <f>IF(P$2="Y",IF(MaGic_AVM_Land!P28=0,"",MaGic_AVM_Land!P28),"")</f>
        <v/>
      </c>
      <c r="Q28" s="72" t="str">
        <f>IF(Q$2="Y",IF(MaGic_AVM_Land!Q28=0,"",MaGic_AVM_Land!Q28),"")</f>
        <v/>
      </c>
      <c r="R28" s="72" t="str">
        <f>IF(R$2="Y",IF(MaGic_AVM_Land!R28=0,"",MaGic_AVM_Land!R28),"")</f>
        <v/>
      </c>
      <c r="S28" s="72" t="str">
        <f>IF(S$2="Y",IF(MaGic_AVM_Land!S28=0,"",MaGic_AVM_Land!S28),"")</f>
        <v/>
      </c>
      <c r="T28" s="72" t="str">
        <f>IF(T$2="Y",IF(MaGic_AVM_Land!T28=0,"",MaGic_AVM_Land!T28),"")</f>
        <v/>
      </c>
      <c r="U28" s="72" t="str">
        <f>IF(U$2="Y",IF(MaGic_AVM_Land!U28=0,"",MaGic_AVM_Land!U28),"")</f>
        <v/>
      </c>
      <c r="V28" s="72" t="str">
        <f>IF(V$2="Y",IF(MaGic_AVM_Land!V28=0,"",MaGic_AVM_Land!V28),"")</f>
        <v/>
      </c>
      <c r="W28" s="72" t="str">
        <f>IF(W$2="Y",IF(MaGic_AVM_Land!W28=0,"",MaGic_AVM_Land!W28),"")</f>
        <v/>
      </c>
      <c r="X28" s="72" t="str">
        <f>IF(X$2="Y",IF(MaGic_AVM_Land!X28=0,"",MaGic_AVM_Land!X28),"")</f>
        <v/>
      </c>
      <c r="Y28" s="72" t="str">
        <f>IF(Y$2="Y",IF(MaGic_AVM_Land!Y28=0,"",MaGic_AVM_Land!Y28),"")</f>
        <v/>
      </c>
      <c r="Z28" s="72" t="str">
        <f>IF(Z$2="Y",IF(MaGic_AVM_Land!Z28=0,"",MaGic_AVM_Land!Z28),"")</f>
        <v/>
      </c>
      <c r="AA28" s="68" t="str">
        <f t="shared" si="3"/>
        <v/>
      </c>
      <c r="AB28" s="68" t="str" cm="1">
        <f t="array" ref="AB28">_xlfn.UNIQUE(C28:Z28,TRUE,FALSE)</f>
        <v/>
      </c>
    </row>
    <row r="29" spans="1:28" s="68" customFormat="1">
      <c r="A29" s="72">
        <v>27</v>
      </c>
      <c r="B29" s="72" t="s">
        <v>100</v>
      </c>
      <c r="C29" s="72" t="str">
        <f>IF(C$2="Y",IF(MaGic_AVM_Land!C29=0,"",MaGic_AVM_Land!C29),"")</f>
        <v/>
      </c>
      <c r="D29" s="72" t="str">
        <f>IF(D$2="Y",IF(MaGic_AVM_Land!D29=0,"",MaGic_AVM_Land!D29),"")</f>
        <v/>
      </c>
      <c r="E29" s="72" t="str">
        <f>IF(E$2="Y",IF(MaGic_AVM_Land!E29=0,"",MaGic_AVM_Land!E29),"")</f>
        <v/>
      </c>
      <c r="F29" s="72" t="str">
        <f>IF(F$2="Y",IF(MaGic_AVM_Land!F29=0,"",MaGic_AVM_Land!F29),"")</f>
        <v/>
      </c>
      <c r="G29" s="72" t="str">
        <f>IF(G$2="Y",IF(MaGic_AVM_Land!G29=0,"",MaGic_AVM_Land!G29),"")</f>
        <v/>
      </c>
      <c r="H29" s="72" t="str">
        <f>IF(H$2="Y",IF(MaGic_AVM_Land!H29=0,"",MaGic_AVM_Land!H29),"")</f>
        <v/>
      </c>
      <c r="I29" s="72" t="str">
        <f>IF(I$2="Y",IF(MaGic_AVM_Land!I29=0,"",MaGic_AVM_Land!I29),"")</f>
        <v/>
      </c>
      <c r="J29" s="72" t="str">
        <f>IF(J$2="Y",IF(MaGic_AVM_Land!J29=0,"",MaGic_AVM_Land!J29),"")</f>
        <v/>
      </c>
      <c r="K29" s="72" t="str">
        <f>IF(K$2="Y",IF(MaGic_AVM_Land!K29=0,"",MaGic_AVM_Land!K29),"")</f>
        <v/>
      </c>
      <c r="L29" s="72" t="str">
        <f>IF(L$2="Y",IF(MaGic_AVM_Land!L29=0,"",MaGic_AVM_Land!L29),"")</f>
        <v/>
      </c>
      <c r="M29" s="72" t="str">
        <f>IF(M$2="Y",IF(MaGic_AVM_Land!M29=0,"",MaGic_AVM_Land!M29),"")</f>
        <v/>
      </c>
      <c r="N29" s="72" t="str">
        <f>IF(N$2="Y",IF(MaGic_AVM_Land!N29=0,"",MaGic_AVM_Land!N29),"")</f>
        <v/>
      </c>
      <c r="O29" s="72" t="str">
        <f>IF(O$2="Y",IF(MaGic_AVM_Land!O29=0,"",MaGic_AVM_Land!O29),"")</f>
        <v/>
      </c>
      <c r="P29" s="72" t="str">
        <f>IF(P$2="Y",IF(MaGic_AVM_Land!P29=0,"",MaGic_AVM_Land!P29),"")</f>
        <v/>
      </c>
      <c r="Q29" s="72" t="str">
        <f>IF(Q$2="Y",IF(MaGic_AVM_Land!Q29=0,"",MaGic_AVM_Land!Q29),"")</f>
        <v/>
      </c>
      <c r="R29" s="72" t="str">
        <f>IF(R$2="Y",IF(MaGic_AVM_Land!R29=0,"",MaGic_AVM_Land!R29),"")</f>
        <v/>
      </c>
      <c r="S29" s="72" t="str">
        <f>IF(S$2="Y",IF(MaGic_AVM_Land!S29=0,"",MaGic_AVM_Land!S29),"")</f>
        <v/>
      </c>
      <c r="T29" s="72" t="str">
        <f>IF(T$2="Y",IF(MaGic_AVM_Land!T29=0,"",MaGic_AVM_Land!T29),"")</f>
        <v/>
      </c>
      <c r="U29" s="72" t="str">
        <f>IF(U$2="Y",IF(MaGic_AVM_Land!U29=0,"",MaGic_AVM_Land!U29),"")</f>
        <v/>
      </c>
      <c r="V29" s="72" t="str">
        <f>IF(V$2="Y",IF(MaGic_AVM_Land!V29=0,"",MaGic_AVM_Land!V29),"")</f>
        <v/>
      </c>
      <c r="W29" s="72" t="str">
        <f>IF(W$2="Y",IF(MaGic_AVM_Land!W29=0,"",MaGic_AVM_Land!W29),"")</f>
        <v/>
      </c>
      <c r="X29" s="72" t="str">
        <f>IF(X$2="Y",IF(MaGic_AVM_Land!X29=0,"",MaGic_AVM_Land!X29),"")</f>
        <v/>
      </c>
      <c r="Y29" s="72" t="str">
        <f>IF(Y$2="Y",IF(MaGic_AVM_Land!Y29=0,"",MaGic_AVM_Land!Y29),"")</f>
        <v/>
      </c>
      <c r="Z29" s="72" t="str">
        <f>IF(Z$2="Y",IF(MaGic_AVM_Land!Z29=0,"",MaGic_AVM_Land!Z29),"")</f>
        <v/>
      </c>
      <c r="AA29" s="68" t="str">
        <f t="shared" si="3"/>
        <v/>
      </c>
      <c r="AB29" s="68" t="str" cm="1">
        <f t="array" ref="AB29">_xlfn.UNIQUE(C29:Z29,TRUE,FALSE)</f>
        <v/>
      </c>
    </row>
    <row r="30" spans="1:28">
      <c r="A30" s="70">
        <v>28</v>
      </c>
      <c r="B30" s="70" t="s">
        <v>175</v>
      </c>
      <c r="C30" s="70" t="str">
        <f>IF(C$2="Y",IF(MaGic_AVM_Land!C30=0,"",MaGic_AVM_Land!C30),"")</f>
        <v/>
      </c>
      <c r="D30" s="70" t="str">
        <f>IF(D$2="Y",IF(MaGic_AVM_Land!D30=0,"",MaGic_AVM_Land!D30),"")</f>
        <v/>
      </c>
      <c r="E30" s="70" t="str">
        <f>IF(E$2="Y",IF(MaGic_AVM_Land!E30=0,"",MaGic_AVM_Land!E30),"")</f>
        <v/>
      </c>
      <c r="F30" s="70" t="str">
        <f>IF(F$2="Y",IF(MaGic_AVM_Land!F30=0,"",MaGic_AVM_Land!F30),"")</f>
        <v/>
      </c>
      <c r="G30" s="70" t="str">
        <f>IF(G$2="Y",IF(MaGic_AVM_Land!G30=0,"",MaGic_AVM_Land!G30),"")</f>
        <v/>
      </c>
      <c r="H30" s="70" t="str">
        <f>IF(H$2="Y",IF(MaGic_AVM_Land!H30=0,"",MaGic_AVM_Land!H30),"")</f>
        <v/>
      </c>
      <c r="I30" s="70" t="str">
        <f>IF(I$2="Y",IF(MaGic_AVM_Land!I30=0,"",MaGic_AVM_Land!I30),"")</f>
        <v/>
      </c>
      <c r="J30" s="70" t="str">
        <f>IF(J$2="Y",IF(MaGic_AVM_Land!J30=0,"",MaGic_AVM_Land!J30),"")</f>
        <v/>
      </c>
      <c r="K30" s="70" t="str">
        <f>IF(K$2="Y",IF(MaGic_AVM_Land!K30=0,"",MaGic_AVM_Land!K30),"")</f>
        <v/>
      </c>
      <c r="L30" s="70" t="str">
        <f>IF(L$2="Y",IF(MaGic_AVM_Land!L30=0,"",MaGic_AVM_Land!L30),"")</f>
        <v/>
      </c>
      <c r="M30" s="70" t="str">
        <f>IF(M$2="Y",IF(MaGic_AVM_Land!M30=0,"",MaGic_AVM_Land!M30),"")</f>
        <v/>
      </c>
      <c r="N30" s="70" t="str">
        <f>IF(N$2="Y",IF(MaGic_AVM_Land!N30=0,"",MaGic_AVM_Land!N30),"")</f>
        <v/>
      </c>
      <c r="O30" s="70" t="str">
        <f>IF(O$2="Y",IF(MaGic_AVM_Land!O30=0,"",MaGic_AVM_Land!O30),"")</f>
        <v/>
      </c>
      <c r="P30" s="70" t="str">
        <f>IF(P$2="Y",IF(MaGic_AVM_Land!P30=0,"",MaGic_AVM_Land!P30),"")</f>
        <v/>
      </c>
      <c r="Q30" s="70" t="str">
        <f>IF(Q$2="Y",IF(MaGic_AVM_Land!Q30=0,"",MaGic_AVM_Land!Q30),"")</f>
        <v/>
      </c>
      <c r="R30" s="70" t="str">
        <f>IF(R$2="Y",IF(MaGic_AVM_Land!R30=0,"",MaGic_AVM_Land!R30),"")</f>
        <v/>
      </c>
      <c r="S30" s="70" t="str">
        <f>IF(S$2="Y",IF(MaGic_AVM_Land!S30=0,"",MaGic_AVM_Land!S30),"")</f>
        <v/>
      </c>
      <c r="T30" s="70" t="str">
        <f>IF(T$2="Y",IF(MaGic_AVM_Land!T30=0,"",MaGic_AVM_Land!T30),"")</f>
        <v/>
      </c>
      <c r="U30" s="70" t="str">
        <f>IF(U$2="Y",IF(MaGic_AVM_Land!U30=0,"",MaGic_AVM_Land!U30),"")</f>
        <v/>
      </c>
      <c r="V30" s="70" t="str">
        <f>IF(V$2="Y",IF(MaGic_AVM_Land!V30=0,"",MaGic_AVM_Land!V30),"")</f>
        <v/>
      </c>
      <c r="W30" s="70" t="str">
        <f>IF(W$2="Y",IF(MaGic_AVM_Land!W30=0,"",MaGic_AVM_Land!W30),"")</f>
        <v/>
      </c>
      <c r="X30" s="70" t="str">
        <f>IF(X$2="Y",IF(MaGic_AVM_Land!X30=0,"",MaGic_AVM_Land!X30),"")</f>
        <v/>
      </c>
      <c r="Y30" s="70" t="str">
        <f>IF(Y$2="Y",IF(MaGic_AVM_Land!Y30=0,"",MaGic_AVM_Land!Y30),"")</f>
        <v/>
      </c>
      <c r="Z30" s="70" t="str">
        <f>IF(Z$2="Y",IF(MaGic_AVM_Land!Z30=0,"",MaGic_AVM_Land!Z30),"")</f>
        <v/>
      </c>
      <c r="AA30" s="68" t="str">
        <f t="shared" si="3"/>
        <v/>
      </c>
      <c r="AB30" s="69" t="str" cm="1">
        <f t="array" ref="AB30">_xlfn.UNIQUE(C30:Z30,TRUE,FALSE)</f>
        <v/>
      </c>
    </row>
    <row r="31" spans="1:28">
      <c r="A31" s="70">
        <v>29</v>
      </c>
      <c r="B31" s="70" t="s">
        <v>1103</v>
      </c>
      <c r="C31" s="70" t="str">
        <f>IF(C$2="Y",IF(MaGic_AVM_Land!C31=0,"",MaGic_AVM_Land!C31),"")</f>
        <v/>
      </c>
      <c r="D31" s="70" t="str">
        <f>IF(D$2="Y",IF(MaGic_AVM_Land!D31=0,"",MaGic_AVM_Land!D31),"")</f>
        <v/>
      </c>
      <c r="E31" s="70" t="str">
        <f>IF(E$2="Y",IF(MaGic_AVM_Land!E31=0,"",MaGic_AVM_Land!E31),"")</f>
        <v/>
      </c>
      <c r="F31" s="70" t="str">
        <f>IF(F$2="Y",IF(MaGic_AVM_Land!F31=0,"",MaGic_AVM_Land!F31),"")</f>
        <v/>
      </c>
      <c r="G31" s="70" t="str">
        <f>IF(G$2="Y",IF(MaGic_AVM_Land!G31=0,"",MaGic_AVM_Land!G31),"")</f>
        <v/>
      </c>
      <c r="H31" s="70" t="str">
        <f>IF(H$2="Y",IF(MaGic_AVM_Land!H31=0,"",MaGic_AVM_Land!H31),"")</f>
        <v/>
      </c>
      <c r="I31" s="70" t="str">
        <f>IF(I$2="Y",IF(MaGic_AVM_Land!I31=0,"",MaGic_AVM_Land!I31),"")</f>
        <v/>
      </c>
      <c r="J31" s="70" t="str">
        <f>IF(J$2="Y",IF(MaGic_AVM_Land!J31=0,"",MaGic_AVM_Land!J31),"")</f>
        <v/>
      </c>
      <c r="K31" s="70" t="str">
        <f>IF(K$2="Y",IF(MaGic_AVM_Land!K31=0,"",MaGic_AVM_Land!K31),"")</f>
        <v/>
      </c>
      <c r="L31" s="70" t="str">
        <f>IF(L$2="Y",IF(MaGic_AVM_Land!L31=0,"",MaGic_AVM_Land!L31),"")</f>
        <v/>
      </c>
      <c r="M31" s="70" t="str">
        <f>IF(M$2="Y",IF(MaGic_AVM_Land!M31=0,"",MaGic_AVM_Land!M31),"")</f>
        <v/>
      </c>
      <c r="N31" s="70" t="str">
        <f>IF(N$2="Y",IF(MaGic_AVM_Land!N31=0,"",MaGic_AVM_Land!N31),"")</f>
        <v/>
      </c>
      <c r="O31" s="70" t="str">
        <f>IF(O$2="Y",IF(MaGic_AVM_Land!O31=0,"",MaGic_AVM_Land!O31),"")</f>
        <v/>
      </c>
      <c r="P31" s="70" t="str">
        <f>IF(P$2="Y",IF(MaGic_AVM_Land!P31=0,"",MaGic_AVM_Land!P31),"")</f>
        <v/>
      </c>
      <c r="Q31" s="70" t="str">
        <f>IF(Q$2="Y",IF(MaGic_AVM_Land!Q31=0,"",MaGic_AVM_Land!Q31),"")</f>
        <v/>
      </c>
      <c r="R31" s="70" t="str">
        <f>IF(R$2="Y",IF(MaGic_AVM_Land!R31=0,"",MaGic_AVM_Land!R31),"")</f>
        <v/>
      </c>
      <c r="S31" s="70" t="str">
        <f>IF(S$2="Y",IF(MaGic_AVM_Land!S31=0,"",MaGic_AVM_Land!S31),"")</f>
        <v/>
      </c>
      <c r="T31" s="70" t="str">
        <f>IF(T$2="Y",IF(MaGic_AVM_Land!T31=0,"",MaGic_AVM_Land!T31),"")</f>
        <v/>
      </c>
      <c r="U31" s="70" t="str">
        <f>IF(U$2="Y",IF(MaGic_AVM_Land!U31=0,"",MaGic_AVM_Land!U31),"")</f>
        <v/>
      </c>
      <c r="V31" s="70" t="str">
        <f>IF(V$2="Y",IF(MaGic_AVM_Land!V31=0,"",MaGic_AVM_Land!V31),"")</f>
        <v/>
      </c>
      <c r="W31" s="70" t="str">
        <f>IF(W$2="Y",IF(MaGic_AVM_Land!W31=0,"",MaGic_AVM_Land!W31),"")</f>
        <v/>
      </c>
      <c r="X31" s="70" t="str">
        <f>IF(X$2="Y",IF(MaGic_AVM_Land!X31=0,"",MaGic_AVM_Land!X31),"")</f>
        <v/>
      </c>
      <c r="Y31" s="70" t="str">
        <f>IF(Y$2="Y",IF(MaGic_AVM_Land!Y31=0,"",MaGic_AVM_Land!Y31),"")</f>
        <v/>
      </c>
      <c r="Z31" s="70" t="str">
        <f>IF(Z$2="Y",IF(MaGic_AVM_Land!Z31=0,"",MaGic_AVM_Land!Z31),"")</f>
        <v/>
      </c>
      <c r="AA31" s="68" t="str">
        <f t="shared" si="3"/>
        <v/>
      </c>
      <c r="AB31" s="69" t="str" cm="1">
        <f t="array" ref="AB31">_xlfn.UNIQUE(C31:Z31,TRUE,FALSE)</f>
        <v/>
      </c>
    </row>
    <row r="32" spans="1:28">
      <c r="A32" s="70">
        <v>30</v>
      </c>
      <c r="B32" s="70" t="s">
        <v>1104</v>
      </c>
      <c r="C32" s="70" t="str">
        <f>IF(C$2="Y",IF(MaGic_AVM_Land!C32=0,"",MaGic_AVM_Land!C32),"")</f>
        <v/>
      </c>
      <c r="D32" s="70" t="str">
        <f>IF(D$2="Y",IF(MaGic_AVM_Land!D32=0,"",MaGic_AVM_Land!D32),"")</f>
        <v/>
      </c>
      <c r="E32" s="70" t="str">
        <f>IF(E$2="Y",IF(MaGic_AVM_Land!E32=0,"",MaGic_AVM_Land!E32),"")</f>
        <v/>
      </c>
      <c r="F32" s="70" t="str">
        <f>IF(F$2="Y",IF(MaGic_AVM_Land!F32=0,"",MaGic_AVM_Land!F32),"")</f>
        <v/>
      </c>
      <c r="G32" s="70" t="str">
        <f>IF(G$2="Y",IF(MaGic_AVM_Land!G32=0,"",MaGic_AVM_Land!G32),"")</f>
        <v/>
      </c>
      <c r="H32" s="70" t="str">
        <f>IF(H$2="Y",IF(MaGic_AVM_Land!H32=0,"",MaGic_AVM_Land!H32),"")</f>
        <v/>
      </c>
      <c r="I32" s="70" t="str">
        <f>IF(I$2="Y",IF(MaGic_AVM_Land!I32=0,"",MaGic_AVM_Land!I32),"")</f>
        <v/>
      </c>
      <c r="J32" s="70" t="str">
        <f>IF(J$2="Y",IF(MaGic_AVM_Land!J32=0,"",MaGic_AVM_Land!J32),"")</f>
        <v/>
      </c>
      <c r="K32" s="70" t="str">
        <f>IF(K$2="Y",IF(MaGic_AVM_Land!K32=0,"",MaGic_AVM_Land!K32),"")</f>
        <v/>
      </c>
      <c r="L32" s="70" t="str">
        <f>IF(L$2="Y",IF(MaGic_AVM_Land!L32=0,"",MaGic_AVM_Land!L32),"")</f>
        <v/>
      </c>
      <c r="M32" s="70" t="str">
        <f>IF(M$2="Y",IF(MaGic_AVM_Land!M32=0,"",MaGic_AVM_Land!M32),"")</f>
        <v/>
      </c>
      <c r="N32" s="70" t="str">
        <f>IF(N$2="Y",IF(MaGic_AVM_Land!N32=0,"",MaGic_AVM_Land!N32),"")</f>
        <v/>
      </c>
      <c r="O32" s="70" t="str">
        <f>IF(O$2="Y",IF(MaGic_AVM_Land!O32=0,"",MaGic_AVM_Land!O32),"")</f>
        <v/>
      </c>
      <c r="P32" s="70" t="str">
        <f>IF(P$2="Y",IF(MaGic_AVM_Land!P32=0,"",MaGic_AVM_Land!P32),"")</f>
        <v/>
      </c>
      <c r="Q32" s="70" t="str">
        <f>IF(Q$2="Y",IF(MaGic_AVM_Land!Q32=0,"",MaGic_AVM_Land!Q32),"")</f>
        <v/>
      </c>
      <c r="R32" s="70" t="str">
        <f>IF(R$2="Y",IF(MaGic_AVM_Land!R32=0,"",MaGic_AVM_Land!R32),"")</f>
        <v/>
      </c>
      <c r="S32" s="70" t="str">
        <f>IF(S$2="Y",IF(MaGic_AVM_Land!S32=0,"",MaGic_AVM_Land!S32),"")</f>
        <v/>
      </c>
      <c r="T32" s="70" t="str">
        <f>IF(T$2="Y",IF(MaGic_AVM_Land!T32=0,"",MaGic_AVM_Land!T32),"")</f>
        <v/>
      </c>
      <c r="U32" s="70" t="str">
        <f>IF(U$2="Y",IF(MaGic_AVM_Land!U32=0,"",MaGic_AVM_Land!U32),"")</f>
        <v/>
      </c>
      <c r="V32" s="70" t="str">
        <f>IF(V$2="Y",IF(MaGic_AVM_Land!V32=0,"",MaGic_AVM_Land!V32),"")</f>
        <v/>
      </c>
      <c r="W32" s="70" t="str">
        <f>IF(W$2="Y",IF(MaGic_AVM_Land!W32=0,"",MaGic_AVM_Land!W32),"")</f>
        <v/>
      </c>
      <c r="X32" s="70" t="str">
        <f>IF(X$2="Y",IF(MaGic_AVM_Land!X32=0,"",MaGic_AVM_Land!X32),"")</f>
        <v/>
      </c>
      <c r="Y32" s="70" t="str">
        <f>IF(Y$2="Y",IF(MaGic_AVM_Land!Y32=0,"",MaGic_AVM_Land!Y32),"")</f>
        <v/>
      </c>
      <c r="Z32" s="70" t="str">
        <f>IF(Z$2="Y",IF(MaGic_AVM_Land!Z32=0,"",MaGic_AVM_Land!Z32),"")</f>
        <v/>
      </c>
      <c r="AA32" s="73">
        <f>MIN(AB32:AZ32)</f>
        <v>0</v>
      </c>
      <c r="AB32" s="69" t="str" cm="1">
        <f t="array" ref="AB32">_xlfn.UNIQUE(C32:Z32,TRUE,FALSE)</f>
        <v/>
      </c>
    </row>
    <row r="33" spans="1:28">
      <c r="A33" s="70">
        <v>31</v>
      </c>
      <c r="B33" s="70" t="s">
        <v>1105</v>
      </c>
      <c r="C33" s="70" t="str">
        <f>IF(C$2="Y",IF(MaGic_AVM_Land!C33=0,"",MaGic_AVM_Land!C33),"")</f>
        <v/>
      </c>
      <c r="D33" s="70" t="str">
        <f>IF(D$2="Y",IF(MaGic_AVM_Land!D33=0,"",MaGic_AVM_Land!D33),"")</f>
        <v/>
      </c>
      <c r="E33" s="70" t="str">
        <f>IF(E$2="Y",IF(MaGic_AVM_Land!E33=0,"",MaGic_AVM_Land!E33),"")</f>
        <v/>
      </c>
      <c r="F33" s="70" t="str">
        <f>IF(F$2="Y",IF(MaGic_AVM_Land!F33=0,"",MaGic_AVM_Land!F33),"")</f>
        <v/>
      </c>
      <c r="G33" s="70" t="str">
        <f>IF(G$2="Y",IF(MaGic_AVM_Land!G33=0,"",MaGic_AVM_Land!G33),"")</f>
        <v/>
      </c>
      <c r="H33" s="70" t="str">
        <f>IF(H$2="Y",IF(MaGic_AVM_Land!H33=0,"",MaGic_AVM_Land!H33),"")</f>
        <v/>
      </c>
      <c r="I33" s="70" t="str">
        <f>IF(I$2="Y",IF(MaGic_AVM_Land!I33=0,"",MaGic_AVM_Land!I33),"")</f>
        <v/>
      </c>
      <c r="J33" s="70" t="str">
        <f>IF(J$2="Y",IF(MaGic_AVM_Land!J33=0,"",MaGic_AVM_Land!J33),"")</f>
        <v/>
      </c>
      <c r="K33" s="70" t="str">
        <f>IF(K$2="Y",IF(MaGic_AVM_Land!K33=0,"",MaGic_AVM_Land!K33),"")</f>
        <v/>
      </c>
      <c r="L33" s="70" t="str">
        <f>IF(L$2="Y",IF(MaGic_AVM_Land!L33=0,"",MaGic_AVM_Land!L33),"")</f>
        <v/>
      </c>
      <c r="M33" s="70" t="str">
        <f>IF(M$2="Y",IF(MaGic_AVM_Land!M33=0,"",MaGic_AVM_Land!M33),"")</f>
        <v/>
      </c>
      <c r="N33" s="70" t="str">
        <f>IF(N$2="Y",IF(MaGic_AVM_Land!N33=0,"",MaGic_AVM_Land!N33),"")</f>
        <v/>
      </c>
      <c r="O33" s="70" t="str">
        <f>IF(O$2="Y",IF(MaGic_AVM_Land!O33=0,"",MaGic_AVM_Land!O33),"")</f>
        <v/>
      </c>
      <c r="P33" s="70" t="str">
        <f>IF(P$2="Y",IF(MaGic_AVM_Land!P33=0,"",MaGic_AVM_Land!P33),"")</f>
        <v/>
      </c>
      <c r="Q33" s="70" t="str">
        <f>IF(Q$2="Y",IF(MaGic_AVM_Land!Q33=0,"",MaGic_AVM_Land!Q33),"")</f>
        <v/>
      </c>
      <c r="R33" s="70" t="str">
        <f>IF(R$2="Y",IF(MaGic_AVM_Land!R33=0,"",MaGic_AVM_Land!R33),"")</f>
        <v/>
      </c>
      <c r="S33" s="70" t="str">
        <f>IF(S$2="Y",IF(MaGic_AVM_Land!S33=0,"",MaGic_AVM_Land!S33),"")</f>
        <v/>
      </c>
      <c r="T33" s="70" t="str">
        <f>IF(T$2="Y",IF(MaGic_AVM_Land!T33=0,"",MaGic_AVM_Land!T33),"")</f>
        <v/>
      </c>
      <c r="U33" s="70" t="str">
        <f>IF(U$2="Y",IF(MaGic_AVM_Land!U33=0,"",MaGic_AVM_Land!U33),"")</f>
        <v/>
      </c>
      <c r="V33" s="70" t="str">
        <f>IF(V$2="Y",IF(MaGic_AVM_Land!V33=0,"",MaGic_AVM_Land!V33),"")</f>
        <v/>
      </c>
      <c r="W33" s="70" t="str">
        <f>IF(W$2="Y",IF(MaGic_AVM_Land!W33=0,"",MaGic_AVM_Land!W33),"")</f>
        <v/>
      </c>
      <c r="X33" s="70" t="str">
        <f>IF(X$2="Y",IF(MaGic_AVM_Land!X33=0,"",MaGic_AVM_Land!X33),"")</f>
        <v/>
      </c>
      <c r="Y33" s="70" t="str">
        <f>IF(Y$2="Y",IF(MaGic_AVM_Land!Y33=0,"",MaGic_AVM_Land!Y33),"")</f>
        <v/>
      </c>
      <c r="Z33" s="70" t="str">
        <f>IF(Z$2="Y",IF(MaGic_AVM_Land!Z33=0,"",MaGic_AVM_Land!Z33),"")</f>
        <v/>
      </c>
      <c r="AA33" s="68" t="str">
        <f t="shared" ref="AA33:AA37" si="4">_xlfn.TEXTJOIN(" ,",TRUE,AB33:AZ33)</f>
        <v/>
      </c>
      <c r="AB33" s="69" t="str" cm="1">
        <f t="array" ref="AB33">_xlfn.UNIQUE(C33:Z33,TRUE,FALSE)</f>
        <v/>
      </c>
    </row>
    <row r="34" spans="1:28">
      <c r="A34" s="70"/>
      <c r="B34" s="70" t="s">
        <v>110</v>
      </c>
      <c r="C34" s="70" t="str">
        <f>IF(C$2="Y",IF(MaGic_AVM_Land!C34=0,"",MaGic_AVM_Land!C34),"")</f>
        <v/>
      </c>
      <c r="D34" s="70" t="str">
        <f>IF(D$2="Y",IF(MaGic_AVM_Land!D34=0,"",MaGic_AVM_Land!D34),"")</f>
        <v/>
      </c>
      <c r="E34" s="70" t="str">
        <f>IF(E$2="Y",IF(MaGic_AVM_Land!E34=0,"",MaGic_AVM_Land!E34),"")</f>
        <v/>
      </c>
      <c r="F34" s="70" t="str">
        <f>IF(F$2="Y",IF(MaGic_AVM_Land!F34=0,"",MaGic_AVM_Land!F34),"")</f>
        <v/>
      </c>
      <c r="G34" s="70" t="str">
        <f>IF(G$2="Y",IF(MaGic_AVM_Land!G34=0,"",MaGic_AVM_Land!G34),"")</f>
        <v/>
      </c>
      <c r="H34" s="70" t="str">
        <f>IF(H$2="Y",IF(MaGic_AVM_Land!H34=0,"",MaGic_AVM_Land!H34),"")</f>
        <v/>
      </c>
      <c r="I34" s="70" t="str">
        <f>IF(I$2="Y",IF(MaGic_AVM_Land!I34=0,"",MaGic_AVM_Land!I34),"")</f>
        <v/>
      </c>
      <c r="J34" s="70" t="str">
        <f>IF(J$2="Y",IF(MaGic_AVM_Land!J34=0,"",MaGic_AVM_Land!J34),"")</f>
        <v/>
      </c>
      <c r="K34" s="70" t="str">
        <f>IF(K$2="Y",IF(MaGic_AVM_Land!K34=0,"",MaGic_AVM_Land!K34),"")</f>
        <v/>
      </c>
      <c r="L34" s="70" t="str">
        <f>IF(L$2="Y",IF(MaGic_AVM_Land!L34=0,"",MaGic_AVM_Land!L34),"")</f>
        <v/>
      </c>
      <c r="M34" s="70" t="str">
        <f>IF(M$2="Y",IF(MaGic_AVM_Land!M34=0,"",MaGic_AVM_Land!M34),"")</f>
        <v/>
      </c>
      <c r="N34" s="70" t="str">
        <f>IF(N$2="Y",IF(MaGic_AVM_Land!N34=0,"",MaGic_AVM_Land!N34),"")</f>
        <v/>
      </c>
      <c r="O34" s="70" t="str">
        <f>IF(O$2="Y",IF(MaGic_AVM_Land!O34=0,"",MaGic_AVM_Land!O34),"")</f>
        <v/>
      </c>
      <c r="P34" s="70" t="str">
        <f>IF(P$2="Y",IF(MaGic_AVM_Land!P34=0,"",MaGic_AVM_Land!P34),"")</f>
        <v/>
      </c>
      <c r="Q34" s="70" t="str">
        <f>IF(Q$2="Y",IF(MaGic_AVM_Land!Q34=0,"",MaGic_AVM_Land!Q34),"")</f>
        <v/>
      </c>
      <c r="R34" s="70" t="str">
        <f>IF(R$2="Y",IF(MaGic_AVM_Land!R34=0,"",MaGic_AVM_Land!R34),"")</f>
        <v/>
      </c>
      <c r="S34" s="70" t="str">
        <f>IF(S$2="Y",IF(MaGic_AVM_Land!S34=0,"",MaGic_AVM_Land!S34),"")</f>
        <v/>
      </c>
      <c r="T34" s="70" t="str">
        <f>IF(T$2="Y",IF(MaGic_AVM_Land!T34=0,"",MaGic_AVM_Land!T34),"")</f>
        <v/>
      </c>
      <c r="U34" s="70" t="str">
        <f>IF(U$2="Y",IF(MaGic_AVM_Land!U34=0,"",MaGic_AVM_Land!U34),"")</f>
        <v/>
      </c>
      <c r="V34" s="70" t="str">
        <f>IF(V$2="Y",IF(MaGic_AVM_Land!V34=0,"",MaGic_AVM_Land!V34),"")</f>
        <v/>
      </c>
      <c r="W34" s="70" t="str">
        <f>IF(W$2="Y",IF(MaGic_AVM_Land!W34=0,"",MaGic_AVM_Land!W34),"")</f>
        <v/>
      </c>
      <c r="X34" s="70" t="str">
        <f>IF(X$2="Y",IF(MaGic_AVM_Land!X34=0,"",MaGic_AVM_Land!X34),"")</f>
        <v/>
      </c>
      <c r="Y34" s="70" t="str">
        <f>IF(Y$2="Y",IF(MaGic_AVM_Land!Y34=0,"",MaGic_AVM_Land!Y34),"")</f>
        <v/>
      </c>
      <c r="Z34" s="70" t="str">
        <f>IF(Z$2="Y",IF(MaGic_AVM_Land!Z34=0,"",MaGic_AVM_Land!Z34),"")</f>
        <v/>
      </c>
      <c r="AA34" s="68" t="str">
        <f t="shared" si="4"/>
        <v/>
      </c>
      <c r="AB34" s="69" t="str" cm="1">
        <f t="array" ref="AB34">_xlfn.UNIQUE(C34:Z34,TRUE,FALSE)</f>
        <v/>
      </c>
    </row>
    <row r="35" spans="1:28">
      <c r="A35" s="70">
        <v>1</v>
      </c>
      <c r="B35" s="70" t="s">
        <v>1106</v>
      </c>
      <c r="C35" s="70" t="str">
        <f>IF(C$2="Y",IF(MaGic_AVM_Land!C35=0,"",MaGic_AVM_Land!C35),"")</f>
        <v/>
      </c>
      <c r="D35" s="70" t="str">
        <f>IF(D$2="Y",IF(MaGic_AVM_Land!D35=0,"",MaGic_AVM_Land!D35),"")</f>
        <v/>
      </c>
      <c r="E35" s="70" t="str">
        <f>IF(E$2="Y",IF(MaGic_AVM_Land!E35=0,"",MaGic_AVM_Land!E35),"")</f>
        <v/>
      </c>
      <c r="F35" s="70" t="str">
        <f>IF(F$2="Y",IF(MaGic_AVM_Land!F35=0,"",MaGic_AVM_Land!F35),"")</f>
        <v/>
      </c>
      <c r="G35" s="70" t="str">
        <f>IF(G$2="Y",IF(MaGic_AVM_Land!G35=0,"",MaGic_AVM_Land!G35),"")</f>
        <v/>
      </c>
      <c r="H35" s="70" t="str">
        <f>IF(H$2="Y",IF(MaGic_AVM_Land!H35=0,"",MaGic_AVM_Land!H35),"")</f>
        <v/>
      </c>
      <c r="I35" s="70" t="str">
        <f>IF(I$2="Y",IF(MaGic_AVM_Land!I35=0,"",MaGic_AVM_Land!I35),"")</f>
        <v/>
      </c>
      <c r="J35" s="70" t="str">
        <f>IF(J$2="Y",IF(MaGic_AVM_Land!J35=0,"",MaGic_AVM_Land!J35),"")</f>
        <v/>
      </c>
      <c r="K35" s="70" t="str">
        <f>IF(K$2="Y",IF(MaGic_AVM_Land!K35=0,"",MaGic_AVM_Land!K35),"")</f>
        <v/>
      </c>
      <c r="L35" s="70" t="str">
        <f>IF(L$2="Y",IF(MaGic_AVM_Land!L35=0,"",MaGic_AVM_Land!L35),"")</f>
        <v/>
      </c>
      <c r="M35" s="70" t="str">
        <f>IF(M$2="Y",IF(MaGic_AVM_Land!M35=0,"",MaGic_AVM_Land!M35),"")</f>
        <v/>
      </c>
      <c r="N35" s="70" t="str">
        <f>IF(N$2="Y",IF(MaGic_AVM_Land!N35=0,"",MaGic_AVM_Land!N35),"")</f>
        <v/>
      </c>
      <c r="O35" s="70" t="str">
        <f>IF(O$2="Y",IF(MaGic_AVM_Land!O35=0,"",MaGic_AVM_Land!O35),"")</f>
        <v/>
      </c>
      <c r="P35" s="70" t="str">
        <f>IF(P$2="Y",IF(MaGic_AVM_Land!P35=0,"",MaGic_AVM_Land!P35),"")</f>
        <v/>
      </c>
      <c r="Q35" s="70" t="str">
        <f>IF(Q$2="Y",IF(MaGic_AVM_Land!Q35=0,"",MaGic_AVM_Land!Q35),"")</f>
        <v/>
      </c>
      <c r="R35" s="70" t="str">
        <f>IF(R$2="Y",IF(MaGic_AVM_Land!R35=0,"",MaGic_AVM_Land!R35),"")</f>
        <v/>
      </c>
      <c r="S35" s="70" t="str">
        <f>IF(S$2="Y",IF(MaGic_AVM_Land!S35=0,"",MaGic_AVM_Land!S35),"")</f>
        <v/>
      </c>
      <c r="T35" s="70" t="str">
        <f>IF(T$2="Y",IF(MaGic_AVM_Land!T35=0,"",MaGic_AVM_Land!T35),"")</f>
        <v/>
      </c>
      <c r="U35" s="70" t="str">
        <f>IF(U$2="Y",IF(MaGic_AVM_Land!U35=0,"",MaGic_AVM_Land!U35),"")</f>
        <v/>
      </c>
      <c r="V35" s="70" t="str">
        <f>IF(V$2="Y",IF(MaGic_AVM_Land!V35=0,"",MaGic_AVM_Land!V35),"")</f>
        <v/>
      </c>
      <c r="W35" s="70" t="str">
        <f>IF(W$2="Y",IF(MaGic_AVM_Land!W35=0,"",MaGic_AVM_Land!W35),"")</f>
        <v/>
      </c>
      <c r="X35" s="70" t="str">
        <f>IF(X$2="Y",IF(MaGic_AVM_Land!X35=0,"",MaGic_AVM_Land!X35),"")</f>
        <v/>
      </c>
      <c r="Y35" s="70" t="str">
        <f>IF(Y$2="Y",IF(MaGic_AVM_Land!Y35=0,"",MaGic_AVM_Land!Y35),"")</f>
        <v/>
      </c>
      <c r="Z35" s="70" t="str">
        <f>IF(Z$2="Y",IF(MaGic_AVM_Land!Z35=0,"",MaGic_AVM_Land!Z35),"")</f>
        <v/>
      </c>
      <c r="AA35" s="68" t="str">
        <f t="shared" si="4"/>
        <v/>
      </c>
      <c r="AB35" s="69" t="str" cm="1">
        <f t="array" ref="AB35">_xlfn.UNIQUE(C35:Z35,TRUE,FALSE)</f>
        <v/>
      </c>
    </row>
    <row r="36" spans="1:28">
      <c r="A36" s="70">
        <v>2</v>
      </c>
      <c r="B36" s="70" t="s">
        <v>112</v>
      </c>
      <c r="C36" s="70" t="str">
        <f>IF(C$2="Y",IF(MaGic_AVM_Land!C36=0,"",MaGic_AVM_Land!C36),"")</f>
        <v/>
      </c>
      <c r="D36" s="70" t="str">
        <f>IF(D$2="Y",IF(MaGic_AVM_Land!D36=0,"",MaGic_AVM_Land!D36),"")</f>
        <v/>
      </c>
      <c r="E36" s="70" t="str">
        <f>IF(E$2="Y",IF(MaGic_AVM_Land!E36=0,"",MaGic_AVM_Land!E36),"")</f>
        <v/>
      </c>
      <c r="F36" s="70" t="str">
        <f>IF(F$2="Y",IF(MaGic_AVM_Land!F36=0,"",MaGic_AVM_Land!F36),"")</f>
        <v/>
      </c>
      <c r="G36" s="70" t="str">
        <f>IF(G$2="Y",IF(MaGic_AVM_Land!G36=0,"",MaGic_AVM_Land!G36),"")</f>
        <v/>
      </c>
      <c r="H36" s="70" t="str">
        <f>IF(H$2="Y",IF(MaGic_AVM_Land!H36=0,"",MaGic_AVM_Land!H36),"")</f>
        <v/>
      </c>
      <c r="I36" s="70" t="str">
        <f>IF(I$2="Y",IF(MaGic_AVM_Land!I36=0,"",MaGic_AVM_Land!I36),"")</f>
        <v/>
      </c>
      <c r="J36" s="70" t="str">
        <f>IF(J$2="Y",IF(MaGic_AVM_Land!J36=0,"",MaGic_AVM_Land!J36),"")</f>
        <v/>
      </c>
      <c r="K36" s="70" t="str">
        <f>IF(K$2="Y",IF(MaGic_AVM_Land!K36=0,"",MaGic_AVM_Land!K36),"")</f>
        <v/>
      </c>
      <c r="L36" s="70" t="str">
        <f>IF(L$2="Y",IF(MaGic_AVM_Land!L36=0,"",MaGic_AVM_Land!L36),"")</f>
        <v/>
      </c>
      <c r="M36" s="70" t="str">
        <f>IF(M$2="Y",IF(MaGic_AVM_Land!M36=0,"",MaGic_AVM_Land!M36),"")</f>
        <v/>
      </c>
      <c r="N36" s="70" t="str">
        <f>IF(N$2="Y",IF(MaGic_AVM_Land!N36=0,"",MaGic_AVM_Land!N36),"")</f>
        <v/>
      </c>
      <c r="O36" s="70" t="str">
        <f>IF(O$2="Y",IF(MaGic_AVM_Land!O36=0,"",MaGic_AVM_Land!O36),"")</f>
        <v/>
      </c>
      <c r="P36" s="70" t="str">
        <f>IF(P$2="Y",IF(MaGic_AVM_Land!P36=0,"",MaGic_AVM_Land!P36),"")</f>
        <v/>
      </c>
      <c r="Q36" s="70" t="str">
        <f>IF(Q$2="Y",IF(MaGic_AVM_Land!Q36=0,"",MaGic_AVM_Land!Q36),"")</f>
        <v/>
      </c>
      <c r="R36" s="70" t="str">
        <f>IF(R$2="Y",IF(MaGic_AVM_Land!R36=0,"",MaGic_AVM_Land!R36),"")</f>
        <v/>
      </c>
      <c r="S36" s="70" t="str">
        <f>IF(S$2="Y",IF(MaGic_AVM_Land!S36=0,"",MaGic_AVM_Land!S36),"")</f>
        <v/>
      </c>
      <c r="T36" s="70" t="str">
        <f>IF(T$2="Y",IF(MaGic_AVM_Land!T36=0,"",MaGic_AVM_Land!T36),"")</f>
        <v/>
      </c>
      <c r="U36" s="70" t="str">
        <f>IF(U$2="Y",IF(MaGic_AVM_Land!U36=0,"",MaGic_AVM_Land!U36),"")</f>
        <v/>
      </c>
      <c r="V36" s="70" t="str">
        <f>IF(V$2="Y",IF(MaGic_AVM_Land!V36=0,"",MaGic_AVM_Land!V36),"")</f>
        <v/>
      </c>
      <c r="W36" s="70" t="str">
        <f>IF(W$2="Y",IF(MaGic_AVM_Land!W36=0,"",MaGic_AVM_Land!W36),"")</f>
        <v/>
      </c>
      <c r="X36" s="70" t="str">
        <f>IF(X$2="Y",IF(MaGic_AVM_Land!X36=0,"",MaGic_AVM_Land!X36),"")</f>
        <v/>
      </c>
      <c r="Y36" s="70" t="str">
        <f>IF(Y$2="Y",IF(MaGic_AVM_Land!Y36=0,"",MaGic_AVM_Land!Y36),"")</f>
        <v/>
      </c>
      <c r="Z36" s="70" t="str">
        <f>IF(Z$2="Y",IF(MaGic_AVM_Land!Z36=0,"",MaGic_AVM_Land!Z36),"")</f>
        <v/>
      </c>
      <c r="AA36" s="68" t="str">
        <f t="shared" si="4"/>
        <v/>
      </c>
      <c r="AB36" s="69" t="str" cm="1">
        <f t="array" ref="AB36">_xlfn.UNIQUE(C36:Z36,TRUE,FALSE)</f>
        <v/>
      </c>
    </row>
    <row r="37" spans="1:28">
      <c r="A37" s="70">
        <v>3</v>
      </c>
      <c r="B37" s="70" t="s">
        <v>113</v>
      </c>
      <c r="C37" s="70" t="str">
        <f>IF(C$2="Y",IF(MaGic_AVM_Land!C37=0,"",MaGic_AVM_Land!C37),"")</f>
        <v/>
      </c>
      <c r="D37" s="70" t="str">
        <f>IF(D$2="Y",IF(MaGic_AVM_Land!D37=0,"",MaGic_AVM_Land!D37),"")</f>
        <v/>
      </c>
      <c r="E37" s="70" t="str">
        <f>IF(E$2="Y",IF(MaGic_AVM_Land!E37=0,"",MaGic_AVM_Land!E37),"")</f>
        <v/>
      </c>
      <c r="F37" s="70" t="str">
        <f>IF(F$2="Y",IF(MaGic_AVM_Land!F37=0,"",MaGic_AVM_Land!F37),"")</f>
        <v/>
      </c>
      <c r="G37" s="70" t="str">
        <f>IF(G$2="Y",IF(MaGic_AVM_Land!G37=0,"",MaGic_AVM_Land!G37),"")</f>
        <v/>
      </c>
      <c r="H37" s="70" t="str">
        <f>IF(H$2="Y",IF(MaGic_AVM_Land!H37=0,"",MaGic_AVM_Land!H37),"")</f>
        <v/>
      </c>
      <c r="I37" s="70" t="str">
        <f>IF(I$2="Y",IF(MaGic_AVM_Land!I37=0,"",MaGic_AVM_Land!I37),"")</f>
        <v/>
      </c>
      <c r="J37" s="70" t="str">
        <f>IF(J$2="Y",IF(MaGic_AVM_Land!J37=0,"",MaGic_AVM_Land!J37),"")</f>
        <v/>
      </c>
      <c r="K37" s="70" t="str">
        <f>IF(K$2="Y",IF(MaGic_AVM_Land!K37=0,"",MaGic_AVM_Land!K37),"")</f>
        <v/>
      </c>
      <c r="L37" s="70" t="str">
        <f>IF(L$2="Y",IF(MaGic_AVM_Land!L37=0,"",MaGic_AVM_Land!L37),"")</f>
        <v/>
      </c>
      <c r="M37" s="70" t="str">
        <f>IF(M$2="Y",IF(MaGic_AVM_Land!M37=0,"",MaGic_AVM_Land!M37),"")</f>
        <v/>
      </c>
      <c r="N37" s="70" t="str">
        <f>IF(N$2="Y",IF(MaGic_AVM_Land!N37=0,"",MaGic_AVM_Land!N37),"")</f>
        <v/>
      </c>
      <c r="O37" s="70" t="str">
        <f>IF(O$2="Y",IF(MaGic_AVM_Land!O37=0,"",MaGic_AVM_Land!O37),"")</f>
        <v/>
      </c>
      <c r="P37" s="70" t="str">
        <f>IF(P$2="Y",IF(MaGic_AVM_Land!P37=0,"",MaGic_AVM_Land!P37),"")</f>
        <v/>
      </c>
      <c r="Q37" s="70" t="str">
        <f>IF(Q$2="Y",IF(MaGic_AVM_Land!Q37=0,"",MaGic_AVM_Land!Q37),"")</f>
        <v/>
      </c>
      <c r="R37" s="70" t="str">
        <f>IF(R$2="Y",IF(MaGic_AVM_Land!R37=0,"",MaGic_AVM_Land!R37),"")</f>
        <v/>
      </c>
      <c r="S37" s="70" t="str">
        <f>IF(S$2="Y",IF(MaGic_AVM_Land!S37=0,"",MaGic_AVM_Land!S37),"")</f>
        <v/>
      </c>
      <c r="T37" s="70" t="str">
        <f>IF(T$2="Y",IF(MaGic_AVM_Land!T37=0,"",MaGic_AVM_Land!T37),"")</f>
        <v/>
      </c>
      <c r="U37" s="70" t="str">
        <f>IF(U$2="Y",IF(MaGic_AVM_Land!U37=0,"",MaGic_AVM_Land!U37),"")</f>
        <v/>
      </c>
      <c r="V37" s="70" t="str">
        <f>IF(V$2="Y",IF(MaGic_AVM_Land!V37=0,"",MaGic_AVM_Land!V37),"")</f>
        <v/>
      </c>
      <c r="W37" s="70" t="str">
        <f>IF(W$2="Y",IF(MaGic_AVM_Land!W37=0,"",MaGic_AVM_Land!W37),"")</f>
        <v/>
      </c>
      <c r="X37" s="70" t="str">
        <f>IF(X$2="Y",IF(MaGic_AVM_Land!X37=0,"",MaGic_AVM_Land!X37),"")</f>
        <v/>
      </c>
      <c r="Y37" s="70" t="str">
        <f>IF(Y$2="Y",IF(MaGic_AVM_Land!Y37=0,"",MaGic_AVM_Land!Y37),"")</f>
        <v/>
      </c>
      <c r="Z37" s="70" t="str">
        <f>IF(Z$2="Y",IF(MaGic_AVM_Land!Z37=0,"",MaGic_AVM_Land!Z37),"")</f>
        <v/>
      </c>
      <c r="AA37" s="68" t="str">
        <f t="shared" si="4"/>
        <v/>
      </c>
      <c r="AB37" s="69" t="str" cm="1">
        <f t="array" ref="AB37">_xlfn.UNIQUE(C37:Z37,TRUE,FALSE)</f>
        <v/>
      </c>
    </row>
    <row r="38" spans="1:28">
      <c r="A38" s="70">
        <v>4</v>
      </c>
      <c r="B38" s="70" t="s">
        <v>114</v>
      </c>
      <c r="C38" s="70"/>
      <c r="D38" s="70"/>
      <c r="E38" s="70"/>
      <c r="F38" s="70"/>
      <c r="G38" s="70"/>
      <c r="H38" s="70"/>
      <c r="I38" s="70"/>
      <c r="J38" s="70"/>
      <c r="K38" s="70"/>
      <c r="L38" s="70"/>
      <c r="M38" s="70"/>
      <c r="N38" s="70"/>
      <c r="O38" s="70"/>
      <c r="P38" s="70"/>
      <c r="Q38" s="70"/>
      <c r="R38" s="70"/>
      <c r="S38" s="70"/>
      <c r="T38" s="70"/>
      <c r="U38" s="70"/>
      <c r="V38" s="70"/>
      <c r="W38" s="70"/>
      <c r="X38" s="70"/>
      <c r="Y38" s="70"/>
      <c r="Z38" s="70"/>
      <c r="AB38" s="69" cm="1">
        <f t="array" ref="AB38">_xlfn.UNIQUE(C38:Z38,TRUE,FALSE)</f>
        <v>0</v>
      </c>
    </row>
    <row r="39" spans="1:28">
      <c r="A39" s="70">
        <v>5</v>
      </c>
      <c r="B39" s="70" t="s">
        <v>115</v>
      </c>
      <c r="C39" s="70"/>
      <c r="D39" s="70"/>
      <c r="E39" s="70"/>
      <c r="F39" s="70"/>
      <c r="G39" s="70"/>
      <c r="H39" s="70"/>
      <c r="I39" s="70"/>
      <c r="J39" s="70"/>
      <c r="K39" s="70"/>
      <c r="L39" s="70"/>
      <c r="M39" s="70"/>
      <c r="N39" s="70"/>
      <c r="O39" s="70"/>
      <c r="P39" s="70"/>
      <c r="Q39" s="70"/>
      <c r="R39" s="70"/>
      <c r="S39" s="70"/>
      <c r="T39" s="70"/>
      <c r="U39" s="70"/>
      <c r="V39" s="70"/>
      <c r="W39" s="70"/>
      <c r="X39" s="70"/>
      <c r="Y39" s="70"/>
      <c r="Z39" s="70"/>
      <c r="AB39" s="69" cm="1">
        <f t="array" ref="AB39">_xlfn.UNIQUE(C39:Z39,TRUE,FALSE)</f>
        <v>0</v>
      </c>
    </row>
    <row r="40" spans="1:28">
      <c r="A40" s="70">
        <v>6</v>
      </c>
      <c r="B40" s="70" t="s">
        <v>116</v>
      </c>
      <c r="C40" s="70"/>
      <c r="D40" s="70"/>
      <c r="E40" s="70"/>
      <c r="F40" s="70"/>
      <c r="G40" s="70"/>
      <c r="H40" s="70"/>
      <c r="I40" s="70"/>
      <c r="J40" s="70"/>
      <c r="K40" s="70"/>
      <c r="L40" s="70"/>
      <c r="M40" s="70"/>
      <c r="N40" s="70"/>
      <c r="O40" s="70"/>
      <c r="P40" s="70"/>
      <c r="Q40" s="70"/>
      <c r="R40" s="70"/>
      <c r="S40" s="70"/>
      <c r="T40" s="70"/>
      <c r="U40" s="70"/>
      <c r="V40" s="70"/>
      <c r="W40" s="70"/>
      <c r="X40" s="70"/>
      <c r="Y40" s="70"/>
      <c r="Z40" s="70"/>
      <c r="AB40" s="69" cm="1">
        <f t="array" ref="AB40">_xlfn.UNIQUE(C40:Z40,TRUE,FALSE)</f>
        <v>0</v>
      </c>
    </row>
    <row r="41" spans="1:28">
      <c r="A41" s="70"/>
      <c r="B41" s="70" t="s">
        <v>117</v>
      </c>
      <c r="C41" s="70"/>
      <c r="D41" s="70"/>
      <c r="E41" s="70"/>
      <c r="F41" s="70"/>
      <c r="G41" s="70"/>
      <c r="H41" s="70"/>
      <c r="I41" s="70"/>
      <c r="J41" s="70"/>
      <c r="K41" s="70"/>
      <c r="L41" s="70"/>
      <c r="M41" s="70"/>
      <c r="N41" s="70"/>
      <c r="O41" s="70"/>
      <c r="P41" s="70"/>
      <c r="Q41" s="70"/>
      <c r="R41" s="70"/>
      <c r="S41" s="70"/>
      <c r="T41" s="70"/>
      <c r="U41" s="70"/>
      <c r="V41" s="70"/>
      <c r="W41" s="70"/>
      <c r="X41" s="70"/>
      <c r="Y41" s="70"/>
      <c r="Z41" s="70"/>
      <c r="AB41" s="69" cm="1">
        <f t="array" ref="AB41">_xlfn.UNIQUE(C41:Z41,TRUE,FALSE)</f>
        <v>0</v>
      </c>
    </row>
    <row r="42" spans="1:28">
      <c r="A42" s="70">
        <v>1</v>
      </c>
      <c r="B42" s="70" t="s">
        <v>118</v>
      </c>
      <c r="C42" s="70"/>
      <c r="D42" s="70"/>
      <c r="E42" s="70"/>
      <c r="F42" s="70"/>
      <c r="G42" s="70"/>
      <c r="H42" s="70"/>
      <c r="I42" s="70"/>
      <c r="J42" s="70"/>
      <c r="K42" s="70"/>
      <c r="L42" s="70"/>
      <c r="M42" s="70"/>
      <c r="N42" s="70"/>
      <c r="O42" s="70"/>
      <c r="P42" s="70"/>
      <c r="Q42" s="70"/>
      <c r="R42" s="70"/>
      <c r="S42" s="70"/>
      <c r="T42" s="70"/>
      <c r="U42" s="70"/>
      <c r="V42" s="70"/>
      <c r="W42" s="70"/>
      <c r="X42" s="70"/>
      <c r="Y42" s="70"/>
      <c r="Z42" s="70"/>
      <c r="AB42" s="69" cm="1">
        <f t="array" ref="AB42">_xlfn.UNIQUE(C42:Z42,TRUE,FALSE)</f>
        <v>0</v>
      </c>
    </row>
    <row r="43" spans="1:28">
      <c r="A43" s="70">
        <v>2</v>
      </c>
      <c r="B43" s="70" t="s">
        <v>119</v>
      </c>
      <c r="C43" s="70"/>
      <c r="D43" s="70"/>
      <c r="E43" s="70"/>
      <c r="F43" s="70"/>
      <c r="G43" s="70"/>
      <c r="H43" s="70"/>
      <c r="I43" s="70"/>
      <c r="J43" s="70"/>
      <c r="K43" s="70"/>
      <c r="L43" s="70"/>
      <c r="M43" s="70"/>
      <c r="N43" s="70"/>
      <c r="O43" s="70"/>
      <c r="P43" s="70"/>
      <c r="Q43" s="70"/>
      <c r="R43" s="70"/>
      <c r="S43" s="70"/>
      <c r="T43" s="70"/>
      <c r="U43" s="70"/>
      <c r="V43" s="70"/>
      <c r="W43" s="70"/>
      <c r="X43" s="70"/>
      <c r="Y43" s="70"/>
      <c r="Z43" s="70"/>
      <c r="AB43" s="69" cm="1">
        <f t="array" ref="AB43">_xlfn.UNIQUE(C43:Z43,TRUE,FALSE)</f>
        <v>0</v>
      </c>
    </row>
    <row r="44" spans="1:28">
      <c r="A44" s="70">
        <v>3</v>
      </c>
      <c r="B44" s="70" t="s">
        <v>120</v>
      </c>
      <c r="C44" s="70"/>
      <c r="D44" s="70"/>
      <c r="E44" s="70"/>
      <c r="F44" s="70"/>
      <c r="G44" s="70"/>
      <c r="H44" s="70"/>
      <c r="I44" s="70"/>
      <c r="J44" s="70"/>
      <c r="K44" s="70"/>
      <c r="L44" s="70"/>
      <c r="M44" s="70"/>
      <c r="N44" s="70"/>
      <c r="O44" s="70"/>
      <c r="P44" s="70"/>
      <c r="Q44" s="70"/>
      <c r="R44" s="70"/>
      <c r="S44" s="70"/>
      <c r="T44" s="70"/>
      <c r="U44" s="70"/>
      <c r="V44" s="70"/>
      <c r="W44" s="70"/>
      <c r="X44" s="70"/>
      <c r="Y44" s="70"/>
      <c r="Z44" s="70"/>
      <c r="AB44" s="69" cm="1">
        <f t="array" ref="AB44">_xlfn.UNIQUE(C44:Z44,TRUE,FALSE)</f>
        <v>0</v>
      </c>
    </row>
    <row r="45" spans="1:28">
      <c r="A45" s="70">
        <v>4</v>
      </c>
      <c r="B45" s="70" t="s">
        <v>121</v>
      </c>
      <c r="C45" s="70"/>
      <c r="D45" s="70"/>
      <c r="E45" s="70"/>
      <c r="F45" s="70"/>
      <c r="G45" s="70"/>
      <c r="H45" s="70"/>
      <c r="I45" s="70"/>
      <c r="J45" s="70"/>
      <c r="K45" s="70"/>
      <c r="L45" s="70"/>
      <c r="M45" s="70"/>
      <c r="N45" s="70"/>
      <c r="O45" s="70"/>
      <c r="P45" s="70"/>
      <c r="Q45" s="70"/>
      <c r="R45" s="70"/>
      <c r="S45" s="70"/>
      <c r="T45" s="70"/>
      <c r="U45" s="70"/>
      <c r="V45" s="70"/>
      <c r="W45" s="70"/>
      <c r="X45" s="70"/>
      <c r="Y45" s="70"/>
      <c r="Z45" s="70"/>
      <c r="AB45" s="69" cm="1">
        <f t="array" ref="AB45">_xlfn.UNIQUE(C45:Z45,TRUE,FALSE)</f>
        <v>0</v>
      </c>
    </row>
    <row r="46" spans="1:28" ht="48" customHeight="1"/>
    <row r="47" spans="1:28" hidden="1"/>
    <row r="48" spans="1:2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spans="3:30" hidden="1"/>
    <row r="98" spans="3:30" hidden="1"/>
    <row r="99" spans="3:30" hidden="1"/>
    <row r="100" spans="3:30" hidden="1"/>
    <row r="101" spans="3:30" ht="170.25" customHeight="1">
      <c r="C101" s="19" t="str">
        <f>IF(C23="","",CONCATENATE(C23," Ares of land in ",IF(C20="","",CONCATENATE($B$20,C20,", ")),IF(C21="","",CONCATENATE($B$21,C21,", ")),IF(C22="","",CONCATENATE($B$22,C22,", ")),IF(C17="","",CONCATENATE($B$17,C17,", ")),IF(C18="","",CONCATENATE($B$18,C18,", ")),IF(C19="","",CONCATENATE($B$19,C19,", ")),IF(C14="","",CONCATENATE($B$14,C14,", ")),IF(C15="","",CONCATENATE($B$15,C15,", ")),IF(C16="","",CONCATENATE($B$16,C16))))</f>
        <v/>
      </c>
      <c r="D101" s="19" t="str">
        <f>IF(D23="","",CONCATENATE(D23," Ares of land in ",IF(D20="","",CONCATENATE($B$20,D20,", ")),IF(D21="","",CONCATENATE($B$21,D21,", ")),IF(D22="","",CONCATENATE($B$22,D22,", ")),IF(D17="","",CONCATENATE($B$17,D17,", ")),IF(D18="","",CONCATENATE($B$18,D18,", ")),IF(D19="","",CONCATENATE($B$19,D19,", ")),IF(D14="","",CONCATENATE($B$14,D14,", ")),IF(D15="","",CONCATENATE($B$15,D15,", ")),IF(D16="","",CONCATENATE($B$16,D16))))</f>
        <v/>
      </c>
      <c r="E101" s="19" t="str">
        <f t="shared" ref="E101:Z101" si="5">IF(E23="","",CONCATENATE(E23," Ares of land in ",IF(E20="","",CONCATENATE($B$20,E20,", ")),IF(E21="","",CONCATENATE($B$21,E21,", ")),IF(E22="","",CONCATENATE($B$22,E22,", ")),IF(E17="","",CONCATENATE($B$17,E17,", ")),IF(E18="","",CONCATENATE($B$18,E18,", ")),IF(E19="","",CONCATENATE($B$19,E19,", ")),IF(E14="","",CONCATENATE($B$14,E14,", ")),IF(E15="","",CONCATENATE($B$15,E15,", ")),IF(E16="","",CONCATENATE($B$16,E16))))</f>
        <v/>
      </c>
      <c r="F101" s="19" t="str">
        <f t="shared" si="5"/>
        <v/>
      </c>
      <c r="G101" s="19" t="str">
        <f t="shared" si="5"/>
        <v/>
      </c>
      <c r="H101" s="19" t="str">
        <f t="shared" si="5"/>
        <v/>
      </c>
      <c r="I101" s="19" t="str">
        <f t="shared" si="5"/>
        <v/>
      </c>
      <c r="J101" s="19" t="str">
        <f t="shared" si="5"/>
        <v/>
      </c>
      <c r="K101" s="19" t="str">
        <f t="shared" si="5"/>
        <v/>
      </c>
      <c r="L101" s="19" t="str">
        <f t="shared" si="5"/>
        <v/>
      </c>
      <c r="M101" s="19" t="str">
        <f t="shared" si="5"/>
        <v/>
      </c>
      <c r="N101" s="19" t="str">
        <f t="shared" si="5"/>
        <v/>
      </c>
      <c r="O101" s="19" t="str">
        <f t="shared" si="5"/>
        <v/>
      </c>
      <c r="P101" s="19" t="str">
        <f t="shared" si="5"/>
        <v/>
      </c>
      <c r="Q101" s="19" t="str">
        <f t="shared" si="5"/>
        <v/>
      </c>
      <c r="R101" s="19" t="str">
        <f t="shared" si="5"/>
        <v/>
      </c>
      <c r="S101" s="19" t="str">
        <f t="shared" si="5"/>
        <v/>
      </c>
      <c r="T101" s="19" t="str">
        <f t="shared" si="5"/>
        <v/>
      </c>
      <c r="U101" s="19" t="str">
        <f t="shared" si="5"/>
        <v/>
      </c>
      <c r="V101" s="19" t="str">
        <f t="shared" si="5"/>
        <v/>
      </c>
      <c r="W101" s="19" t="str">
        <f t="shared" si="5"/>
        <v/>
      </c>
      <c r="X101" s="19" t="str">
        <f t="shared" si="5"/>
        <v/>
      </c>
      <c r="Y101" s="19" t="str">
        <f t="shared" si="5"/>
        <v/>
      </c>
      <c r="Z101" s="19" t="str">
        <f t="shared" si="5"/>
        <v/>
      </c>
      <c r="AA101" s="19" t="str">
        <f>_xlfn.TEXTJOIN(" and ",TRUE,C101:Z101)</f>
        <v/>
      </c>
    </row>
    <row r="102" spans="3:30">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v>0</v>
      </c>
      <c r="AA102" s="19" t="s">
        <v>212</v>
      </c>
    </row>
    <row r="103" spans="3:30">
      <c r="Z103" s="19">
        <v>1</v>
      </c>
      <c r="AA103" s="19" t="str">
        <f>CONCATENATE(AA101," located in ",AA11,", ",AA10,", ",AA8,". ")</f>
        <v>located in  Village,  Taluk,  District.</v>
      </c>
    </row>
    <row r="104" spans="3:30" ht="146.25" customHeight="1">
      <c r="Z104" s="69">
        <v>2</v>
      </c>
      <c r="AA104" s="19" t="str">
        <f>CONCATENATE("A total of ",AA23," ares of land, comprising ",AA101," located in ",AA11,", ",AA10,", ",AA8,". ")</f>
        <v>A total of 0 ares of land, comprising  located in  Village,  Taluk,  District.</v>
      </c>
    </row>
    <row r="105" spans="3:30" ht="84.65" customHeight="1">
      <c r="Y105" s="477" t="s">
        <v>1107</v>
      </c>
      <c r="Z105" s="477"/>
      <c r="AA105" s="19" t="str">
        <f>IF(AA2&gt;2,AA104,VLOOKUP(AA2,Z102:AA104,2,FALSE))</f>
        <v>NA</v>
      </c>
    </row>
    <row r="106" spans="3:30" ht="102" customHeight="1">
      <c r="T106" s="69">
        <v>2</v>
      </c>
      <c r="Y106" s="74" t="s">
        <v>1109</v>
      </c>
      <c r="Z106" s="74"/>
      <c r="AA106" s="66" t="s">
        <v>1110</v>
      </c>
    </row>
    <row r="107" spans="3:30" ht="79.150000000000006" customHeight="1">
      <c r="D107" s="69">
        <v>0</v>
      </c>
      <c r="W107" s="69" t="s">
        <v>102</v>
      </c>
      <c r="X107" s="69">
        <v>1</v>
      </c>
      <c r="Y107" s="477" t="str">
        <f>IF(ISNUMBER(SEARCH("Nil",$AA$30)),1,"0")</f>
        <v>0</v>
      </c>
      <c r="Z107" s="477"/>
      <c r="AA107" s="66" t="s">
        <v>1129</v>
      </c>
    </row>
    <row r="108" spans="3:30" ht="53.15" customHeight="1">
      <c r="W108" s="69" t="s">
        <v>103</v>
      </c>
      <c r="X108" s="69">
        <v>2</v>
      </c>
      <c r="Y108" s="477" t="str">
        <f>IF(ISNUMBER(SEARCH("Footway",$AA$30)),2,"0")</f>
        <v>0</v>
      </c>
      <c r="Z108" s="477"/>
      <c r="AA108" s="66" t="s">
        <v>1130</v>
      </c>
    </row>
    <row r="109" spans="3:30" ht="87">
      <c r="W109" s="69" t="s">
        <v>104</v>
      </c>
      <c r="X109" s="69">
        <v>3</v>
      </c>
      <c r="Y109" s="477" t="str">
        <f>IF(ISNUMBER(SEARCH("Private",$AA$30)),3,"0")</f>
        <v>0</v>
      </c>
      <c r="Z109" s="477"/>
      <c r="AA109" s="66" t="str">
        <f>_xlfn.TEXTJOIN(" ",TRUE,AB109:AD109)</f>
        <v>The Location Sketch indicates that the property has right of access over a private road. However, No information regarding the width of the private road is provided in the location Sketch. This private road is used by</v>
      </c>
      <c r="AB109" s="19" t="s">
        <v>1131</v>
      </c>
      <c r="AC109" s="19" t="str">
        <f>IF(AA32=0,"However, No information regarding the width of the private road is provided in the location Sketch.",CONCATENATE("According to the Location Sketch, this road has a width of ",AA32," meters."))</f>
        <v>However, No information regarding the width of the private road is provided in the location Sketch.</v>
      </c>
      <c r="AD109" s="19" t="str">
        <f>CONCATENATE("This private road is used by ",AA31)</f>
        <v>This private road is used by</v>
      </c>
    </row>
    <row r="110" spans="3:30" ht="29">
      <c r="W110" s="69" t="s">
        <v>203</v>
      </c>
      <c r="X110" s="69">
        <v>4</v>
      </c>
      <c r="Y110" s="477" t="str">
        <f>IF(ISNUMBER(SEARCH("Panchayat",$AA$30)),4,"0")</f>
        <v>0</v>
      </c>
      <c r="Z110" s="477"/>
      <c r="AA110" s="66" t="s">
        <v>1132</v>
      </c>
    </row>
    <row r="111" spans="3:30" ht="29">
      <c r="W111" s="69" t="s">
        <v>196</v>
      </c>
      <c r="X111" s="69">
        <v>5</v>
      </c>
      <c r="Y111" s="477" t="str">
        <f>IF(ISNUMBER(SEARCH("Municipality",$AA$30)),5,"0")</f>
        <v>0</v>
      </c>
      <c r="Z111" s="477"/>
      <c r="AA111" s="66" t="s">
        <v>1133</v>
      </c>
    </row>
    <row r="112" spans="3:30" ht="29">
      <c r="W112" s="69" t="s">
        <v>188</v>
      </c>
      <c r="X112" s="69">
        <v>6</v>
      </c>
      <c r="Y112" s="477" t="str">
        <f>IF(ISNUMBER(SEARCH("Corporation",$AA$30)),6,"0")</f>
        <v>0</v>
      </c>
      <c r="Z112" s="477"/>
      <c r="AA112" s="66" t="s">
        <v>1134</v>
      </c>
    </row>
    <row r="113" spans="23:27" ht="29">
      <c r="W113" s="69" t="s">
        <v>218</v>
      </c>
      <c r="X113" s="69">
        <v>7</v>
      </c>
      <c r="Y113" s="477" t="str">
        <f>IF(ISNUMBER(SEARCH("PWD",$AA$30)),7,"0")</f>
        <v>0</v>
      </c>
      <c r="Z113" s="477"/>
      <c r="AA113" s="66" t="s">
        <v>1135</v>
      </c>
    </row>
    <row r="114" spans="23:27" ht="29">
      <c r="W114" s="69" t="s">
        <v>221</v>
      </c>
      <c r="X114" s="69">
        <v>8</v>
      </c>
      <c r="Y114" s="477" t="str">
        <f>IF(ISNUMBER(SEARCH("SH",$AA$30)),8,"0")</f>
        <v>0</v>
      </c>
      <c r="Z114" s="477"/>
      <c r="AA114" s="66" t="s">
        <v>1136</v>
      </c>
    </row>
    <row r="115" spans="23:27" ht="29">
      <c r="W115" s="69" t="s">
        <v>224</v>
      </c>
      <c r="X115" s="69">
        <v>9</v>
      </c>
      <c r="Y115" s="477" t="str">
        <f>IF(ISNUMBER(SEARCH("NH",$AA$30)),9,"0")</f>
        <v>0</v>
      </c>
      <c r="Z115" s="477"/>
      <c r="AA115" s="66" t="s">
        <v>1137</v>
      </c>
    </row>
    <row r="116" spans="23:27" ht="65.650000000000006" customHeight="1">
      <c r="W116" s="69" t="s">
        <v>1120</v>
      </c>
      <c r="Y116" s="477">
        <f>MAX(Y107:Z115)</f>
        <v>0</v>
      </c>
      <c r="Z116" s="477"/>
      <c r="AA116" s="75" t="e">
        <f>VLOOKUP(Y116,X107:AA115,4,FALSE)</f>
        <v>#N/A</v>
      </c>
    </row>
    <row r="117" spans="23:27" ht="80.650000000000006" customHeight="1">
      <c r="W117" s="69" t="s">
        <v>1120</v>
      </c>
      <c r="X117" s="19" t="str">
        <f>CONCATENATE("This private road has ",AA32," m Width.")</f>
        <v>This private road has 0 m Width.</v>
      </c>
      <c r="Y117" s="477"/>
      <c r="Z117" s="477"/>
      <c r="AA117" s="69" t="str">
        <f>IF(Y116=4,X117,"")</f>
        <v/>
      </c>
    </row>
    <row r="118" spans="23:27">
      <c r="Y118" s="477"/>
      <c r="Z118" s="477"/>
    </row>
    <row r="119" spans="23:27">
      <c r="Y119" s="477"/>
      <c r="Z119" s="477"/>
    </row>
    <row r="120" spans="23:27">
      <c r="Y120" s="477"/>
      <c r="Z120" s="477"/>
    </row>
  </sheetData>
  <mergeCells count="15">
    <mergeCell ref="Y105:Z105"/>
    <mergeCell ref="Y107:Z107"/>
    <mergeCell ref="Y108:Z108"/>
    <mergeCell ref="Y109:Z109"/>
    <mergeCell ref="Y110:Z110"/>
    <mergeCell ref="Y111:Z111"/>
    <mergeCell ref="Y112:Z112"/>
    <mergeCell ref="Y113:Z113"/>
    <mergeCell ref="Y114:Z114"/>
    <mergeCell ref="Y115:Z115"/>
    <mergeCell ref="Y116:Z116"/>
    <mergeCell ref="Y117:Z117"/>
    <mergeCell ref="Y118:Z118"/>
    <mergeCell ref="Y119:Z119"/>
    <mergeCell ref="Y120:Z120"/>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2:AD120"/>
  <sheetViews>
    <sheetView topLeftCell="W1" workbookViewId="0"/>
  </sheetViews>
  <sheetFormatPr defaultColWidth="9.26953125" defaultRowHeight="14.5"/>
  <cols>
    <col min="1" max="1" width="3" style="69" customWidth="1"/>
    <col min="2" max="2" width="23.26953125" style="69" customWidth="1"/>
    <col min="3" max="3" width="11.54296875" style="69" customWidth="1"/>
    <col min="4" max="4" width="14" style="69" customWidth="1"/>
    <col min="5" max="5" width="11.54296875" style="69" customWidth="1"/>
    <col min="6" max="22" width="9.26953125" style="69"/>
    <col min="23" max="23" width="11" style="69" customWidth="1"/>
    <col min="24" max="26" width="9.26953125" style="69"/>
    <col min="27" max="27" width="52.7265625" style="69" customWidth="1"/>
    <col min="28" max="28" width="15.54296875" style="69" customWidth="1"/>
    <col min="29" max="29" width="25.26953125" style="69" customWidth="1"/>
    <col min="30" max="31" width="29.26953125" style="69" customWidth="1"/>
    <col min="32" max="16384" width="9.26953125" style="69"/>
  </cols>
  <sheetData>
    <row r="2" spans="1:28">
      <c r="A2" s="70"/>
      <c r="B2" s="70"/>
      <c r="C2" s="70" t="str">
        <f>IF(MaGic_AVM_Land!C2="Survey Sketch","Y","N")</f>
        <v>N</v>
      </c>
      <c r="D2" s="70" t="str">
        <f>IF(MaGic_AVM_Land!D2="Survey Sketch","Y","N")</f>
        <v>N</v>
      </c>
      <c r="E2" s="70" t="str">
        <f>IF(MaGic_AVM_Land!E2="Survey Sketch","Y","N")</f>
        <v>N</v>
      </c>
      <c r="F2" s="70" t="str">
        <f>IF(MaGic_AVM_Land!F2="Survey Sketch","Y","N")</f>
        <v>N</v>
      </c>
      <c r="G2" s="70" t="str">
        <f>IF(MaGic_AVM_Land!G2="Survey Sketch","Y","N")</f>
        <v>N</v>
      </c>
      <c r="H2" s="70" t="str">
        <f>IF(MaGic_AVM_Land!H2="Survey Sketch","Y","N")</f>
        <v>N</v>
      </c>
      <c r="I2" s="70" t="str">
        <f>IF(MaGic_AVM_Land!I2="Survey Sketch","Y","N")</f>
        <v>N</v>
      </c>
      <c r="J2" s="70" t="str">
        <f>IF(MaGic_AVM_Land!J2="Survey Sketch","Y","N")</f>
        <v>N</v>
      </c>
      <c r="K2" s="70" t="str">
        <f>IF(MaGic_AVM_Land!K2="Survey Sketch","Y","N")</f>
        <v>N</v>
      </c>
      <c r="L2" s="70" t="str">
        <f>IF(MaGic_AVM_Land!L2="Survey Sketch","Y","N")</f>
        <v>N</v>
      </c>
      <c r="M2" s="70" t="str">
        <f>IF(MaGic_AVM_Land!M2="Survey Sketch","Y","N")</f>
        <v>N</v>
      </c>
      <c r="N2" s="70" t="str">
        <f>IF(MaGic_AVM_Land!N2="Survey Sketch","Y","N")</f>
        <v>N</v>
      </c>
      <c r="O2" s="70" t="str">
        <f>IF(MaGic_AVM_Land!O2="Survey Sketch","Y","N")</f>
        <v>N</v>
      </c>
      <c r="P2" s="70" t="str">
        <f>IF(MaGic_AVM_Land!P2="Survey Sketch","Y","N")</f>
        <v>N</v>
      </c>
      <c r="Q2" s="70" t="str">
        <f>IF(MaGic_AVM_Land!Q2="Survey Sketch","Y","N")</f>
        <v>N</v>
      </c>
      <c r="R2" s="70" t="str">
        <f>IF(MaGic_AVM_Land!R2="Survey Sketch","Y","N")</f>
        <v>N</v>
      </c>
      <c r="S2" s="70" t="str">
        <f>IF(MaGic_AVM_Land!S2="Survey Sketch","Y","N")</f>
        <v>N</v>
      </c>
      <c r="T2" s="70" t="str">
        <f>IF(MaGic_AVM_Land!T2="Survey Sketch","Y","N")</f>
        <v>N</v>
      </c>
      <c r="U2" s="70" t="str">
        <f>IF(MaGic_AVM_Land!U2="Survey Sketch","Y","N")</f>
        <v>N</v>
      </c>
      <c r="V2" s="70" t="str">
        <f>IF(MaGic_AVM_Land!V2="Survey Sketch","Y","N")</f>
        <v>N</v>
      </c>
      <c r="W2" s="70" t="str">
        <f>IF(MaGic_AVM_Land!W2="Survey Sketch","Y","N")</f>
        <v>N</v>
      </c>
      <c r="X2" s="70" t="str">
        <f>IF(MaGic_AVM_Land!X2="Survey Sketch","Y","N")</f>
        <v>N</v>
      </c>
      <c r="Y2" s="70" t="str">
        <f>IF(MaGic_AVM_Land!Y2="Survey Sketch","Y","N")</f>
        <v>N</v>
      </c>
      <c r="Z2" s="70" t="str">
        <f>IF(MaGic_AVM_Land!Z2="Survey Sketch","Y","N")</f>
        <v>N</v>
      </c>
      <c r="AA2" s="69">
        <f>COUNTIF(C2:Z2,"Y")</f>
        <v>0</v>
      </c>
      <c r="AB2" s="69" t="str" cm="1">
        <f t="array" ref="AB2">_xlfn.UNIQUE(C2:Z2,TRUE,FALSE)</f>
        <v>N</v>
      </c>
    </row>
    <row r="3" spans="1:28">
      <c r="A3" s="70">
        <v>1</v>
      </c>
      <c r="B3" s="70" t="s">
        <v>48</v>
      </c>
      <c r="C3" s="70" t="str">
        <f>IF(C$2="Y",IF(MaGic_AVM_Land!C3=0,"",MaGic_AVM_Land!C3),"")</f>
        <v/>
      </c>
      <c r="D3" s="70" t="str">
        <f>IF(D$2="Y",IF(MaGic_AVM_Land!D3=0,"",MaGic_AVM_Land!D3),"")</f>
        <v/>
      </c>
      <c r="E3" s="70" t="str">
        <f>IF(E$2="Y",IF(MaGic_AVM_Land!E3=0,"",MaGic_AVM_Land!E3),"")</f>
        <v/>
      </c>
      <c r="F3" s="70" t="str">
        <f>IF(F$2="Y",IF(MaGic_AVM_Land!F3=0,"",MaGic_AVM_Land!F3),"")</f>
        <v/>
      </c>
      <c r="G3" s="70" t="str">
        <f>IF(G$2="Y",IF(MaGic_AVM_Land!G3=0,"",MaGic_AVM_Land!G3),"")</f>
        <v/>
      </c>
      <c r="H3" s="70" t="str">
        <f>IF(H$2="Y",IF(MaGic_AVM_Land!H3=0,"",MaGic_AVM_Land!H3),"")</f>
        <v/>
      </c>
      <c r="I3" s="70" t="str">
        <f>IF(I$2="Y",IF(MaGic_AVM_Land!I3=0,"",MaGic_AVM_Land!I3),"")</f>
        <v/>
      </c>
      <c r="J3" s="70" t="str">
        <f>IF(J$2="Y",IF(MaGic_AVM_Land!J3=0,"",MaGic_AVM_Land!J3),"")</f>
        <v/>
      </c>
      <c r="K3" s="70" t="str">
        <f>IF(K$2="Y",IF(MaGic_AVM_Land!K3=0,"",MaGic_AVM_Land!K3),"")</f>
        <v/>
      </c>
      <c r="L3" s="70" t="str">
        <f>IF(L$2="Y",IF(MaGic_AVM_Land!L3=0,"",MaGic_AVM_Land!L3),"")</f>
        <v/>
      </c>
      <c r="M3" s="70" t="str">
        <f>IF(M$2="Y",IF(MaGic_AVM_Land!M3=0,"",MaGic_AVM_Land!M3),"")</f>
        <v/>
      </c>
      <c r="N3" s="70" t="str">
        <f>IF(N$2="Y",IF(MaGic_AVM_Land!N3=0,"",MaGic_AVM_Land!N3),"")</f>
        <v/>
      </c>
      <c r="O3" s="70" t="str">
        <f>IF(O$2="Y",IF(MaGic_AVM_Land!O3=0,"",MaGic_AVM_Land!O3),"")</f>
        <v/>
      </c>
      <c r="P3" s="70" t="str">
        <f>IF(P$2="Y",IF(MaGic_AVM_Land!P3=0,"",MaGic_AVM_Land!P3),"")</f>
        <v/>
      </c>
      <c r="Q3" s="70" t="str">
        <f>IF(Q$2="Y",IF(MaGic_AVM_Land!Q3=0,"",MaGic_AVM_Land!Q3),"")</f>
        <v/>
      </c>
      <c r="R3" s="70" t="str">
        <f>IF(R$2="Y",IF(MaGic_AVM_Land!R3=0,"",MaGic_AVM_Land!R3),"")</f>
        <v/>
      </c>
      <c r="S3" s="70" t="str">
        <f>IF(S$2="Y",IF(MaGic_AVM_Land!S3=0,"",MaGic_AVM_Land!S3),"")</f>
        <v/>
      </c>
      <c r="T3" s="70" t="str">
        <f>IF(T$2="Y",IF(MaGic_AVM_Land!T3=0,"",MaGic_AVM_Land!T3),"")</f>
        <v/>
      </c>
      <c r="U3" s="70" t="str">
        <f>IF(U$2="Y",IF(MaGic_AVM_Land!U3=0,"",MaGic_AVM_Land!U3),"")</f>
        <v/>
      </c>
      <c r="V3" s="70" t="str">
        <f>IF(V$2="Y",IF(MaGic_AVM_Land!V3=0,"",MaGic_AVM_Land!V3),"")</f>
        <v/>
      </c>
      <c r="W3" s="70" t="str">
        <f>IF(W$2="Y",IF(MaGic_AVM_Land!W3=0,"",MaGic_AVM_Land!W3),"")</f>
        <v/>
      </c>
      <c r="X3" s="70" t="str">
        <f>IF(X$2="Y",IF(MaGic_AVM_Land!X3=0,"",MaGic_AVM_Land!X3),"")</f>
        <v/>
      </c>
      <c r="Y3" s="70" t="str">
        <f>IF(Y$2="Y",IF(MaGic_AVM_Land!Y3=0,"",MaGic_AVM_Land!Y3),"")</f>
        <v/>
      </c>
      <c r="Z3" s="70" t="str">
        <f>IF(Z$2="Y",IF(MaGic_AVM_Land!Z3=0,"",MaGic_AVM_Land!Z3),"")</f>
        <v/>
      </c>
      <c r="AA3" s="69" t="str">
        <f t="shared" ref="AA3:AA7" si="0">_xlfn.TEXTJOIN(", ",TRUE,AB3:AZ3)</f>
        <v/>
      </c>
      <c r="AB3" s="69" t="str" cm="1">
        <f t="array" ref="AB3">_xlfn.UNIQUE(C3:Z3,TRUE,FALSE)</f>
        <v/>
      </c>
    </row>
    <row r="4" spans="1:28">
      <c r="A4" s="70">
        <v>2</v>
      </c>
      <c r="B4" s="70" t="s">
        <v>51</v>
      </c>
      <c r="C4" s="70" t="str">
        <f>IF(C$2="Y",IF(MaGic_AVM_Land!C4=0,"",MaGic_AVM_Land!C4),"")</f>
        <v/>
      </c>
      <c r="D4" s="70" t="str">
        <f>IF(D$2="Y",IF(MaGic_AVM_Land!D4=0,"",MaGic_AVM_Land!D4),"")</f>
        <v/>
      </c>
      <c r="E4" s="70" t="str">
        <f>IF(E$2="Y",IF(MaGic_AVM_Land!E4=0,"",MaGic_AVM_Land!E4),"")</f>
        <v/>
      </c>
      <c r="F4" s="70" t="str">
        <f>IF(F$2="Y",IF(MaGic_AVM_Land!F4=0,"",MaGic_AVM_Land!F4),"")</f>
        <v/>
      </c>
      <c r="G4" s="70" t="str">
        <f>IF(G$2="Y",IF(MaGic_AVM_Land!G4=0,"",MaGic_AVM_Land!G4),"")</f>
        <v/>
      </c>
      <c r="H4" s="70" t="str">
        <f>IF(H$2="Y",IF(MaGic_AVM_Land!H4=0,"",MaGic_AVM_Land!H4),"")</f>
        <v/>
      </c>
      <c r="I4" s="70" t="str">
        <f>IF(I$2="Y",IF(MaGic_AVM_Land!I4=0,"",MaGic_AVM_Land!I4),"")</f>
        <v/>
      </c>
      <c r="J4" s="70" t="str">
        <f>IF(J$2="Y",IF(MaGic_AVM_Land!J4=0,"",MaGic_AVM_Land!J4),"")</f>
        <v/>
      </c>
      <c r="K4" s="70" t="str">
        <f>IF(K$2="Y",IF(MaGic_AVM_Land!K4=0,"",MaGic_AVM_Land!K4),"")</f>
        <v/>
      </c>
      <c r="L4" s="70" t="str">
        <f>IF(L$2="Y",IF(MaGic_AVM_Land!L4=0,"",MaGic_AVM_Land!L4),"")</f>
        <v/>
      </c>
      <c r="M4" s="70" t="str">
        <f>IF(M$2="Y",IF(MaGic_AVM_Land!M4=0,"",MaGic_AVM_Land!M4),"")</f>
        <v/>
      </c>
      <c r="N4" s="70" t="str">
        <f>IF(N$2="Y",IF(MaGic_AVM_Land!N4=0,"",MaGic_AVM_Land!N4),"")</f>
        <v/>
      </c>
      <c r="O4" s="70" t="str">
        <f>IF(O$2="Y",IF(MaGic_AVM_Land!O4=0,"",MaGic_AVM_Land!O4),"")</f>
        <v/>
      </c>
      <c r="P4" s="70" t="str">
        <f>IF(P$2="Y",IF(MaGic_AVM_Land!P4=0,"",MaGic_AVM_Land!P4),"")</f>
        <v/>
      </c>
      <c r="Q4" s="70" t="str">
        <f>IF(Q$2="Y",IF(MaGic_AVM_Land!Q4=0,"",MaGic_AVM_Land!Q4),"")</f>
        <v/>
      </c>
      <c r="R4" s="70" t="str">
        <f>IF(R$2="Y",IF(MaGic_AVM_Land!R4=0,"",MaGic_AVM_Land!R4),"")</f>
        <v/>
      </c>
      <c r="S4" s="70" t="str">
        <f>IF(S$2="Y",IF(MaGic_AVM_Land!S4=0,"",MaGic_AVM_Land!S4),"")</f>
        <v/>
      </c>
      <c r="T4" s="70" t="str">
        <f>IF(T$2="Y",IF(MaGic_AVM_Land!T4=0,"",MaGic_AVM_Land!T4),"")</f>
        <v/>
      </c>
      <c r="U4" s="70" t="str">
        <f>IF(U$2="Y",IF(MaGic_AVM_Land!U4=0,"",MaGic_AVM_Land!U4),"")</f>
        <v/>
      </c>
      <c r="V4" s="70" t="str">
        <f>IF(V$2="Y",IF(MaGic_AVM_Land!V4=0,"",MaGic_AVM_Land!V4),"")</f>
        <v/>
      </c>
      <c r="W4" s="70" t="str">
        <f>IF(W$2="Y",IF(MaGic_AVM_Land!W4=0,"",MaGic_AVM_Land!W4),"")</f>
        <v/>
      </c>
      <c r="X4" s="70" t="str">
        <f>IF(X$2="Y",IF(MaGic_AVM_Land!X4=0,"",MaGic_AVM_Land!X4),"")</f>
        <v/>
      </c>
      <c r="Y4" s="70" t="str">
        <f>IF(Y$2="Y",IF(MaGic_AVM_Land!Y4=0,"",MaGic_AVM_Land!Y4),"")</f>
        <v/>
      </c>
      <c r="Z4" s="70" t="str">
        <f>IF(Z$2="Y",IF(MaGic_AVM_Land!Z4=0,"",MaGic_AVM_Land!Z4),"")</f>
        <v/>
      </c>
      <c r="AA4" s="69" t="str">
        <f t="shared" si="0"/>
        <v/>
      </c>
      <c r="AB4" s="69" t="str" cm="1">
        <f t="array" ref="AB4">_xlfn.UNIQUE(C4:Z4,TRUE,FALSE)</f>
        <v/>
      </c>
    </row>
    <row r="5" spans="1:28">
      <c r="A5" s="70">
        <v>3</v>
      </c>
      <c r="B5" s="70" t="s">
        <v>52</v>
      </c>
      <c r="C5" s="70" t="str">
        <f>IF(C$2="Y",IF(MaGic_AVM_Land!C5=0,"",MaGic_AVM_Land!C5),"")</f>
        <v/>
      </c>
      <c r="D5" s="70" t="str">
        <f>IF(D$2="Y",IF(MaGic_AVM_Land!D5=0,"",MaGic_AVM_Land!D5),"")</f>
        <v/>
      </c>
      <c r="E5" s="70" t="str">
        <f>IF(E$2="Y",IF(MaGic_AVM_Land!E5=0,"",MaGic_AVM_Land!E5),"")</f>
        <v/>
      </c>
      <c r="F5" s="70" t="str">
        <f>IF(F$2="Y",IF(MaGic_AVM_Land!F5=0,"",MaGic_AVM_Land!F5),"")</f>
        <v/>
      </c>
      <c r="G5" s="70" t="str">
        <f>IF(G$2="Y",IF(MaGic_AVM_Land!G5=0,"",MaGic_AVM_Land!G5),"")</f>
        <v/>
      </c>
      <c r="H5" s="70" t="str">
        <f>IF(H$2="Y",IF(MaGic_AVM_Land!H5=0,"",MaGic_AVM_Land!H5),"")</f>
        <v/>
      </c>
      <c r="I5" s="70" t="str">
        <f>IF(I$2="Y",IF(MaGic_AVM_Land!I5=0,"",MaGic_AVM_Land!I5),"")</f>
        <v/>
      </c>
      <c r="J5" s="70" t="str">
        <f>IF(J$2="Y",IF(MaGic_AVM_Land!J5=0,"",MaGic_AVM_Land!J5),"")</f>
        <v/>
      </c>
      <c r="K5" s="70" t="str">
        <f>IF(K$2="Y",IF(MaGic_AVM_Land!K5=0,"",MaGic_AVM_Land!K5),"")</f>
        <v/>
      </c>
      <c r="L5" s="70" t="str">
        <f>IF(L$2="Y",IF(MaGic_AVM_Land!L5=0,"",MaGic_AVM_Land!L5),"")</f>
        <v/>
      </c>
      <c r="M5" s="70" t="str">
        <f>IF(M$2="Y",IF(MaGic_AVM_Land!M5=0,"",MaGic_AVM_Land!M5),"")</f>
        <v/>
      </c>
      <c r="N5" s="70" t="str">
        <f>IF(N$2="Y",IF(MaGic_AVM_Land!N5=0,"",MaGic_AVM_Land!N5),"")</f>
        <v/>
      </c>
      <c r="O5" s="70" t="str">
        <f>IF(O$2="Y",IF(MaGic_AVM_Land!O5=0,"",MaGic_AVM_Land!O5),"")</f>
        <v/>
      </c>
      <c r="P5" s="70" t="str">
        <f>IF(P$2="Y",IF(MaGic_AVM_Land!P5=0,"",MaGic_AVM_Land!P5),"")</f>
        <v/>
      </c>
      <c r="Q5" s="70" t="str">
        <f>IF(Q$2="Y",IF(MaGic_AVM_Land!Q5=0,"",MaGic_AVM_Land!Q5),"")</f>
        <v/>
      </c>
      <c r="R5" s="70" t="str">
        <f>IF(R$2="Y",IF(MaGic_AVM_Land!R5=0,"",MaGic_AVM_Land!R5),"")</f>
        <v/>
      </c>
      <c r="S5" s="70" t="str">
        <f>IF(S$2="Y",IF(MaGic_AVM_Land!S5=0,"",MaGic_AVM_Land!S5),"")</f>
        <v/>
      </c>
      <c r="T5" s="70" t="str">
        <f>IF(T$2="Y",IF(MaGic_AVM_Land!T5=0,"",MaGic_AVM_Land!T5),"")</f>
        <v/>
      </c>
      <c r="U5" s="70" t="str">
        <f>IF(U$2="Y",IF(MaGic_AVM_Land!U5=0,"",MaGic_AVM_Land!U5),"")</f>
        <v/>
      </c>
      <c r="V5" s="70" t="str">
        <f>IF(V$2="Y",IF(MaGic_AVM_Land!V5=0,"",MaGic_AVM_Land!V5),"")</f>
        <v/>
      </c>
      <c r="W5" s="70" t="str">
        <f>IF(W$2="Y",IF(MaGic_AVM_Land!W5=0,"",MaGic_AVM_Land!W5),"")</f>
        <v/>
      </c>
      <c r="X5" s="70" t="str">
        <f>IF(X$2="Y",IF(MaGic_AVM_Land!X5=0,"",MaGic_AVM_Land!X5),"")</f>
        <v/>
      </c>
      <c r="Y5" s="70" t="str">
        <f>IF(Y$2="Y",IF(MaGic_AVM_Land!Y5=0,"",MaGic_AVM_Land!Y5),"")</f>
        <v/>
      </c>
      <c r="Z5" s="70" t="str">
        <f>IF(Z$2="Y",IF(MaGic_AVM_Land!Z5=0,"",MaGic_AVM_Land!Z5),"")</f>
        <v/>
      </c>
      <c r="AA5" s="69" t="str">
        <f t="shared" si="0"/>
        <v/>
      </c>
      <c r="AB5" s="69" t="str" cm="1">
        <f t="array" ref="AB5">_xlfn.UNIQUE(C5:Z5,TRUE,FALSE)</f>
        <v/>
      </c>
    </row>
    <row r="6" spans="1:28">
      <c r="A6" s="70">
        <v>4</v>
      </c>
      <c r="B6" s="70" t="s">
        <v>1101</v>
      </c>
      <c r="C6" s="70" t="str">
        <f>IF(C$2="Y",IF(MaGic_AVM_Land!C6=0,"",MaGic_AVM_Land!C6),"")</f>
        <v/>
      </c>
      <c r="D6" s="70" t="str">
        <f>IF(D$2="Y",IF(MaGic_AVM_Land!D6=0,"",MaGic_AVM_Land!D6),"")</f>
        <v/>
      </c>
      <c r="E6" s="70" t="str">
        <f>IF(E$2="Y",IF(MaGic_AVM_Land!E6=0,"",MaGic_AVM_Land!E6),"")</f>
        <v/>
      </c>
      <c r="F6" s="70" t="str">
        <f>IF(F$2="Y",IF(MaGic_AVM_Land!F6=0,"",MaGic_AVM_Land!F6),"")</f>
        <v/>
      </c>
      <c r="G6" s="70" t="str">
        <f>IF(G$2="Y",IF(MaGic_AVM_Land!G6=0,"",MaGic_AVM_Land!G6),"")</f>
        <v/>
      </c>
      <c r="H6" s="70" t="str">
        <f>IF(H$2="Y",IF(MaGic_AVM_Land!H6=0,"",MaGic_AVM_Land!H6),"")</f>
        <v/>
      </c>
      <c r="I6" s="70" t="str">
        <f>IF(I$2="Y",IF(MaGic_AVM_Land!I6=0,"",MaGic_AVM_Land!I6),"")</f>
        <v/>
      </c>
      <c r="J6" s="70" t="str">
        <f>IF(J$2="Y",IF(MaGic_AVM_Land!J6=0,"",MaGic_AVM_Land!J6),"")</f>
        <v/>
      </c>
      <c r="K6" s="70" t="str">
        <f>IF(K$2="Y",IF(MaGic_AVM_Land!K6=0,"",MaGic_AVM_Land!K6),"")</f>
        <v/>
      </c>
      <c r="L6" s="70" t="str">
        <f>IF(L$2="Y",IF(MaGic_AVM_Land!L6=0,"",MaGic_AVM_Land!L6),"")</f>
        <v/>
      </c>
      <c r="M6" s="70" t="str">
        <f>IF(M$2="Y",IF(MaGic_AVM_Land!M6=0,"",MaGic_AVM_Land!M6),"")</f>
        <v/>
      </c>
      <c r="N6" s="70" t="str">
        <f>IF(N$2="Y",IF(MaGic_AVM_Land!N6=0,"",MaGic_AVM_Land!N6),"")</f>
        <v/>
      </c>
      <c r="O6" s="70" t="str">
        <f>IF(O$2="Y",IF(MaGic_AVM_Land!O6=0,"",MaGic_AVM_Land!O6),"")</f>
        <v/>
      </c>
      <c r="P6" s="70" t="str">
        <f>IF(P$2="Y",IF(MaGic_AVM_Land!P6=0,"",MaGic_AVM_Land!P6),"")</f>
        <v/>
      </c>
      <c r="Q6" s="70" t="str">
        <f>IF(Q$2="Y",IF(MaGic_AVM_Land!Q6=0,"",MaGic_AVM_Land!Q6),"")</f>
        <v/>
      </c>
      <c r="R6" s="70" t="str">
        <f>IF(R$2="Y",IF(MaGic_AVM_Land!R6=0,"",MaGic_AVM_Land!R6),"")</f>
        <v/>
      </c>
      <c r="S6" s="70" t="str">
        <f>IF(S$2="Y",IF(MaGic_AVM_Land!S6=0,"",MaGic_AVM_Land!S6),"")</f>
        <v/>
      </c>
      <c r="T6" s="70" t="str">
        <f>IF(T$2="Y",IF(MaGic_AVM_Land!T6=0,"",MaGic_AVM_Land!T6),"")</f>
        <v/>
      </c>
      <c r="U6" s="70" t="str">
        <f>IF(U$2="Y",IF(MaGic_AVM_Land!U6=0,"",MaGic_AVM_Land!U6),"")</f>
        <v/>
      </c>
      <c r="V6" s="70" t="str">
        <f>IF(V$2="Y",IF(MaGic_AVM_Land!V6=0,"",MaGic_AVM_Land!V6),"")</f>
        <v/>
      </c>
      <c r="W6" s="70" t="str">
        <f>IF(W$2="Y",IF(MaGic_AVM_Land!W6=0,"",MaGic_AVM_Land!W6),"")</f>
        <v/>
      </c>
      <c r="X6" s="70" t="str">
        <f>IF(X$2="Y",IF(MaGic_AVM_Land!X6=0,"",MaGic_AVM_Land!X6),"")</f>
        <v/>
      </c>
      <c r="Y6" s="70" t="str">
        <f>IF(Y$2="Y",IF(MaGic_AVM_Land!Y6=0,"",MaGic_AVM_Land!Y6),"")</f>
        <v/>
      </c>
      <c r="Z6" s="70" t="str">
        <f>IF(Z$2="Y",IF(MaGic_AVM_Land!Z6=0,"",MaGic_AVM_Land!Z6),"")</f>
        <v/>
      </c>
      <c r="AA6" s="69" t="str">
        <f t="shared" si="0"/>
        <v/>
      </c>
      <c r="AB6" s="69" t="str" cm="1">
        <f t="array" ref="AB6">_xlfn.UNIQUE(C6:Z6,TRUE,FALSE)</f>
        <v/>
      </c>
    </row>
    <row r="7" spans="1:28">
      <c r="A7" s="70">
        <v>2</v>
      </c>
      <c r="B7" s="70" t="s">
        <v>1102</v>
      </c>
      <c r="C7" s="70" t="str">
        <f>IF(C$2="Y",IF(MaGic_AVM_Land!C7=0,"",MaGic_AVM_Land!C7),"")</f>
        <v/>
      </c>
      <c r="D7" s="70" t="str">
        <f>IF(D$2="Y",IF(MaGic_AVM_Land!D7=0,"",MaGic_AVM_Land!D7),"")</f>
        <v/>
      </c>
      <c r="E7" s="70" t="str">
        <f>IF(E$2="Y",IF(MaGic_AVM_Land!E7=0,"",MaGic_AVM_Land!E7),"")</f>
        <v/>
      </c>
      <c r="F7" s="70" t="str">
        <f>IF(F$2="Y",IF(MaGic_AVM_Land!F7=0,"",MaGic_AVM_Land!F7),"")</f>
        <v/>
      </c>
      <c r="G7" s="70" t="str">
        <f>IF(G$2="Y",IF(MaGic_AVM_Land!G7=0,"",MaGic_AVM_Land!G7),"")</f>
        <v/>
      </c>
      <c r="H7" s="70" t="str">
        <f>IF(H$2="Y",IF(MaGic_AVM_Land!H7=0,"",MaGic_AVM_Land!H7),"")</f>
        <v/>
      </c>
      <c r="I7" s="70" t="str">
        <f>IF(I$2="Y",IF(MaGic_AVM_Land!I7=0,"",MaGic_AVM_Land!I7),"")</f>
        <v/>
      </c>
      <c r="J7" s="70" t="str">
        <f>IF(J$2="Y",IF(MaGic_AVM_Land!J7=0,"",MaGic_AVM_Land!J7),"")</f>
        <v/>
      </c>
      <c r="K7" s="70" t="str">
        <f>IF(K$2="Y",IF(MaGic_AVM_Land!K7=0,"",MaGic_AVM_Land!K7),"")</f>
        <v/>
      </c>
      <c r="L7" s="70" t="str">
        <f>IF(L$2="Y",IF(MaGic_AVM_Land!L7=0,"",MaGic_AVM_Land!L7),"")</f>
        <v/>
      </c>
      <c r="M7" s="70" t="str">
        <f>IF(M$2="Y",IF(MaGic_AVM_Land!M7=0,"",MaGic_AVM_Land!M7),"")</f>
        <v/>
      </c>
      <c r="N7" s="70" t="str">
        <f>IF(N$2="Y",IF(MaGic_AVM_Land!N7=0,"",MaGic_AVM_Land!N7),"")</f>
        <v/>
      </c>
      <c r="O7" s="70" t="str">
        <f>IF(O$2="Y",IF(MaGic_AVM_Land!O7=0,"",MaGic_AVM_Land!O7),"")</f>
        <v/>
      </c>
      <c r="P7" s="70" t="str">
        <f>IF(P$2="Y",IF(MaGic_AVM_Land!P7=0,"",MaGic_AVM_Land!P7),"")</f>
        <v/>
      </c>
      <c r="Q7" s="70" t="str">
        <f>IF(Q$2="Y",IF(MaGic_AVM_Land!Q7=0,"",MaGic_AVM_Land!Q7),"")</f>
        <v/>
      </c>
      <c r="R7" s="70" t="str">
        <f>IF(R$2="Y",IF(MaGic_AVM_Land!R7=0,"",MaGic_AVM_Land!R7),"")</f>
        <v/>
      </c>
      <c r="S7" s="70" t="str">
        <f>IF(S$2="Y",IF(MaGic_AVM_Land!S7=0,"",MaGic_AVM_Land!S7),"")</f>
        <v/>
      </c>
      <c r="T7" s="70" t="str">
        <f>IF(T$2="Y",IF(MaGic_AVM_Land!T7=0,"",MaGic_AVM_Land!T7),"")</f>
        <v/>
      </c>
      <c r="U7" s="70" t="str">
        <f>IF(U$2="Y",IF(MaGic_AVM_Land!U7=0,"",MaGic_AVM_Land!U7),"")</f>
        <v/>
      </c>
      <c r="V7" s="70" t="str">
        <f>IF(V$2="Y",IF(MaGic_AVM_Land!V7=0,"",MaGic_AVM_Land!V7),"")</f>
        <v/>
      </c>
      <c r="W7" s="70" t="str">
        <f>IF(W$2="Y",IF(MaGic_AVM_Land!W7=0,"",MaGic_AVM_Land!W7),"")</f>
        <v/>
      </c>
      <c r="X7" s="70" t="str">
        <f>IF(X$2="Y",IF(MaGic_AVM_Land!X7=0,"",MaGic_AVM_Land!X7),"")</f>
        <v/>
      </c>
      <c r="Y7" s="70" t="str">
        <f>IF(Y$2="Y",IF(MaGic_AVM_Land!Y7=0,"",MaGic_AVM_Land!Y7),"")</f>
        <v/>
      </c>
      <c r="Z7" s="70" t="str">
        <f>IF(Z$2="Y",IF(MaGic_AVM_Land!Z7=0,"",MaGic_AVM_Land!Z7),"")</f>
        <v/>
      </c>
      <c r="AA7" s="69" t="str">
        <f t="shared" si="0"/>
        <v/>
      </c>
      <c r="AB7" s="69" t="str" cm="1">
        <f t="array" ref="AB7">_xlfn.UNIQUE(C7:Z7,TRUE,FALSE)</f>
        <v/>
      </c>
    </row>
    <row r="8" spans="1:28">
      <c r="A8" s="70">
        <v>6</v>
      </c>
      <c r="B8" s="70" t="s">
        <v>31</v>
      </c>
      <c r="C8" s="70" t="str">
        <f>IF(C$2="Y",IF(MaGic_AVM_Land!C8=0,"",MaGic_AVM_Land!C8),"")</f>
        <v/>
      </c>
      <c r="D8" s="70" t="str">
        <f>IF(D$2="Y",IF(MaGic_AVM_Land!D8=0,"",MaGic_AVM_Land!D8),"")</f>
        <v/>
      </c>
      <c r="E8" s="70" t="str">
        <f>IF(E$2="Y",IF(MaGic_AVM_Land!E8=0,"",MaGic_AVM_Land!E8),"")</f>
        <v/>
      </c>
      <c r="F8" s="70" t="str">
        <f>IF(F$2="Y",IF(MaGic_AVM_Land!F8=0,"",MaGic_AVM_Land!F8),"")</f>
        <v/>
      </c>
      <c r="G8" s="70" t="str">
        <f>IF(G$2="Y",IF(MaGic_AVM_Land!G8=0,"",MaGic_AVM_Land!G8),"")</f>
        <v/>
      </c>
      <c r="H8" s="70" t="str">
        <f>IF(H$2="Y",IF(MaGic_AVM_Land!H8=0,"",MaGic_AVM_Land!H8),"")</f>
        <v/>
      </c>
      <c r="I8" s="70" t="str">
        <f>IF(I$2="Y",IF(MaGic_AVM_Land!I8=0,"",MaGic_AVM_Land!I8),"")</f>
        <v/>
      </c>
      <c r="J8" s="70" t="str">
        <f>IF(J$2="Y",IF(MaGic_AVM_Land!J8=0,"",MaGic_AVM_Land!J8),"")</f>
        <v/>
      </c>
      <c r="K8" s="70" t="str">
        <f>IF(K$2="Y",IF(MaGic_AVM_Land!K8=0,"",MaGic_AVM_Land!K8),"")</f>
        <v/>
      </c>
      <c r="L8" s="70" t="str">
        <f>IF(L$2="Y",IF(MaGic_AVM_Land!L8=0,"",MaGic_AVM_Land!L8),"")</f>
        <v/>
      </c>
      <c r="M8" s="70" t="str">
        <f>IF(M$2="Y",IF(MaGic_AVM_Land!M8=0,"",MaGic_AVM_Land!M8),"")</f>
        <v/>
      </c>
      <c r="N8" s="70" t="str">
        <f>IF(N$2="Y",IF(MaGic_AVM_Land!N8=0,"",MaGic_AVM_Land!N8),"")</f>
        <v/>
      </c>
      <c r="O8" s="70" t="str">
        <f>IF(O$2="Y",IF(MaGic_AVM_Land!O8=0,"",MaGic_AVM_Land!O8),"")</f>
        <v/>
      </c>
      <c r="P8" s="70" t="str">
        <f>IF(P$2="Y",IF(MaGic_AVM_Land!P8=0,"",MaGic_AVM_Land!P8),"")</f>
        <v/>
      </c>
      <c r="Q8" s="70" t="str">
        <f>IF(Q$2="Y",IF(MaGic_AVM_Land!Q8=0,"",MaGic_AVM_Land!Q8),"")</f>
        <v/>
      </c>
      <c r="R8" s="70" t="str">
        <f>IF(R$2="Y",IF(MaGic_AVM_Land!R8=0,"",MaGic_AVM_Land!R8),"")</f>
        <v/>
      </c>
      <c r="S8" s="70" t="str">
        <f>IF(S$2="Y",IF(MaGic_AVM_Land!S8=0,"",MaGic_AVM_Land!S8),"")</f>
        <v/>
      </c>
      <c r="T8" s="70" t="str">
        <f>IF(T$2="Y",IF(MaGic_AVM_Land!T8=0,"",MaGic_AVM_Land!T8),"")</f>
        <v/>
      </c>
      <c r="U8" s="70" t="str">
        <f>IF(U$2="Y",IF(MaGic_AVM_Land!U8=0,"",MaGic_AVM_Land!U8),"")</f>
        <v/>
      </c>
      <c r="V8" s="70" t="str">
        <f>IF(V$2="Y",IF(MaGic_AVM_Land!V8=0,"",MaGic_AVM_Land!V8),"")</f>
        <v/>
      </c>
      <c r="W8" s="70" t="str">
        <f>IF(W$2="Y",IF(MaGic_AVM_Land!W8=0,"",MaGic_AVM_Land!W8),"")</f>
        <v/>
      </c>
      <c r="X8" s="70" t="str">
        <f>IF(X$2="Y",IF(MaGic_AVM_Land!X8=0,"",MaGic_AVM_Land!X8),"")</f>
        <v/>
      </c>
      <c r="Y8" s="70" t="str">
        <f>IF(Y$2="Y",IF(MaGic_AVM_Land!Y8=0,"",MaGic_AVM_Land!Y8),"")</f>
        <v/>
      </c>
      <c r="Z8" s="70" t="str">
        <f>IF(Z$2="Y",IF(MaGic_AVM_Land!Z8=0,"",MaGic_AVM_Land!Z8),"")</f>
        <v/>
      </c>
      <c r="AA8" s="69" t="str">
        <f>CONCATENATE(IF(AB8="",AC8,AB8)," District")</f>
        <v>District</v>
      </c>
      <c r="AB8" s="69" t="str" cm="1">
        <f t="array" ref="AB8">_xlfn.UNIQUE(C8:Z8,TRUE,FALSE)</f>
        <v/>
      </c>
    </row>
    <row r="9" spans="1:28">
      <c r="A9" s="70">
        <v>7</v>
      </c>
      <c r="B9" s="70" t="s">
        <v>59</v>
      </c>
      <c r="C9" s="70" t="str">
        <f>IF(C$2="Y",IF(MaGic_AVM_Land!C9=0,"",MaGic_AVM_Land!C9),"")</f>
        <v/>
      </c>
      <c r="D9" s="70" t="str">
        <f>IF(D$2="Y",IF(MaGic_AVM_Land!D9=0,"",MaGic_AVM_Land!D9),"")</f>
        <v/>
      </c>
      <c r="E9" s="70" t="str">
        <f>IF(E$2="Y",IF(MaGic_AVM_Land!E9=0,"",MaGic_AVM_Land!E9),"")</f>
        <v/>
      </c>
      <c r="F9" s="70" t="str">
        <f>IF(F$2="Y",IF(MaGic_AVM_Land!F9=0,"",MaGic_AVM_Land!F9),"")</f>
        <v/>
      </c>
      <c r="G9" s="70" t="str">
        <f>IF(G$2="Y",IF(MaGic_AVM_Land!G9=0,"",MaGic_AVM_Land!G9),"")</f>
        <v/>
      </c>
      <c r="H9" s="70" t="str">
        <f>IF(H$2="Y",IF(MaGic_AVM_Land!H9=0,"",MaGic_AVM_Land!H9),"")</f>
        <v/>
      </c>
      <c r="I9" s="70" t="str">
        <f>IF(I$2="Y",IF(MaGic_AVM_Land!I9=0,"",MaGic_AVM_Land!I9),"")</f>
        <v/>
      </c>
      <c r="J9" s="70" t="str">
        <f>IF(J$2="Y",IF(MaGic_AVM_Land!J9=0,"",MaGic_AVM_Land!J9),"")</f>
        <v/>
      </c>
      <c r="K9" s="70" t="str">
        <f>IF(K$2="Y",IF(MaGic_AVM_Land!K9=0,"",MaGic_AVM_Land!K9),"")</f>
        <v/>
      </c>
      <c r="L9" s="70" t="str">
        <f>IF(L$2="Y",IF(MaGic_AVM_Land!L9=0,"",MaGic_AVM_Land!L9),"")</f>
        <v/>
      </c>
      <c r="M9" s="70" t="str">
        <f>IF(M$2="Y",IF(MaGic_AVM_Land!M9=0,"",MaGic_AVM_Land!M9),"")</f>
        <v/>
      </c>
      <c r="N9" s="70" t="str">
        <f>IF(N$2="Y",IF(MaGic_AVM_Land!N9=0,"",MaGic_AVM_Land!N9),"")</f>
        <v/>
      </c>
      <c r="O9" s="70" t="str">
        <f>IF(O$2="Y",IF(MaGic_AVM_Land!O9=0,"",MaGic_AVM_Land!O9),"")</f>
        <v/>
      </c>
      <c r="P9" s="70" t="str">
        <f>IF(P$2="Y",IF(MaGic_AVM_Land!P9=0,"",MaGic_AVM_Land!P9),"")</f>
        <v/>
      </c>
      <c r="Q9" s="70" t="str">
        <f>IF(Q$2="Y",IF(MaGic_AVM_Land!Q9=0,"",MaGic_AVM_Land!Q9),"")</f>
        <v/>
      </c>
      <c r="R9" s="70" t="str">
        <f>IF(R$2="Y",IF(MaGic_AVM_Land!R9=0,"",MaGic_AVM_Land!R9),"")</f>
        <v/>
      </c>
      <c r="S9" s="70" t="str">
        <f>IF(S$2="Y",IF(MaGic_AVM_Land!S9=0,"",MaGic_AVM_Land!S9),"")</f>
        <v/>
      </c>
      <c r="T9" s="70" t="str">
        <f>IF(T$2="Y",IF(MaGic_AVM_Land!T9=0,"",MaGic_AVM_Land!T9),"")</f>
        <v/>
      </c>
      <c r="U9" s="70" t="str">
        <f>IF(U$2="Y",IF(MaGic_AVM_Land!U9=0,"",MaGic_AVM_Land!U9),"")</f>
        <v/>
      </c>
      <c r="V9" s="70" t="str">
        <f>IF(V$2="Y",IF(MaGic_AVM_Land!V9=0,"",MaGic_AVM_Land!V9),"")</f>
        <v/>
      </c>
      <c r="W9" s="70" t="str">
        <f>IF(W$2="Y",IF(MaGic_AVM_Land!W9=0,"",MaGic_AVM_Land!W9),"")</f>
        <v/>
      </c>
      <c r="X9" s="70" t="str">
        <f>IF(X$2="Y",IF(MaGic_AVM_Land!X9=0,"",MaGic_AVM_Land!X9),"")</f>
        <v/>
      </c>
      <c r="Y9" s="70" t="str">
        <f>IF(Y$2="Y",IF(MaGic_AVM_Land!Y9=0,"",MaGic_AVM_Land!Y9),"")</f>
        <v/>
      </c>
      <c r="Z9" s="70" t="str">
        <f>IF(Z$2="Y",IF(MaGic_AVM_Land!Z9=0,"",MaGic_AVM_Land!Z9),"")</f>
        <v/>
      </c>
      <c r="AA9" s="69" t="str">
        <f>CONCATENATE(IF(AB9="",AC9,AB9)," SRO")</f>
        <v>SRO</v>
      </c>
      <c r="AB9" s="69" t="str" cm="1">
        <f t="array" ref="AB9">_xlfn.UNIQUE(C9:Z9,TRUE,FALSE)</f>
        <v/>
      </c>
    </row>
    <row r="10" spans="1:28">
      <c r="A10" s="70">
        <v>8</v>
      </c>
      <c r="B10" s="70" t="s">
        <v>61</v>
      </c>
      <c r="C10" s="70" t="str">
        <f>IF(C$2="Y",IF(MaGic_AVM_Land!C10=0,"",MaGic_AVM_Land!C10),"")</f>
        <v/>
      </c>
      <c r="D10" s="70" t="str">
        <f>IF(D$2="Y",IF(MaGic_AVM_Land!D10=0,"",MaGic_AVM_Land!D10),"")</f>
        <v/>
      </c>
      <c r="E10" s="70" t="str">
        <f>IF(E$2="Y",IF(MaGic_AVM_Land!E10=0,"",MaGic_AVM_Land!E10),"")</f>
        <v/>
      </c>
      <c r="F10" s="70" t="str">
        <f>IF(F$2="Y",IF(MaGic_AVM_Land!F10=0,"",MaGic_AVM_Land!F10),"")</f>
        <v/>
      </c>
      <c r="G10" s="70" t="str">
        <f>IF(G$2="Y",IF(MaGic_AVM_Land!G10=0,"",MaGic_AVM_Land!G10),"")</f>
        <v/>
      </c>
      <c r="H10" s="70" t="str">
        <f>IF(H$2="Y",IF(MaGic_AVM_Land!H10=0,"",MaGic_AVM_Land!H10),"")</f>
        <v/>
      </c>
      <c r="I10" s="70" t="str">
        <f>IF(I$2="Y",IF(MaGic_AVM_Land!I10=0,"",MaGic_AVM_Land!I10),"")</f>
        <v/>
      </c>
      <c r="J10" s="70" t="str">
        <f>IF(J$2="Y",IF(MaGic_AVM_Land!J10=0,"",MaGic_AVM_Land!J10),"")</f>
        <v/>
      </c>
      <c r="K10" s="70" t="str">
        <f>IF(K$2="Y",IF(MaGic_AVM_Land!K10=0,"",MaGic_AVM_Land!K10),"")</f>
        <v/>
      </c>
      <c r="L10" s="70" t="str">
        <f>IF(L$2="Y",IF(MaGic_AVM_Land!L10=0,"",MaGic_AVM_Land!L10),"")</f>
        <v/>
      </c>
      <c r="M10" s="70" t="str">
        <f>IF(M$2="Y",IF(MaGic_AVM_Land!M10=0,"",MaGic_AVM_Land!M10),"")</f>
        <v/>
      </c>
      <c r="N10" s="70" t="str">
        <f>IF(N$2="Y",IF(MaGic_AVM_Land!N10=0,"",MaGic_AVM_Land!N10),"")</f>
        <v/>
      </c>
      <c r="O10" s="70" t="str">
        <f>IF(O$2="Y",IF(MaGic_AVM_Land!O10=0,"",MaGic_AVM_Land!O10),"")</f>
        <v/>
      </c>
      <c r="P10" s="70" t="str">
        <f>IF(P$2="Y",IF(MaGic_AVM_Land!P10=0,"",MaGic_AVM_Land!P10),"")</f>
        <v/>
      </c>
      <c r="Q10" s="70" t="str">
        <f>IF(Q$2="Y",IF(MaGic_AVM_Land!Q10=0,"",MaGic_AVM_Land!Q10),"")</f>
        <v/>
      </c>
      <c r="R10" s="70" t="str">
        <f>IF(R$2="Y",IF(MaGic_AVM_Land!R10=0,"",MaGic_AVM_Land!R10),"")</f>
        <v/>
      </c>
      <c r="S10" s="70" t="str">
        <f>IF(S$2="Y",IF(MaGic_AVM_Land!S10=0,"",MaGic_AVM_Land!S10),"")</f>
        <v/>
      </c>
      <c r="T10" s="70" t="str">
        <f>IF(T$2="Y",IF(MaGic_AVM_Land!T10=0,"",MaGic_AVM_Land!T10),"")</f>
        <v/>
      </c>
      <c r="U10" s="70" t="str">
        <f>IF(U$2="Y",IF(MaGic_AVM_Land!U10=0,"",MaGic_AVM_Land!U10),"")</f>
        <v/>
      </c>
      <c r="V10" s="70" t="str">
        <f>IF(V$2="Y",IF(MaGic_AVM_Land!V10=0,"",MaGic_AVM_Land!V10),"")</f>
        <v/>
      </c>
      <c r="W10" s="70" t="str">
        <f>IF(W$2="Y",IF(MaGic_AVM_Land!W10=0,"",MaGic_AVM_Land!W10),"")</f>
        <v/>
      </c>
      <c r="X10" s="70" t="str">
        <f>IF(X$2="Y",IF(MaGic_AVM_Land!X10=0,"",MaGic_AVM_Land!X10),"")</f>
        <v/>
      </c>
      <c r="Y10" s="70" t="str">
        <f>IF(Y$2="Y",IF(MaGic_AVM_Land!Y10=0,"",MaGic_AVM_Land!Y10),"")</f>
        <v/>
      </c>
      <c r="Z10" s="70" t="str">
        <f>IF(Z$2="Y",IF(MaGic_AVM_Land!Z10=0,"",MaGic_AVM_Land!Z10),"")</f>
        <v/>
      </c>
      <c r="AA10" s="69" t="str">
        <f>CONCATENATE(IF(AB10="",AC10,AB10)," Taluk")</f>
        <v>Taluk</v>
      </c>
      <c r="AB10" s="69" t="str" cm="1">
        <f t="array" ref="AB10">_xlfn.UNIQUE(C10:Z10,TRUE,FALSE)</f>
        <v/>
      </c>
    </row>
    <row r="11" spans="1:28">
      <c r="A11" s="70">
        <v>9</v>
      </c>
      <c r="B11" s="70" t="s">
        <v>63</v>
      </c>
      <c r="C11" s="70" t="str">
        <f>IF(C$2="Y",IF(MaGic_AVM_Land!C11=0,"",MaGic_AVM_Land!C11),"")</f>
        <v/>
      </c>
      <c r="D11" s="70" t="str">
        <f>IF(D$2="Y",IF(MaGic_AVM_Land!D11=0,"",MaGic_AVM_Land!D11),"")</f>
        <v/>
      </c>
      <c r="E11" s="70" t="str">
        <f>IF(E$2="Y",IF(MaGic_AVM_Land!E11=0,"",MaGic_AVM_Land!E11),"")</f>
        <v/>
      </c>
      <c r="F11" s="70" t="str">
        <f>IF(F$2="Y",IF(MaGic_AVM_Land!F11=0,"",MaGic_AVM_Land!F11),"")</f>
        <v/>
      </c>
      <c r="G11" s="70" t="str">
        <f>IF(G$2="Y",IF(MaGic_AVM_Land!G11=0,"",MaGic_AVM_Land!G11),"")</f>
        <v/>
      </c>
      <c r="H11" s="70" t="str">
        <f>IF(H$2="Y",IF(MaGic_AVM_Land!H11=0,"",MaGic_AVM_Land!H11),"")</f>
        <v/>
      </c>
      <c r="I11" s="70" t="str">
        <f>IF(I$2="Y",IF(MaGic_AVM_Land!I11=0,"",MaGic_AVM_Land!I11),"")</f>
        <v/>
      </c>
      <c r="J11" s="70" t="str">
        <f>IF(J$2="Y",IF(MaGic_AVM_Land!J11=0,"",MaGic_AVM_Land!J11),"")</f>
        <v/>
      </c>
      <c r="K11" s="70" t="str">
        <f>IF(K$2="Y",IF(MaGic_AVM_Land!K11=0,"",MaGic_AVM_Land!K11),"")</f>
        <v/>
      </c>
      <c r="L11" s="70" t="str">
        <f>IF(L$2="Y",IF(MaGic_AVM_Land!L11=0,"",MaGic_AVM_Land!L11),"")</f>
        <v/>
      </c>
      <c r="M11" s="70" t="str">
        <f>IF(M$2="Y",IF(MaGic_AVM_Land!M11=0,"",MaGic_AVM_Land!M11),"")</f>
        <v/>
      </c>
      <c r="N11" s="70" t="str">
        <f>IF(N$2="Y",IF(MaGic_AVM_Land!N11=0,"",MaGic_AVM_Land!N11),"")</f>
        <v/>
      </c>
      <c r="O11" s="70" t="str">
        <f>IF(O$2="Y",IF(MaGic_AVM_Land!O11=0,"",MaGic_AVM_Land!O11),"")</f>
        <v/>
      </c>
      <c r="P11" s="70" t="str">
        <f>IF(P$2="Y",IF(MaGic_AVM_Land!P11=0,"",MaGic_AVM_Land!P11),"")</f>
        <v/>
      </c>
      <c r="Q11" s="70" t="str">
        <f>IF(Q$2="Y",IF(MaGic_AVM_Land!Q11=0,"",MaGic_AVM_Land!Q11),"")</f>
        <v/>
      </c>
      <c r="R11" s="70" t="str">
        <f>IF(R$2="Y",IF(MaGic_AVM_Land!R11=0,"",MaGic_AVM_Land!R11),"")</f>
        <v/>
      </c>
      <c r="S11" s="70" t="str">
        <f>IF(S$2="Y",IF(MaGic_AVM_Land!S11=0,"",MaGic_AVM_Land!S11),"")</f>
        <v/>
      </c>
      <c r="T11" s="70" t="str">
        <f>IF(T$2="Y",IF(MaGic_AVM_Land!T11=0,"",MaGic_AVM_Land!T11),"")</f>
        <v/>
      </c>
      <c r="U11" s="70" t="str">
        <f>IF(U$2="Y",IF(MaGic_AVM_Land!U11=0,"",MaGic_AVM_Land!U11),"")</f>
        <v/>
      </c>
      <c r="V11" s="70" t="str">
        <f>IF(V$2="Y",IF(MaGic_AVM_Land!V11=0,"",MaGic_AVM_Land!V11),"")</f>
        <v/>
      </c>
      <c r="W11" s="70" t="str">
        <f>IF(W$2="Y",IF(MaGic_AVM_Land!W11=0,"",MaGic_AVM_Land!W11),"")</f>
        <v/>
      </c>
      <c r="X11" s="70" t="str">
        <f>IF(X$2="Y",IF(MaGic_AVM_Land!X11=0,"",MaGic_AVM_Land!X11),"")</f>
        <v/>
      </c>
      <c r="Y11" s="70" t="str">
        <f>IF(Y$2="Y",IF(MaGic_AVM_Land!Y11=0,"",MaGic_AVM_Land!Y11),"")</f>
        <v/>
      </c>
      <c r="Z11" s="70" t="str">
        <f>IF(Z$2="Y",IF(MaGic_AVM_Land!Z11=0,"",MaGic_AVM_Land!Z11),"")</f>
        <v/>
      </c>
      <c r="AA11" s="69" t="str">
        <f>CONCATENATE(IF(AB11="",AC11,AB11)," Village")</f>
        <v>Village</v>
      </c>
      <c r="AB11" s="69" t="str" cm="1">
        <f t="array" ref="AB11">_xlfn.UNIQUE(C11:Z11,TRUE,FALSE)</f>
        <v/>
      </c>
    </row>
    <row r="12" spans="1:28">
      <c r="A12" s="70">
        <v>10</v>
      </c>
      <c r="B12" s="70" t="s">
        <v>65</v>
      </c>
      <c r="C12" s="70" t="str">
        <f>IF(C$2="Y",IF(MaGic_AVM_Land!C12=0,"",MaGic_AVM_Land!C12),"")</f>
        <v/>
      </c>
      <c r="D12" s="70" t="str">
        <f>IF(D$2="Y",IF(MaGic_AVM_Land!D12=0,"",MaGic_AVM_Land!D12),"")</f>
        <v/>
      </c>
      <c r="E12" s="70" t="str">
        <f>IF(E$2="Y",IF(MaGic_AVM_Land!E12=0,"",MaGic_AVM_Land!E12),"")</f>
        <v/>
      </c>
      <c r="F12" s="70" t="str">
        <f>IF(F$2="Y",IF(MaGic_AVM_Land!F12=0,"",MaGic_AVM_Land!F12),"")</f>
        <v/>
      </c>
      <c r="G12" s="70" t="str">
        <f>IF(G$2="Y",IF(MaGic_AVM_Land!G12=0,"",MaGic_AVM_Land!G12),"")</f>
        <v/>
      </c>
      <c r="H12" s="70" t="str">
        <f>IF(H$2="Y",IF(MaGic_AVM_Land!H12=0,"",MaGic_AVM_Land!H12),"")</f>
        <v/>
      </c>
      <c r="I12" s="70" t="str">
        <f>IF(I$2="Y",IF(MaGic_AVM_Land!I12=0,"",MaGic_AVM_Land!I12),"")</f>
        <v/>
      </c>
      <c r="J12" s="70" t="str">
        <f>IF(J$2="Y",IF(MaGic_AVM_Land!J12=0,"",MaGic_AVM_Land!J12),"")</f>
        <v/>
      </c>
      <c r="K12" s="70" t="str">
        <f>IF(K$2="Y",IF(MaGic_AVM_Land!K12=0,"",MaGic_AVM_Land!K12),"")</f>
        <v/>
      </c>
      <c r="L12" s="70" t="str">
        <f>IF(L$2="Y",IF(MaGic_AVM_Land!L12=0,"",MaGic_AVM_Land!L12),"")</f>
        <v/>
      </c>
      <c r="M12" s="70" t="str">
        <f>IF(M$2="Y",IF(MaGic_AVM_Land!M12=0,"",MaGic_AVM_Land!M12),"")</f>
        <v/>
      </c>
      <c r="N12" s="70" t="str">
        <f>IF(N$2="Y",IF(MaGic_AVM_Land!N12=0,"",MaGic_AVM_Land!N12),"")</f>
        <v/>
      </c>
      <c r="O12" s="70" t="str">
        <f>IF(O$2="Y",IF(MaGic_AVM_Land!O12=0,"",MaGic_AVM_Land!O12),"")</f>
        <v/>
      </c>
      <c r="P12" s="70" t="str">
        <f>IF(P$2="Y",IF(MaGic_AVM_Land!P12=0,"",MaGic_AVM_Land!P12),"")</f>
        <v/>
      </c>
      <c r="Q12" s="70" t="str">
        <f>IF(Q$2="Y",IF(MaGic_AVM_Land!Q12=0,"",MaGic_AVM_Land!Q12),"")</f>
        <v/>
      </c>
      <c r="R12" s="70" t="str">
        <f>IF(R$2="Y",IF(MaGic_AVM_Land!R12=0,"",MaGic_AVM_Land!R12),"")</f>
        <v/>
      </c>
      <c r="S12" s="70" t="str">
        <f>IF(S$2="Y",IF(MaGic_AVM_Land!S12=0,"",MaGic_AVM_Land!S12),"")</f>
        <v/>
      </c>
      <c r="T12" s="70" t="str">
        <f>IF(T$2="Y",IF(MaGic_AVM_Land!T12=0,"",MaGic_AVM_Land!T12),"")</f>
        <v/>
      </c>
      <c r="U12" s="70" t="str">
        <f>IF(U$2="Y",IF(MaGic_AVM_Land!U12=0,"",MaGic_AVM_Land!U12),"")</f>
        <v/>
      </c>
      <c r="V12" s="70" t="str">
        <f>IF(V$2="Y",IF(MaGic_AVM_Land!V12=0,"",MaGic_AVM_Land!V12),"")</f>
        <v/>
      </c>
      <c r="W12" s="70" t="str">
        <f>IF(W$2="Y",IF(MaGic_AVM_Land!W12=0,"",MaGic_AVM_Land!W12),"")</f>
        <v/>
      </c>
      <c r="X12" s="70" t="str">
        <f>IF(X$2="Y",IF(MaGic_AVM_Land!X12=0,"",MaGic_AVM_Land!X12),"")</f>
        <v/>
      </c>
      <c r="Y12" s="70" t="str">
        <f>IF(Y$2="Y",IF(MaGic_AVM_Land!Y12=0,"",MaGic_AVM_Land!Y12),"")</f>
        <v/>
      </c>
      <c r="Z12" s="70" t="str">
        <f>IF(Z$2="Y",IF(MaGic_AVM_Land!Z12=0,"",MaGic_AVM_Land!Z12),"")</f>
        <v/>
      </c>
      <c r="AA12" s="69" t="str">
        <f>CONCATENATE(IF(AB12="",AC12,AB12))</f>
        <v/>
      </c>
      <c r="AB12" s="69" t="str" cm="1">
        <f t="array" ref="AB12">_xlfn.UNIQUE(C12:Z12,TRUE,FALSE)</f>
        <v/>
      </c>
    </row>
    <row r="13" spans="1:28">
      <c r="A13" s="70">
        <v>11</v>
      </c>
      <c r="B13" s="70" t="s">
        <v>67</v>
      </c>
      <c r="C13" s="71" t="str">
        <f>IF(C$2="Y",IF(MaGic_AVM_Land!C13=0,"",MaGic_AVM_Land!C13),"")</f>
        <v/>
      </c>
      <c r="D13" s="71" t="str">
        <f>IF(D$2="Y",IF(MaGic_AVM_Land!D13=0,"",MaGic_AVM_Land!D13),"")</f>
        <v/>
      </c>
      <c r="E13" s="71" t="str">
        <f>IF(E$2="Y",IF(MaGic_AVM_Land!E13=0,"",MaGic_AVM_Land!E13),"")</f>
        <v/>
      </c>
      <c r="F13" s="71" t="str">
        <f>IF(F$2="Y",IF(MaGic_AVM_Land!F13=0,"",MaGic_AVM_Land!F13),"")</f>
        <v/>
      </c>
      <c r="G13" s="71" t="str">
        <f>IF(G$2="Y",IF(MaGic_AVM_Land!G13=0,"",MaGic_AVM_Land!G13),"")</f>
        <v/>
      </c>
      <c r="H13" s="71" t="str">
        <f>IF(H$2="Y",IF(MaGic_AVM_Land!H13=0,"",MaGic_AVM_Land!H13),"")</f>
        <v/>
      </c>
      <c r="I13" s="71" t="str">
        <f>IF(I$2="Y",IF(MaGic_AVM_Land!I13=0,"",MaGic_AVM_Land!I13),"")</f>
        <v/>
      </c>
      <c r="J13" s="71" t="str">
        <f>IF(J$2="Y",IF(MaGic_AVM_Land!J13=0,"",MaGic_AVM_Land!J13),"")</f>
        <v/>
      </c>
      <c r="K13" s="71" t="str">
        <f>IF(K$2="Y",IF(MaGic_AVM_Land!K13=0,"",MaGic_AVM_Land!K13),"")</f>
        <v/>
      </c>
      <c r="L13" s="71" t="str">
        <f>IF(L$2="Y",IF(MaGic_AVM_Land!L13=0,"",MaGic_AVM_Land!L13),"")</f>
        <v/>
      </c>
      <c r="M13" s="71" t="str">
        <f>IF(M$2="Y",IF(MaGic_AVM_Land!M13=0,"",MaGic_AVM_Land!M13),"")</f>
        <v/>
      </c>
      <c r="N13" s="71" t="str">
        <f>IF(N$2="Y",IF(MaGic_AVM_Land!N13=0,"",MaGic_AVM_Land!N13),"")</f>
        <v/>
      </c>
      <c r="O13" s="71" t="str">
        <f>IF(O$2="Y",IF(MaGic_AVM_Land!O13=0,"",MaGic_AVM_Land!O13),"")</f>
        <v/>
      </c>
      <c r="P13" s="71" t="str">
        <f>IF(P$2="Y",IF(MaGic_AVM_Land!P13=0,"",MaGic_AVM_Land!P13),"")</f>
        <v/>
      </c>
      <c r="Q13" s="71" t="str">
        <f>IF(Q$2="Y",IF(MaGic_AVM_Land!Q13=0,"",MaGic_AVM_Land!Q13),"")</f>
        <v/>
      </c>
      <c r="R13" s="71" t="str">
        <f>IF(R$2="Y",IF(MaGic_AVM_Land!R13=0,"",MaGic_AVM_Land!R13),"")</f>
        <v/>
      </c>
      <c r="S13" s="71" t="str">
        <f>IF(S$2="Y",IF(MaGic_AVM_Land!S13=0,"",MaGic_AVM_Land!S13),"")</f>
        <v/>
      </c>
      <c r="T13" s="71" t="str">
        <f>IF(T$2="Y",IF(MaGic_AVM_Land!T13=0,"",MaGic_AVM_Land!T13),"")</f>
        <v/>
      </c>
      <c r="U13" s="71" t="str">
        <f>IF(U$2="Y",IF(MaGic_AVM_Land!U13=0,"",MaGic_AVM_Land!U13),"")</f>
        <v/>
      </c>
      <c r="V13" s="71" t="str">
        <f>IF(V$2="Y",IF(MaGic_AVM_Land!V13=0,"",MaGic_AVM_Land!V13),"")</f>
        <v/>
      </c>
      <c r="W13" s="71" t="str">
        <f>IF(W$2="Y",IF(MaGic_AVM_Land!W13=0,"",MaGic_AVM_Land!W13),"")</f>
        <v/>
      </c>
      <c r="X13" s="71" t="str">
        <f>IF(X$2="Y",IF(MaGic_AVM_Land!X13=0,"",MaGic_AVM_Land!X13),"")</f>
        <v/>
      </c>
      <c r="Y13" s="71" t="str">
        <f>IF(Y$2="Y",IF(MaGic_AVM_Land!Y13=0,"",MaGic_AVM_Land!Y13),"")</f>
        <v/>
      </c>
      <c r="Z13" s="71" t="str">
        <f>IF(Z$2="Y",IF(MaGic_AVM_Land!Z13=0,"",MaGic_AVM_Land!Z13),"")</f>
        <v/>
      </c>
      <c r="AA13" s="69" t="str">
        <f>CONCATENATE(IF(AB13="",AC13,AB13)," ",AA12)</f>
        <v/>
      </c>
      <c r="AB13" s="69" t="str" cm="1">
        <f t="array" ref="AB13">_xlfn.UNIQUE(C13:Z13,TRUE,FALSE)</f>
        <v/>
      </c>
    </row>
    <row r="14" spans="1:28">
      <c r="A14" s="70">
        <v>12</v>
      </c>
      <c r="B14" s="70" t="s">
        <v>69</v>
      </c>
      <c r="C14" s="71" t="str">
        <f>IF(C$2="Y",IF(MaGic_AVM_Land!C14=0,"",MaGic_AVM_Land!C14),"")</f>
        <v/>
      </c>
      <c r="D14" s="71" t="str">
        <f>IF(D$2="Y",IF(MaGic_AVM_Land!D14=0,"",MaGic_AVM_Land!D14),"")</f>
        <v/>
      </c>
      <c r="E14" s="71" t="str">
        <f>IF(E$2="Y",IF(MaGic_AVM_Land!E14=0,"",MaGic_AVM_Land!E14),"")</f>
        <v/>
      </c>
      <c r="F14" s="71" t="str">
        <f>IF(F$2="Y",IF(MaGic_AVM_Land!F14=0,"",MaGic_AVM_Land!F14),"")</f>
        <v/>
      </c>
      <c r="G14" s="71" t="str">
        <f>IF(G$2="Y",IF(MaGic_AVM_Land!G14=0,"",MaGic_AVM_Land!G14),"")</f>
        <v/>
      </c>
      <c r="H14" s="71" t="str">
        <f>IF(H$2="Y",IF(MaGic_AVM_Land!H14=0,"",MaGic_AVM_Land!H14),"")</f>
        <v/>
      </c>
      <c r="I14" s="71" t="str">
        <f>IF(I$2="Y",IF(MaGic_AVM_Land!I14=0,"",MaGic_AVM_Land!I14),"")</f>
        <v/>
      </c>
      <c r="J14" s="71" t="str">
        <f>IF(J$2="Y",IF(MaGic_AVM_Land!J14=0,"",MaGic_AVM_Land!J14),"")</f>
        <v/>
      </c>
      <c r="K14" s="71" t="str">
        <f>IF(K$2="Y",IF(MaGic_AVM_Land!K14=0,"",MaGic_AVM_Land!K14),"")</f>
        <v/>
      </c>
      <c r="L14" s="71" t="str">
        <f>IF(L$2="Y",IF(MaGic_AVM_Land!L14=0,"",MaGic_AVM_Land!L14),"")</f>
        <v/>
      </c>
      <c r="M14" s="71" t="str">
        <f>IF(M$2="Y",IF(MaGic_AVM_Land!M14=0,"",MaGic_AVM_Land!M14),"")</f>
        <v/>
      </c>
      <c r="N14" s="71" t="str">
        <f>IF(N$2="Y",IF(MaGic_AVM_Land!N14=0,"",MaGic_AVM_Land!N14),"")</f>
        <v/>
      </c>
      <c r="O14" s="71" t="str">
        <f>IF(O$2="Y",IF(MaGic_AVM_Land!O14=0,"",MaGic_AVM_Land!O14),"")</f>
        <v/>
      </c>
      <c r="P14" s="71" t="str">
        <f>IF(P$2="Y",IF(MaGic_AVM_Land!P14=0,"",MaGic_AVM_Land!P14),"")</f>
        <v/>
      </c>
      <c r="Q14" s="71" t="str">
        <f>IF(Q$2="Y",IF(MaGic_AVM_Land!Q14=0,"",MaGic_AVM_Land!Q14),"")</f>
        <v/>
      </c>
      <c r="R14" s="71" t="str">
        <f>IF(R$2="Y",IF(MaGic_AVM_Land!R14=0,"",MaGic_AVM_Land!R14),"")</f>
        <v/>
      </c>
      <c r="S14" s="71" t="str">
        <f>IF(S$2="Y",IF(MaGic_AVM_Land!S14=0,"",MaGic_AVM_Land!S14),"")</f>
        <v/>
      </c>
      <c r="T14" s="71" t="str">
        <f>IF(T$2="Y",IF(MaGic_AVM_Land!T14=0,"",MaGic_AVM_Land!T14),"")</f>
        <v/>
      </c>
      <c r="U14" s="71" t="str">
        <f>IF(U$2="Y",IF(MaGic_AVM_Land!U14=0,"",MaGic_AVM_Land!U14),"")</f>
        <v/>
      </c>
      <c r="V14" s="71" t="str">
        <f>IF(V$2="Y",IF(MaGic_AVM_Land!V14=0,"",MaGic_AVM_Land!V14),"")</f>
        <v/>
      </c>
      <c r="W14" s="71" t="str">
        <f>IF(W$2="Y",IF(MaGic_AVM_Land!W14=0,"",MaGic_AVM_Land!W14),"")</f>
        <v/>
      </c>
      <c r="X14" s="71" t="str">
        <f>IF(X$2="Y",IF(MaGic_AVM_Land!X14=0,"",MaGic_AVM_Land!X14),"")</f>
        <v/>
      </c>
      <c r="Y14" s="71" t="str">
        <f>IF(Y$2="Y",IF(MaGic_AVM_Land!Y14=0,"",MaGic_AVM_Land!Y14),"")</f>
        <v/>
      </c>
      <c r="Z14" s="71" t="str">
        <f>IF(Z$2="Y",IF(MaGic_AVM_Land!Z14=0,"",MaGic_AVM_Land!Z14),"")</f>
        <v/>
      </c>
      <c r="AA14" s="69" t="str">
        <f t="shared" ref="AA14:AA18" si="1">_xlfn.TEXTJOIN(",",TRUE,AB14:AZ14)</f>
        <v/>
      </c>
      <c r="AB14" s="69" t="str" cm="1">
        <f t="array" ref="AB14">_xlfn.UNIQUE(C14:Z14,TRUE,FALSE)</f>
        <v/>
      </c>
    </row>
    <row r="15" spans="1:28">
      <c r="A15" s="70">
        <v>13</v>
      </c>
      <c r="B15" s="70" t="s">
        <v>70</v>
      </c>
      <c r="C15" s="71" t="str">
        <f>IF(C$2="Y",IF(MaGic_AVM_Land!C15=0,"",MaGic_AVM_Land!C15),"")</f>
        <v/>
      </c>
      <c r="D15" s="71" t="str">
        <f>IF(D$2="Y",IF(MaGic_AVM_Land!D15=0,"",MaGic_AVM_Land!D15),"")</f>
        <v/>
      </c>
      <c r="E15" s="71" t="str">
        <f>IF(E$2="Y",IF(MaGic_AVM_Land!E15=0,"",MaGic_AVM_Land!E15),"")</f>
        <v/>
      </c>
      <c r="F15" s="71" t="str">
        <f>IF(F$2="Y",IF(MaGic_AVM_Land!F15=0,"",MaGic_AVM_Land!F15),"")</f>
        <v/>
      </c>
      <c r="G15" s="71" t="str">
        <f>IF(G$2="Y",IF(MaGic_AVM_Land!G15=0,"",MaGic_AVM_Land!G15),"")</f>
        <v/>
      </c>
      <c r="H15" s="71" t="str">
        <f>IF(H$2="Y",IF(MaGic_AVM_Land!H15=0,"",MaGic_AVM_Land!H15),"")</f>
        <v/>
      </c>
      <c r="I15" s="71" t="str">
        <f>IF(I$2="Y",IF(MaGic_AVM_Land!I15=0,"",MaGic_AVM_Land!I15),"")</f>
        <v/>
      </c>
      <c r="J15" s="71" t="str">
        <f>IF(J$2="Y",IF(MaGic_AVM_Land!J15=0,"",MaGic_AVM_Land!J15),"")</f>
        <v/>
      </c>
      <c r="K15" s="71" t="str">
        <f>IF(K$2="Y",IF(MaGic_AVM_Land!K15=0,"",MaGic_AVM_Land!K15),"")</f>
        <v/>
      </c>
      <c r="L15" s="71" t="str">
        <f>IF(L$2="Y",IF(MaGic_AVM_Land!L15=0,"",MaGic_AVM_Land!L15),"")</f>
        <v/>
      </c>
      <c r="M15" s="71" t="str">
        <f>IF(M$2="Y",IF(MaGic_AVM_Land!M15=0,"",MaGic_AVM_Land!M15),"")</f>
        <v/>
      </c>
      <c r="N15" s="71" t="str">
        <f>IF(N$2="Y",IF(MaGic_AVM_Land!N15=0,"",MaGic_AVM_Land!N15),"")</f>
        <v/>
      </c>
      <c r="O15" s="71" t="str">
        <f>IF(O$2="Y",IF(MaGic_AVM_Land!O15=0,"",MaGic_AVM_Land!O15),"")</f>
        <v/>
      </c>
      <c r="P15" s="71" t="str">
        <f>IF(P$2="Y",IF(MaGic_AVM_Land!P15=0,"",MaGic_AVM_Land!P15),"")</f>
        <v/>
      </c>
      <c r="Q15" s="71" t="str">
        <f>IF(Q$2="Y",IF(MaGic_AVM_Land!Q15=0,"",MaGic_AVM_Land!Q15),"")</f>
        <v/>
      </c>
      <c r="R15" s="71" t="str">
        <f>IF(R$2="Y",IF(MaGic_AVM_Land!R15=0,"",MaGic_AVM_Land!R15),"")</f>
        <v/>
      </c>
      <c r="S15" s="71" t="str">
        <f>IF(S$2="Y",IF(MaGic_AVM_Land!S15=0,"",MaGic_AVM_Land!S15),"")</f>
        <v/>
      </c>
      <c r="T15" s="71" t="str">
        <f>IF(T$2="Y",IF(MaGic_AVM_Land!T15=0,"",MaGic_AVM_Land!T15),"")</f>
        <v/>
      </c>
      <c r="U15" s="71" t="str">
        <f>IF(U$2="Y",IF(MaGic_AVM_Land!U15=0,"",MaGic_AVM_Land!U15),"")</f>
        <v/>
      </c>
      <c r="V15" s="71" t="str">
        <f>IF(V$2="Y",IF(MaGic_AVM_Land!V15=0,"",MaGic_AVM_Land!V15),"")</f>
        <v/>
      </c>
      <c r="W15" s="71" t="str">
        <f>IF(W$2="Y",IF(MaGic_AVM_Land!W15=0,"",MaGic_AVM_Land!W15),"")</f>
        <v/>
      </c>
      <c r="X15" s="71" t="str">
        <f>IF(X$2="Y",IF(MaGic_AVM_Land!X15=0,"",MaGic_AVM_Land!X15),"")</f>
        <v/>
      </c>
      <c r="Y15" s="71" t="str">
        <f>IF(Y$2="Y",IF(MaGic_AVM_Land!Y15=0,"",MaGic_AVM_Land!Y15),"")</f>
        <v/>
      </c>
      <c r="Z15" s="71" t="str">
        <f>IF(Z$2="Y",IF(MaGic_AVM_Land!Z15=0,"",MaGic_AVM_Land!Z15),"")</f>
        <v/>
      </c>
      <c r="AA15" s="69" t="str">
        <f t="shared" si="1"/>
        <v/>
      </c>
      <c r="AB15" s="69" t="str" cm="1">
        <f t="array" ref="AB15">_xlfn.UNIQUE(C15:Z15,TRUE,FALSE)</f>
        <v/>
      </c>
    </row>
    <row r="16" spans="1:28">
      <c r="A16" s="70">
        <v>14</v>
      </c>
      <c r="B16" s="70" t="s">
        <v>71</v>
      </c>
      <c r="C16" s="71" t="str">
        <f>IF(C$2="Y",IF(MaGic_AVM_Land!C16=0,"",MaGic_AVM_Land!C16),"")</f>
        <v/>
      </c>
      <c r="D16" s="71" t="str">
        <f>IF(D$2="Y",IF(MaGic_AVM_Land!D16=0,"",MaGic_AVM_Land!D16),"")</f>
        <v/>
      </c>
      <c r="E16" s="71" t="str">
        <f>IF(E$2="Y",IF(MaGic_AVM_Land!E16=0,"",MaGic_AVM_Land!E16),"")</f>
        <v/>
      </c>
      <c r="F16" s="71" t="str">
        <f>IF(F$2="Y",IF(MaGic_AVM_Land!F16=0,"",MaGic_AVM_Land!F16),"")</f>
        <v/>
      </c>
      <c r="G16" s="71" t="str">
        <f>IF(G$2="Y",IF(MaGic_AVM_Land!G16=0,"",MaGic_AVM_Land!G16),"")</f>
        <v/>
      </c>
      <c r="H16" s="71" t="str">
        <f>IF(H$2="Y",IF(MaGic_AVM_Land!H16=0,"",MaGic_AVM_Land!H16),"")</f>
        <v/>
      </c>
      <c r="I16" s="71" t="str">
        <f>IF(I$2="Y",IF(MaGic_AVM_Land!I16=0,"",MaGic_AVM_Land!I16),"")</f>
        <v/>
      </c>
      <c r="J16" s="71" t="str">
        <f>IF(J$2="Y",IF(MaGic_AVM_Land!J16=0,"",MaGic_AVM_Land!J16),"")</f>
        <v/>
      </c>
      <c r="K16" s="71" t="str">
        <f>IF(K$2="Y",IF(MaGic_AVM_Land!K16=0,"",MaGic_AVM_Land!K16),"")</f>
        <v/>
      </c>
      <c r="L16" s="71" t="str">
        <f>IF(L$2="Y",IF(MaGic_AVM_Land!L16=0,"",MaGic_AVM_Land!L16),"")</f>
        <v/>
      </c>
      <c r="M16" s="71" t="str">
        <f>IF(M$2="Y",IF(MaGic_AVM_Land!M16=0,"",MaGic_AVM_Land!M16),"")</f>
        <v/>
      </c>
      <c r="N16" s="71" t="str">
        <f>IF(N$2="Y",IF(MaGic_AVM_Land!N16=0,"",MaGic_AVM_Land!N16),"")</f>
        <v/>
      </c>
      <c r="O16" s="71" t="str">
        <f>IF(O$2="Y",IF(MaGic_AVM_Land!O16=0,"",MaGic_AVM_Land!O16),"")</f>
        <v/>
      </c>
      <c r="P16" s="71" t="str">
        <f>IF(P$2="Y",IF(MaGic_AVM_Land!P16=0,"",MaGic_AVM_Land!P16),"")</f>
        <v/>
      </c>
      <c r="Q16" s="71" t="str">
        <f>IF(Q$2="Y",IF(MaGic_AVM_Land!Q16=0,"",MaGic_AVM_Land!Q16),"")</f>
        <v/>
      </c>
      <c r="R16" s="71" t="str">
        <f>IF(R$2="Y",IF(MaGic_AVM_Land!R16=0,"",MaGic_AVM_Land!R16),"")</f>
        <v/>
      </c>
      <c r="S16" s="71" t="str">
        <f>IF(S$2="Y",IF(MaGic_AVM_Land!S16=0,"",MaGic_AVM_Land!S16),"")</f>
        <v/>
      </c>
      <c r="T16" s="71" t="str">
        <f>IF(T$2="Y",IF(MaGic_AVM_Land!T16=0,"",MaGic_AVM_Land!T16),"")</f>
        <v/>
      </c>
      <c r="U16" s="71" t="str">
        <f>IF(U$2="Y",IF(MaGic_AVM_Land!U16=0,"",MaGic_AVM_Land!U16),"")</f>
        <v/>
      </c>
      <c r="V16" s="71" t="str">
        <f>IF(V$2="Y",IF(MaGic_AVM_Land!V16=0,"",MaGic_AVM_Land!V16),"")</f>
        <v/>
      </c>
      <c r="W16" s="71" t="str">
        <f>IF(W$2="Y",IF(MaGic_AVM_Land!W16=0,"",MaGic_AVM_Land!W16),"")</f>
        <v/>
      </c>
      <c r="X16" s="71" t="str">
        <f>IF(X$2="Y",IF(MaGic_AVM_Land!X16=0,"",MaGic_AVM_Land!X16),"")</f>
        <v/>
      </c>
      <c r="Y16" s="71" t="str">
        <f>IF(Y$2="Y",IF(MaGic_AVM_Land!Y16=0,"",MaGic_AVM_Land!Y16),"")</f>
        <v/>
      </c>
      <c r="Z16" s="71" t="str">
        <f>IF(Z$2="Y",IF(MaGic_AVM_Land!Z16=0,"",MaGic_AVM_Land!Z16),"")</f>
        <v/>
      </c>
      <c r="AA16" s="69" t="str">
        <f t="shared" si="1"/>
        <v/>
      </c>
      <c r="AB16" s="69" t="str" cm="1">
        <f t="array" ref="AB16">_xlfn.UNIQUE(C16:Z16,TRUE,FALSE)</f>
        <v/>
      </c>
    </row>
    <row r="17" spans="1:28">
      <c r="A17" s="70">
        <v>15</v>
      </c>
      <c r="B17" s="70" t="s">
        <v>77</v>
      </c>
      <c r="C17" s="71" t="str">
        <f>IF(C$2="Y",IF(MaGic_AVM_Land!C17=0,"",MaGic_AVM_Land!C17),"")</f>
        <v/>
      </c>
      <c r="D17" s="71" t="str">
        <f>IF(D$2="Y",IF(MaGic_AVM_Land!D17=0,"",MaGic_AVM_Land!D17),"")</f>
        <v/>
      </c>
      <c r="E17" s="71" t="str">
        <f>IF(E$2="Y",IF(MaGic_AVM_Land!E17=0,"",MaGic_AVM_Land!E17),"")</f>
        <v/>
      </c>
      <c r="F17" s="71" t="str">
        <f>IF(F$2="Y",IF(MaGic_AVM_Land!F17=0,"",MaGic_AVM_Land!F17),"")</f>
        <v/>
      </c>
      <c r="G17" s="71" t="str">
        <f>IF(G$2="Y",IF(MaGic_AVM_Land!G17=0,"",MaGic_AVM_Land!G17),"")</f>
        <v/>
      </c>
      <c r="H17" s="71" t="str">
        <f>IF(H$2="Y",IF(MaGic_AVM_Land!H17=0,"",MaGic_AVM_Land!H17),"")</f>
        <v/>
      </c>
      <c r="I17" s="71" t="str">
        <f>IF(I$2="Y",IF(MaGic_AVM_Land!I17=0,"",MaGic_AVM_Land!I17),"")</f>
        <v/>
      </c>
      <c r="J17" s="71" t="str">
        <f>IF(J$2="Y",IF(MaGic_AVM_Land!J17=0,"",MaGic_AVM_Land!J17),"")</f>
        <v/>
      </c>
      <c r="K17" s="71" t="str">
        <f>IF(K$2="Y",IF(MaGic_AVM_Land!K17=0,"",MaGic_AVM_Land!K17),"")</f>
        <v/>
      </c>
      <c r="L17" s="71" t="str">
        <f>IF(L$2="Y",IF(MaGic_AVM_Land!L17=0,"",MaGic_AVM_Land!L17),"")</f>
        <v/>
      </c>
      <c r="M17" s="71" t="str">
        <f>IF(M$2="Y",IF(MaGic_AVM_Land!M17=0,"",MaGic_AVM_Land!M17),"")</f>
        <v/>
      </c>
      <c r="N17" s="71" t="str">
        <f>IF(N$2="Y",IF(MaGic_AVM_Land!N17=0,"",MaGic_AVM_Land!N17),"")</f>
        <v/>
      </c>
      <c r="O17" s="71" t="str">
        <f>IF(O$2="Y",IF(MaGic_AVM_Land!O17=0,"",MaGic_AVM_Land!O17),"")</f>
        <v/>
      </c>
      <c r="P17" s="71" t="str">
        <f>IF(P$2="Y",IF(MaGic_AVM_Land!P17=0,"",MaGic_AVM_Land!P17),"")</f>
        <v/>
      </c>
      <c r="Q17" s="71" t="str">
        <f>IF(Q$2="Y",IF(MaGic_AVM_Land!Q17=0,"",MaGic_AVM_Land!Q17),"")</f>
        <v/>
      </c>
      <c r="R17" s="71" t="str">
        <f>IF(R$2="Y",IF(MaGic_AVM_Land!R17=0,"",MaGic_AVM_Land!R17),"")</f>
        <v/>
      </c>
      <c r="S17" s="71" t="str">
        <f>IF(S$2="Y",IF(MaGic_AVM_Land!S17=0,"",MaGic_AVM_Land!S17),"")</f>
        <v/>
      </c>
      <c r="T17" s="71" t="str">
        <f>IF(T$2="Y",IF(MaGic_AVM_Land!T17=0,"",MaGic_AVM_Land!T17),"")</f>
        <v/>
      </c>
      <c r="U17" s="71" t="str">
        <f>IF(U$2="Y",IF(MaGic_AVM_Land!U17=0,"",MaGic_AVM_Land!U17),"")</f>
        <v/>
      </c>
      <c r="V17" s="71" t="str">
        <f>IF(V$2="Y",IF(MaGic_AVM_Land!V17=0,"",MaGic_AVM_Land!V17),"")</f>
        <v/>
      </c>
      <c r="W17" s="71" t="str">
        <f>IF(W$2="Y",IF(MaGic_AVM_Land!W17=0,"",MaGic_AVM_Land!W17),"")</f>
        <v/>
      </c>
      <c r="X17" s="71" t="str">
        <f>IF(X$2="Y",IF(MaGic_AVM_Land!X17=0,"",MaGic_AVM_Land!X17),"")</f>
        <v/>
      </c>
      <c r="Y17" s="71" t="str">
        <f>IF(Y$2="Y",IF(MaGic_AVM_Land!Y17=0,"",MaGic_AVM_Land!Y17),"")</f>
        <v/>
      </c>
      <c r="Z17" s="71" t="str">
        <f>IF(Z$2="Y",IF(MaGic_AVM_Land!Z17=0,"",MaGic_AVM_Land!Z17),"")</f>
        <v/>
      </c>
      <c r="AA17" s="69" t="str">
        <f t="shared" si="1"/>
        <v/>
      </c>
      <c r="AB17" s="69" t="str" cm="1">
        <f t="array" ref="AB17">_xlfn.UNIQUE(C17:Z17,TRUE,FALSE)</f>
        <v/>
      </c>
    </row>
    <row r="18" spans="1:28">
      <c r="A18" s="70">
        <v>16</v>
      </c>
      <c r="B18" s="70" t="s">
        <v>78</v>
      </c>
      <c r="C18" s="71" t="str">
        <f>IF(C$2="Y",IF(MaGic_AVM_Land!C18=0,"",MaGic_AVM_Land!C18),"")</f>
        <v/>
      </c>
      <c r="D18" s="71" t="str">
        <f>IF(D$2="Y",IF(MaGic_AVM_Land!D18=0,"",MaGic_AVM_Land!D18),"")</f>
        <v/>
      </c>
      <c r="E18" s="71" t="str">
        <f>IF(E$2="Y",IF(MaGic_AVM_Land!E18=0,"",MaGic_AVM_Land!E18),"")</f>
        <v/>
      </c>
      <c r="F18" s="71" t="str">
        <f>IF(F$2="Y",IF(MaGic_AVM_Land!F18=0,"",MaGic_AVM_Land!F18),"")</f>
        <v/>
      </c>
      <c r="G18" s="71" t="str">
        <f>IF(G$2="Y",IF(MaGic_AVM_Land!G18=0,"",MaGic_AVM_Land!G18),"")</f>
        <v/>
      </c>
      <c r="H18" s="71" t="str">
        <f>IF(H$2="Y",IF(MaGic_AVM_Land!H18=0,"",MaGic_AVM_Land!H18),"")</f>
        <v/>
      </c>
      <c r="I18" s="71" t="str">
        <f>IF(I$2="Y",IF(MaGic_AVM_Land!I18=0,"",MaGic_AVM_Land!I18),"")</f>
        <v/>
      </c>
      <c r="J18" s="71" t="str">
        <f>IF(J$2="Y",IF(MaGic_AVM_Land!J18=0,"",MaGic_AVM_Land!J18),"")</f>
        <v/>
      </c>
      <c r="K18" s="71" t="str">
        <f>IF(K$2="Y",IF(MaGic_AVM_Land!K18=0,"",MaGic_AVM_Land!K18),"")</f>
        <v/>
      </c>
      <c r="L18" s="71" t="str">
        <f>IF(L$2="Y",IF(MaGic_AVM_Land!L18=0,"",MaGic_AVM_Land!L18),"")</f>
        <v/>
      </c>
      <c r="M18" s="71" t="str">
        <f>IF(M$2="Y",IF(MaGic_AVM_Land!M18=0,"",MaGic_AVM_Land!M18),"")</f>
        <v/>
      </c>
      <c r="N18" s="71" t="str">
        <f>IF(N$2="Y",IF(MaGic_AVM_Land!N18=0,"",MaGic_AVM_Land!N18),"")</f>
        <v/>
      </c>
      <c r="O18" s="71" t="str">
        <f>IF(O$2="Y",IF(MaGic_AVM_Land!O18=0,"",MaGic_AVM_Land!O18),"")</f>
        <v/>
      </c>
      <c r="P18" s="71" t="str">
        <f>IF(P$2="Y",IF(MaGic_AVM_Land!P18=0,"",MaGic_AVM_Land!P18),"")</f>
        <v/>
      </c>
      <c r="Q18" s="71" t="str">
        <f>IF(Q$2="Y",IF(MaGic_AVM_Land!Q18=0,"",MaGic_AVM_Land!Q18),"")</f>
        <v/>
      </c>
      <c r="R18" s="71" t="str">
        <f>IF(R$2="Y",IF(MaGic_AVM_Land!R18=0,"",MaGic_AVM_Land!R18),"")</f>
        <v/>
      </c>
      <c r="S18" s="71" t="str">
        <f>IF(S$2="Y",IF(MaGic_AVM_Land!S18=0,"",MaGic_AVM_Land!S18),"")</f>
        <v/>
      </c>
      <c r="T18" s="71" t="str">
        <f>IF(T$2="Y",IF(MaGic_AVM_Land!T18=0,"",MaGic_AVM_Land!T18),"")</f>
        <v/>
      </c>
      <c r="U18" s="71" t="str">
        <f>IF(U$2="Y",IF(MaGic_AVM_Land!U18=0,"",MaGic_AVM_Land!U18),"")</f>
        <v/>
      </c>
      <c r="V18" s="71" t="str">
        <f>IF(V$2="Y",IF(MaGic_AVM_Land!V18=0,"",MaGic_AVM_Land!V18),"")</f>
        <v/>
      </c>
      <c r="W18" s="71" t="str">
        <f>IF(W$2="Y",IF(MaGic_AVM_Land!W18=0,"",MaGic_AVM_Land!W18),"")</f>
        <v/>
      </c>
      <c r="X18" s="71" t="str">
        <f>IF(X$2="Y",IF(MaGic_AVM_Land!X18=0,"",MaGic_AVM_Land!X18),"")</f>
        <v/>
      </c>
      <c r="Y18" s="71" t="str">
        <f>IF(Y$2="Y",IF(MaGic_AVM_Land!Y18=0,"",MaGic_AVM_Land!Y18),"")</f>
        <v/>
      </c>
      <c r="Z18" s="71" t="str">
        <f>IF(Z$2="Y",IF(MaGic_AVM_Land!Z18=0,"",MaGic_AVM_Land!Z18),"")</f>
        <v/>
      </c>
      <c r="AA18" s="69" t="str">
        <f t="shared" si="1"/>
        <v/>
      </c>
      <c r="AB18" s="69" t="str" cm="1">
        <f t="array" ref="AB18">_xlfn.UNIQUE(C18:Z18,TRUE,FALSE)</f>
        <v/>
      </c>
    </row>
    <row r="19" spans="1:28">
      <c r="A19" s="70">
        <v>17</v>
      </c>
      <c r="B19" s="70" t="s">
        <v>79</v>
      </c>
      <c r="C19" s="71" t="str">
        <f>IF(C$2="Y",IF(MaGic_AVM_Land!C19=0,"",MaGic_AVM_Land!C19),"")</f>
        <v/>
      </c>
      <c r="D19" s="71" t="str">
        <f>IF(D$2="Y",IF(MaGic_AVM_Land!D19=0,"",MaGic_AVM_Land!D19),"")</f>
        <v/>
      </c>
      <c r="E19" s="71" t="str">
        <f>IF(E$2="Y",IF(MaGic_AVM_Land!E19=0,"",MaGic_AVM_Land!E19),"")</f>
        <v/>
      </c>
      <c r="F19" s="71" t="str">
        <f>IF(F$2="Y",IF(MaGic_AVM_Land!F19=0,"",MaGic_AVM_Land!F19),"")</f>
        <v/>
      </c>
      <c r="G19" s="71" t="str">
        <f>IF(G$2="Y",IF(MaGic_AVM_Land!G19=0,"",MaGic_AVM_Land!G19),"")</f>
        <v/>
      </c>
      <c r="H19" s="71" t="str">
        <f>IF(H$2="Y",IF(MaGic_AVM_Land!H19=0,"",MaGic_AVM_Land!H19),"")</f>
        <v/>
      </c>
      <c r="I19" s="71" t="str">
        <f>IF(I$2="Y",IF(MaGic_AVM_Land!I19=0,"",MaGic_AVM_Land!I19),"")</f>
        <v/>
      </c>
      <c r="J19" s="71" t="str">
        <f>IF(J$2="Y",IF(MaGic_AVM_Land!J19=0,"",MaGic_AVM_Land!J19),"")</f>
        <v/>
      </c>
      <c r="K19" s="71" t="str">
        <f>IF(K$2="Y",IF(MaGic_AVM_Land!K19=0,"",MaGic_AVM_Land!K19),"")</f>
        <v/>
      </c>
      <c r="L19" s="71" t="str">
        <f>IF(L$2="Y",IF(MaGic_AVM_Land!L19=0,"",MaGic_AVM_Land!L19),"")</f>
        <v/>
      </c>
      <c r="M19" s="71" t="str">
        <f>IF(M$2="Y",IF(MaGic_AVM_Land!M19=0,"",MaGic_AVM_Land!M19),"")</f>
        <v/>
      </c>
      <c r="N19" s="71" t="str">
        <f>IF(N$2="Y",IF(MaGic_AVM_Land!N19=0,"",MaGic_AVM_Land!N19),"")</f>
        <v/>
      </c>
      <c r="O19" s="71" t="str">
        <f>IF(O$2="Y",IF(MaGic_AVM_Land!O19=0,"",MaGic_AVM_Land!O19),"")</f>
        <v/>
      </c>
      <c r="P19" s="71" t="str">
        <f>IF(P$2="Y",IF(MaGic_AVM_Land!P19=0,"",MaGic_AVM_Land!P19),"")</f>
        <v/>
      </c>
      <c r="Q19" s="71" t="str">
        <f>IF(Q$2="Y",IF(MaGic_AVM_Land!Q19=0,"",MaGic_AVM_Land!Q19),"")</f>
        <v/>
      </c>
      <c r="R19" s="71" t="str">
        <f>IF(R$2="Y",IF(MaGic_AVM_Land!R19=0,"",MaGic_AVM_Land!R19),"")</f>
        <v/>
      </c>
      <c r="S19" s="71" t="str">
        <f>IF(S$2="Y",IF(MaGic_AVM_Land!S19=0,"",MaGic_AVM_Land!S19),"")</f>
        <v/>
      </c>
      <c r="T19" s="71" t="str">
        <f>IF(T$2="Y",IF(MaGic_AVM_Land!T19=0,"",MaGic_AVM_Land!T19),"")</f>
        <v/>
      </c>
      <c r="U19" s="71" t="str">
        <f>IF(U$2="Y",IF(MaGic_AVM_Land!U19=0,"",MaGic_AVM_Land!U19),"")</f>
        <v/>
      </c>
      <c r="V19" s="71" t="str">
        <f>IF(V$2="Y",IF(MaGic_AVM_Land!V19=0,"",MaGic_AVM_Land!V19),"")</f>
        <v/>
      </c>
      <c r="W19" s="71" t="str">
        <f>IF(W$2="Y",IF(MaGic_AVM_Land!W19=0,"",MaGic_AVM_Land!W19),"")</f>
        <v/>
      </c>
      <c r="X19" s="71" t="str">
        <f>IF(X$2="Y",IF(MaGic_AVM_Land!X19=0,"",MaGic_AVM_Land!X19),"")</f>
        <v/>
      </c>
      <c r="Y19" s="71" t="str">
        <f>IF(Y$2="Y",IF(MaGic_AVM_Land!Y19=0,"",MaGic_AVM_Land!Y19),"")</f>
        <v/>
      </c>
      <c r="Z19" s="71" t="str">
        <f>IF(Z$2="Y",IF(MaGic_AVM_Land!Z19=0,"",MaGic_AVM_Land!Z19),"")</f>
        <v/>
      </c>
      <c r="AA19" s="69" t="str">
        <f t="shared" ref="AA19:AA22" si="2">_xlfn.TEXTJOIN(",",TRUE,AB19:AZ19)</f>
        <v/>
      </c>
      <c r="AB19" s="69" t="str" cm="1">
        <f t="array" ref="AB19">_xlfn.UNIQUE(C19:Z19,TRUE,FALSE)</f>
        <v/>
      </c>
    </row>
    <row r="20" spans="1:28">
      <c r="A20" s="70">
        <v>18</v>
      </c>
      <c r="B20" s="70" t="s">
        <v>80</v>
      </c>
      <c r="C20" s="71" t="str">
        <f>IF(C$2="Y",IF(MaGic_AVM_Land!C20=0,"",MaGic_AVM_Land!C20),"")</f>
        <v/>
      </c>
      <c r="D20" s="71" t="str">
        <f>IF(D$2="Y",IF(MaGic_AVM_Land!D20=0,"",MaGic_AVM_Land!D20),"")</f>
        <v/>
      </c>
      <c r="E20" s="71" t="str">
        <f>IF(E$2="Y",IF(MaGic_AVM_Land!E20=0,"",MaGic_AVM_Land!E20),"")</f>
        <v/>
      </c>
      <c r="F20" s="71" t="str">
        <f>IF(F$2="Y",IF(MaGic_AVM_Land!F20=0,"",MaGic_AVM_Land!F20),"")</f>
        <v/>
      </c>
      <c r="G20" s="71" t="str">
        <f>IF(G$2="Y",IF(MaGic_AVM_Land!G20=0,"",MaGic_AVM_Land!G20),"")</f>
        <v/>
      </c>
      <c r="H20" s="71" t="str">
        <f>IF(H$2="Y",IF(MaGic_AVM_Land!H20=0,"",MaGic_AVM_Land!H20),"")</f>
        <v/>
      </c>
      <c r="I20" s="71" t="str">
        <f>IF(I$2="Y",IF(MaGic_AVM_Land!I20=0,"",MaGic_AVM_Land!I20),"")</f>
        <v/>
      </c>
      <c r="J20" s="71" t="str">
        <f>IF(J$2="Y",IF(MaGic_AVM_Land!J20=0,"",MaGic_AVM_Land!J20),"")</f>
        <v/>
      </c>
      <c r="K20" s="71" t="str">
        <f>IF(K$2="Y",IF(MaGic_AVM_Land!K20=0,"",MaGic_AVM_Land!K20),"")</f>
        <v/>
      </c>
      <c r="L20" s="71" t="str">
        <f>IF(L$2="Y",IF(MaGic_AVM_Land!L20=0,"",MaGic_AVM_Land!L20),"")</f>
        <v/>
      </c>
      <c r="M20" s="71" t="str">
        <f>IF(M$2="Y",IF(MaGic_AVM_Land!M20=0,"",MaGic_AVM_Land!M20),"")</f>
        <v/>
      </c>
      <c r="N20" s="71" t="str">
        <f>IF(N$2="Y",IF(MaGic_AVM_Land!N20=0,"",MaGic_AVM_Land!N20),"")</f>
        <v/>
      </c>
      <c r="O20" s="71" t="str">
        <f>IF(O$2="Y",IF(MaGic_AVM_Land!O20=0,"",MaGic_AVM_Land!O20),"")</f>
        <v/>
      </c>
      <c r="P20" s="71" t="str">
        <f>IF(P$2="Y",IF(MaGic_AVM_Land!P20=0,"",MaGic_AVM_Land!P20),"")</f>
        <v/>
      </c>
      <c r="Q20" s="71" t="str">
        <f>IF(Q$2="Y",IF(MaGic_AVM_Land!Q20=0,"",MaGic_AVM_Land!Q20),"")</f>
        <v/>
      </c>
      <c r="R20" s="71" t="str">
        <f>IF(R$2="Y",IF(MaGic_AVM_Land!R20=0,"",MaGic_AVM_Land!R20),"")</f>
        <v/>
      </c>
      <c r="S20" s="71" t="str">
        <f>IF(S$2="Y",IF(MaGic_AVM_Land!S20=0,"",MaGic_AVM_Land!S20),"")</f>
        <v/>
      </c>
      <c r="T20" s="71" t="str">
        <f>IF(T$2="Y",IF(MaGic_AVM_Land!T20=0,"",MaGic_AVM_Land!T20),"")</f>
        <v/>
      </c>
      <c r="U20" s="71" t="str">
        <f>IF(U$2="Y",IF(MaGic_AVM_Land!U20=0,"",MaGic_AVM_Land!U20),"")</f>
        <v/>
      </c>
      <c r="V20" s="71" t="str">
        <f>IF(V$2="Y",IF(MaGic_AVM_Land!V20=0,"",MaGic_AVM_Land!V20),"")</f>
        <v/>
      </c>
      <c r="W20" s="71" t="str">
        <f>IF(W$2="Y",IF(MaGic_AVM_Land!W20=0,"",MaGic_AVM_Land!W20),"")</f>
        <v/>
      </c>
      <c r="X20" s="71" t="str">
        <f>IF(X$2="Y",IF(MaGic_AVM_Land!X20=0,"",MaGic_AVM_Land!X20),"")</f>
        <v/>
      </c>
      <c r="Y20" s="71" t="str">
        <f>IF(Y$2="Y",IF(MaGic_AVM_Land!Y20=0,"",MaGic_AVM_Land!Y20),"")</f>
        <v/>
      </c>
      <c r="Z20" s="71" t="str">
        <f>IF(Z$2="Y",IF(MaGic_AVM_Land!Z20=0,"",MaGic_AVM_Land!Z20),"")</f>
        <v/>
      </c>
      <c r="AA20" s="69" t="str">
        <f t="shared" si="2"/>
        <v/>
      </c>
      <c r="AB20" s="69" t="str" cm="1">
        <f t="array" ref="AB20">_xlfn.UNIQUE(C20:Z20,TRUE,FALSE)</f>
        <v/>
      </c>
    </row>
    <row r="21" spans="1:28">
      <c r="A21" s="70">
        <v>19</v>
      </c>
      <c r="B21" s="70" t="s">
        <v>81</v>
      </c>
      <c r="C21" s="71" t="str">
        <f>IF(C$2="Y",IF(MaGic_AVM_Land!C21=0,"",MaGic_AVM_Land!C21),"")</f>
        <v/>
      </c>
      <c r="D21" s="71" t="str">
        <f>IF(D$2="Y",IF(MaGic_AVM_Land!D21=0,"",MaGic_AVM_Land!D21),"")</f>
        <v/>
      </c>
      <c r="E21" s="71" t="str">
        <f>IF(E$2="Y",IF(MaGic_AVM_Land!E21=0,"",MaGic_AVM_Land!E21),"")</f>
        <v/>
      </c>
      <c r="F21" s="71" t="str">
        <f>IF(F$2="Y",IF(MaGic_AVM_Land!F21=0,"",MaGic_AVM_Land!F21),"")</f>
        <v/>
      </c>
      <c r="G21" s="71" t="str">
        <f>IF(G$2="Y",IF(MaGic_AVM_Land!G21=0,"",MaGic_AVM_Land!G21),"")</f>
        <v/>
      </c>
      <c r="H21" s="71" t="str">
        <f>IF(H$2="Y",IF(MaGic_AVM_Land!H21=0,"",MaGic_AVM_Land!H21),"")</f>
        <v/>
      </c>
      <c r="I21" s="71" t="str">
        <f>IF(I$2="Y",IF(MaGic_AVM_Land!I21=0,"",MaGic_AVM_Land!I21),"")</f>
        <v/>
      </c>
      <c r="J21" s="71" t="str">
        <f>IF(J$2="Y",IF(MaGic_AVM_Land!J21=0,"",MaGic_AVM_Land!J21),"")</f>
        <v/>
      </c>
      <c r="K21" s="71" t="str">
        <f>IF(K$2="Y",IF(MaGic_AVM_Land!K21=0,"",MaGic_AVM_Land!K21),"")</f>
        <v/>
      </c>
      <c r="L21" s="71" t="str">
        <f>IF(L$2="Y",IF(MaGic_AVM_Land!L21=0,"",MaGic_AVM_Land!L21),"")</f>
        <v/>
      </c>
      <c r="M21" s="71" t="str">
        <f>IF(M$2="Y",IF(MaGic_AVM_Land!M21=0,"",MaGic_AVM_Land!M21),"")</f>
        <v/>
      </c>
      <c r="N21" s="71" t="str">
        <f>IF(N$2="Y",IF(MaGic_AVM_Land!N21=0,"",MaGic_AVM_Land!N21),"")</f>
        <v/>
      </c>
      <c r="O21" s="71" t="str">
        <f>IF(O$2="Y",IF(MaGic_AVM_Land!O21=0,"",MaGic_AVM_Land!O21),"")</f>
        <v/>
      </c>
      <c r="P21" s="71" t="str">
        <f>IF(P$2="Y",IF(MaGic_AVM_Land!P21=0,"",MaGic_AVM_Land!P21),"")</f>
        <v/>
      </c>
      <c r="Q21" s="71" t="str">
        <f>IF(Q$2="Y",IF(MaGic_AVM_Land!Q21=0,"",MaGic_AVM_Land!Q21),"")</f>
        <v/>
      </c>
      <c r="R21" s="71" t="str">
        <f>IF(R$2="Y",IF(MaGic_AVM_Land!R21=0,"",MaGic_AVM_Land!R21),"")</f>
        <v/>
      </c>
      <c r="S21" s="71" t="str">
        <f>IF(S$2="Y",IF(MaGic_AVM_Land!S21=0,"",MaGic_AVM_Land!S21),"")</f>
        <v/>
      </c>
      <c r="T21" s="71" t="str">
        <f>IF(T$2="Y",IF(MaGic_AVM_Land!T21=0,"",MaGic_AVM_Land!T21),"")</f>
        <v/>
      </c>
      <c r="U21" s="71" t="str">
        <f>IF(U$2="Y",IF(MaGic_AVM_Land!U21=0,"",MaGic_AVM_Land!U21),"")</f>
        <v/>
      </c>
      <c r="V21" s="71" t="str">
        <f>IF(V$2="Y",IF(MaGic_AVM_Land!V21=0,"",MaGic_AVM_Land!V21),"")</f>
        <v/>
      </c>
      <c r="W21" s="71" t="str">
        <f>IF(W$2="Y",IF(MaGic_AVM_Land!W21=0,"",MaGic_AVM_Land!W21),"")</f>
        <v/>
      </c>
      <c r="X21" s="71" t="str">
        <f>IF(X$2="Y",IF(MaGic_AVM_Land!X21=0,"",MaGic_AVM_Land!X21),"")</f>
        <v/>
      </c>
      <c r="Y21" s="71" t="str">
        <f>IF(Y$2="Y",IF(MaGic_AVM_Land!Y21=0,"",MaGic_AVM_Land!Y21),"")</f>
        <v/>
      </c>
      <c r="Z21" s="71" t="str">
        <f>IF(Z$2="Y",IF(MaGic_AVM_Land!Z21=0,"",MaGic_AVM_Land!Z21),"")</f>
        <v/>
      </c>
      <c r="AA21" s="69" t="str">
        <f t="shared" si="2"/>
        <v/>
      </c>
      <c r="AB21" s="69" t="str" cm="1">
        <f t="array" ref="AB21">_xlfn.UNIQUE(C21:Z21,TRUE,FALSE)</f>
        <v/>
      </c>
    </row>
    <row r="22" spans="1:28">
      <c r="A22" s="70">
        <v>20</v>
      </c>
      <c r="B22" s="70" t="s">
        <v>82</v>
      </c>
      <c r="C22" s="71" t="str">
        <f>IF(C$2="Y",IF(MaGic_AVM_Land!C22=0,"",MaGic_AVM_Land!C22),"")</f>
        <v/>
      </c>
      <c r="D22" s="71" t="str">
        <f>IF(D$2="Y",IF(MaGic_AVM_Land!D22=0,"",MaGic_AVM_Land!D22),"")</f>
        <v/>
      </c>
      <c r="E22" s="71" t="str">
        <f>IF(E$2="Y",IF(MaGic_AVM_Land!E22=0,"",MaGic_AVM_Land!E22),"")</f>
        <v/>
      </c>
      <c r="F22" s="71" t="str">
        <f>IF(F$2="Y",IF(MaGic_AVM_Land!F22=0,"",MaGic_AVM_Land!F22),"")</f>
        <v/>
      </c>
      <c r="G22" s="71" t="str">
        <f>IF(G$2="Y",IF(MaGic_AVM_Land!G22=0,"",MaGic_AVM_Land!G22),"")</f>
        <v/>
      </c>
      <c r="H22" s="71" t="str">
        <f>IF(H$2="Y",IF(MaGic_AVM_Land!H22=0,"",MaGic_AVM_Land!H22),"")</f>
        <v/>
      </c>
      <c r="I22" s="71" t="str">
        <f>IF(I$2="Y",IF(MaGic_AVM_Land!I22=0,"",MaGic_AVM_Land!I22),"")</f>
        <v/>
      </c>
      <c r="J22" s="71" t="str">
        <f>IF(J$2="Y",IF(MaGic_AVM_Land!J22=0,"",MaGic_AVM_Land!J22),"")</f>
        <v/>
      </c>
      <c r="K22" s="71" t="str">
        <f>IF(K$2="Y",IF(MaGic_AVM_Land!K22=0,"",MaGic_AVM_Land!K22),"")</f>
        <v/>
      </c>
      <c r="L22" s="71" t="str">
        <f>IF(L$2="Y",IF(MaGic_AVM_Land!L22=0,"",MaGic_AVM_Land!L22),"")</f>
        <v/>
      </c>
      <c r="M22" s="71" t="str">
        <f>IF(M$2="Y",IF(MaGic_AVM_Land!M22=0,"",MaGic_AVM_Land!M22),"")</f>
        <v/>
      </c>
      <c r="N22" s="71" t="str">
        <f>IF(N$2="Y",IF(MaGic_AVM_Land!N22=0,"",MaGic_AVM_Land!N22),"")</f>
        <v/>
      </c>
      <c r="O22" s="71" t="str">
        <f>IF(O$2="Y",IF(MaGic_AVM_Land!O22=0,"",MaGic_AVM_Land!O22),"")</f>
        <v/>
      </c>
      <c r="P22" s="71" t="str">
        <f>IF(P$2="Y",IF(MaGic_AVM_Land!P22=0,"",MaGic_AVM_Land!P22),"")</f>
        <v/>
      </c>
      <c r="Q22" s="71" t="str">
        <f>IF(Q$2="Y",IF(MaGic_AVM_Land!Q22=0,"",MaGic_AVM_Land!Q22),"")</f>
        <v/>
      </c>
      <c r="R22" s="71" t="str">
        <f>IF(R$2="Y",IF(MaGic_AVM_Land!R22=0,"",MaGic_AVM_Land!R22),"")</f>
        <v/>
      </c>
      <c r="S22" s="71" t="str">
        <f>IF(S$2="Y",IF(MaGic_AVM_Land!S22=0,"",MaGic_AVM_Land!S22),"")</f>
        <v/>
      </c>
      <c r="T22" s="71" t="str">
        <f>IF(T$2="Y",IF(MaGic_AVM_Land!T22=0,"",MaGic_AVM_Land!T22),"")</f>
        <v/>
      </c>
      <c r="U22" s="71" t="str">
        <f>IF(U$2="Y",IF(MaGic_AVM_Land!U22=0,"",MaGic_AVM_Land!U22),"")</f>
        <v/>
      </c>
      <c r="V22" s="71" t="str">
        <f>IF(V$2="Y",IF(MaGic_AVM_Land!V22=0,"",MaGic_AVM_Land!V22),"")</f>
        <v/>
      </c>
      <c r="W22" s="71" t="str">
        <f>IF(W$2="Y",IF(MaGic_AVM_Land!W22=0,"",MaGic_AVM_Land!W22),"")</f>
        <v/>
      </c>
      <c r="X22" s="71" t="str">
        <f>IF(X$2="Y",IF(MaGic_AVM_Land!X22=0,"",MaGic_AVM_Land!X22),"")</f>
        <v/>
      </c>
      <c r="Y22" s="71" t="str">
        <f>IF(Y$2="Y",IF(MaGic_AVM_Land!Y22=0,"",MaGic_AVM_Land!Y22),"")</f>
        <v/>
      </c>
      <c r="Z22" s="71" t="str">
        <f>IF(Z$2="Y",IF(MaGic_AVM_Land!Z22=0,"",MaGic_AVM_Land!Z22),"")</f>
        <v/>
      </c>
      <c r="AA22" s="69" t="str">
        <f t="shared" si="2"/>
        <v/>
      </c>
      <c r="AB22" s="69" t="str" cm="1">
        <f t="array" ref="AB22">_xlfn.UNIQUE(C22:Z22,TRUE,FALSE)</f>
        <v/>
      </c>
    </row>
    <row r="23" spans="1:28">
      <c r="A23" s="70">
        <v>21</v>
      </c>
      <c r="B23" s="70" t="s">
        <v>83</v>
      </c>
      <c r="C23" s="70" t="str">
        <f>IF(C$2="Y",IF(MaGic_AVM_Land!C23=0,"",MaGic_AVM_Land!C23),"")</f>
        <v/>
      </c>
      <c r="D23" s="70" t="str">
        <f>IF(D$2="Y",IF(MaGic_AVM_Land!D23=0,"",MaGic_AVM_Land!D23),"")</f>
        <v/>
      </c>
      <c r="E23" s="70" t="str">
        <f>IF(E$2="Y",IF(MaGic_AVM_Land!E23=0,"",MaGic_AVM_Land!E23),"")</f>
        <v/>
      </c>
      <c r="F23" s="70" t="str">
        <f>IF(F$2="Y",IF(MaGic_AVM_Land!F23=0,"",MaGic_AVM_Land!F23),"")</f>
        <v/>
      </c>
      <c r="G23" s="70" t="str">
        <f>IF(G$2="Y",IF(MaGic_AVM_Land!G23=0,"",MaGic_AVM_Land!G23),"")</f>
        <v/>
      </c>
      <c r="H23" s="70" t="str">
        <f>IF(H$2="Y",IF(MaGic_AVM_Land!H23=0,"",MaGic_AVM_Land!H23),"")</f>
        <v/>
      </c>
      <c r="I23" s="70" t="str">
        <f>IF(I$2="Y",IF(MaGic_AVM_Land!I23=0,"",MaGic_AVM_Land!I23),"")</f>
        <v/>
      </c>
      <c r="J23" s="70" t="str">
        <f>IF(J$2="Y",IF(MaGic_AVM_Land!J23=0,"",MaGic_AVM_Land!J23),"")</f>
        <v/>
      </c>
      <c r="K23" s="70" t="str">
        <f>IF(K$2="Y",IF(MaGic_AVM_Land!K23=0,"",MaGic_AVM_Land!K23),"")</f>
        <v/>
      </c>
      <c r="L23" s="70" t="str">
        <f>IF(L$2="Y",IF(MaGic_AVM_Land!L23=0,"",MaGic_AVM_Land!L23),"")</f>
        <v/>
      </c>
      <c r="M23" s="70" t="str">
        <f>IF(M$2="Y",IF(MaGic_AVM_Land!M23=0,"",MaGic_AVM_Land!M23),"")</f>
        <v/>
      </c>
      <c r="N23" s="70" t="str">
        <f>IF(N$2="Y",IF(MaGic_AVM_Land!N23=0,"",MaGic_AVM_Land!N23),"")</f>
        <v/>
      </c>
      <c r="O23" s="70" t="str">
        <f>IF(O$2="Y",IF(MaGic_AVM_Land!O23=0,"",MaGic_AVM_Land!O23),"")</f>
        <v/>
      </c>
      <c r="P23" s="70" t="str">
        <f>IF(P$2="Y",IF(MaGic_AVM_Land!P23=0,"",MaGic_AVM_Land!P23),"")</f>
        <v/>
      </c>
      <c r="Q23" s="70" t="str">
        <f>IF(Q$2="Y",IF(MaGic_AVM_Land!Q23=0,"",MaGic_AVM_Land!Q23),"")</f>
        <v/>
      </c>
      <c r="R23" s="70" t="str">
        <f>IF(R$2="Y",IF(MaGic_AVM_Land!R23=0,"",MaGic_AVM_Land!R23),"")</f>
        <v/>
      </c>
      <c r="S23" s="70" t="str">
        <f>IF(S$2="Y",IF(MaGic_AVM_Land!S23=0,"",MaGic_AVM_Land!S23),"")</f>
        <v/>
      </c>
      <c r="T23" s="70" t="str">
        <f>IF(T$2="Y",IF(MaGic_AVM_Land!T23=0,"",MaGic_AVM_Land!T23),"")</f>
        <v/>
      </c>
      <c r="U23" s="70" t="str">
        <f>IF(U$2="Y",IF(MaGic_AVM_Land!U23=0,"",MaGic_AVM_Land!U23),"")</f>
        <v/>
      </c>
      <c r="V23" s="70" t="str">
        <f>IF(V$2="Y",IF(MaGic_AVM_Land!V23=0,"",MaGic_AVM_Land!V23),"")</f>
        <v/>
      </c>
      <c r="W23" s="70" t="str">
        <f>IF(W$2="Y",IF(MaGic_AVM_Land!W23=0,"",MaGic_AVM_Land!W23),"")</f>
        <v/>
      </c>
      <c r="X23" s="70" t="str">
        <f>IF(X$2="Y",IF(MaGic_AVM_Land!X23=0,"",MaGic_AVM_Land!X23),"")</f>
        <v/>
      </c>
      <c r="Y23" s="70" t="str">
        <f>IF(Y$2="Y",IF(MaGic_AVM_Land!Y23=0,"",MaGic_AVM_Land!Y23),"")</f>
        <v/>
      </c>
      <c r="Z23" s="70" t="str">
        <f>IF(Z$2="Y",IF(MaGic_AVM_Land!Z23=0,"",MaGic_AVM_Land!Z23),"")</f>
        <v/>
      </c>
      <c r="AA23" s="69">
        <f>SUM(C23:Z23)</f>
        <v>0</v>
      </c>
      <c r="AB23" s="69" t="str" cm="1">
        <f t="array" ref="AB23">_xlfn.UNIQUE(C23:Z23,TRUE,FALSE)</f>
        <v/>
      </c>
    </row>
    <row r="24" spans="1:28">
      <c r="A24" s="70">
        <v>22</v>
      </c>
      <c r="B24" s="70" t="s">
        <v>84</v>
      </c>
      <c r="C24" s="70" t="str">
        <f>IF(C$2="Y",IF(MaGic_AVM_Land!C24=0,"",MaGic_AVM_Land!C24),"")</f>
        <v/>
      </c>
      <c r="D24" s="70" t="str">
        <f>IF(D$2="Y",IF(MaGic_AVM_Land!D24=0,"",MaGic_AVM_Land!D24),"")</f>
        <v/>
      </c>
      <c r="E24" s="70" t="str">
        <f>IF(E$2="Y",IF(MaGic_AVM_Land!E24=0,"",MaGic_AVM_Land!E24),"")</f>
        <v/>
      </c>
      <c r="F24" s="70" t="str">
        <f>IF(F$2="Y",IF(MaGic_AVM_Land!F24=0,"",MaGic_AVM_Land!F24),"")</f>
        <v/>
      </c>
      <c r="G24" s="70" t="str">
        <f>IF(G$2="Y",IF(MaGic_AVM_Land!G24=0,"",MaGic_AVM_Land!G24),"")</f>
        <v/>
      </c>
      <c r="H24" s="70" t="str">
        <f>IF(H$2="Y",IF(MaGic_AVM_Land!H24=0,"",MaGic_AVM_Land!H24),"")</f>
        <v/>
      </c>
      <c r="I24" s="70" t="str">
        <f>IF(I$2="Y",IF(MaGic_AVM_Land!I24=0,"",MaGic_AVM_Land!I24),"")</f>
        <v/>
      </c>
      <c r="J24" s="70" t="str">
        <f>IF(J$2="Y",IF(MaGic_AVM_Land!J24=0,"",MaGic_AVM_Land!J24),"")</f>
        <v/>
      </c>
      <c r="K24" s="70" t="str">
        <f>IF(K$2="Y",IF(MaGic_AVM_Land!K24=0,"",MaGic_AVM_Land!K24),"")</f>
        <v/>
      </c>
      <c r="L24" s="70" t="str">
        <f>IF(L$2="Y",IF(MaGic_AVM_Land!L24=0,"",MaGic_AVM_Land!L24),"")</f>
        <v/>
      </c>
      <c r="M24" s="70" t="str">
        <f>IF(M$2="Y",IF(MaGic_AVM_Land!M24=0,"",MaGic_AVM_Land!M24),"")</f>
        <v/>
      </c>
      <c r="N24" s="70" t="str">
        <f>IF(N$2="Y",IF(MaGic_AVM_Land!N24=0,"",MaGic_AVM_Land!N24),"")</f>
        <v/>
      </c>
      <c r="O24" s="70" t="str">
        <f>IF(O$2="Y",IF(MaGic_AVM_Land!O24=0,"",MaGic_AVM_Land!O24),"")</f>
        <v/>
      </c>
      <c r="P24" s="70" t="str">
        <f>IF(P$2="Y",IF(MaGic_AVM_Land!P24=0,"",MaGic_AVM_Land!P24),"")</f>
        <v/>
      </c>
      <c r="Q24" s="70" t="str">
        <f>IF(Q$2="Y",IF(MaGic_AVM_Land!Q24=0,"",MaGic_AVM_Land!Q24),"")</f>
        <v/>
      </c>
      <c r="R24" s="70" t="str">
        <f>IF(R$2="Y",IF(MaGic_AVM_Land!R24=0,"",MaGic_AVM_Land!R24),"")</f>
        <v/>
      </c>
      <c r="S24" s="70" t="str">
        <f>IF(S$2="Y",IF(MaGic_AVM_Land!S24=0,"",MaGic_AVM_Land!S24),"")</f>
        <v/>
      </c>
      <c r="T24" s="70" t="str">
        <f>IF(T$2="Y",IF(MaGic_AVM_Land!T24=0,"",MaGic_AVM_Land!T24),"")</f>
        <v/>
      </c>
      <c r="U24" s="70" t="str">
        <f>IF(U$2="Y",IF(MaGic_AVM_Land!U24=0,"",MaGic_AVM_Land!U24),"")</f>
        <v/>
      </c>
      <c r="V24" s="70" t="str">
        <f>IF(V$2="Y",IF(MaGic_AVM_Land!V24=0,"",MaGic_AVM_Land!V24),"")</f>
        <v/>
      </c>
      <c r="W24" s="70" t="str">
        <f>IF(W$2="Y",IF(MaGic_AVM_Land!W24=0,"",MaGic_AVM_Land!W24),"")</f>
        <v/>
      </c>
      <c r="X24" s="70" t="str">
        <f>IF(X$2="Y",IF(MaGic_AVM_Land!X24=0,"",MaGic_AVM_Land!X24),"")</f>
        <v/>
      </c>
      <c r="Y24" s="70" t="str">
        <f>IF(Y$2="Y",IF(MaGic_AVM_Land!Y24=0,"",MaGic_AVM_Land!Y24),"")</f>
        <v/>
      </c>
      <c r="Z24" s="70" t="str">
        <f>IF(Z$2="Y",IF(MaGic_AVM_Land!Z24=0,"",MaGic_AVM_Land!Z24),"")</f>
        <v/>
      </c>
      <c r="AA24" s="69" t="str">
        <f>_xlfn.TEXTJOIN(", ",TRUE,AB24:AZ24)</f>
        <v/>
      </c>
      <c r="AB24" s="69" t="str" cm="1">
        <f t="array" ref="AB24">_xlfn.UNIQUE(C24:Z24,TRUE,FALSE)</f>
        <v/>
      </c>
    </row>
    <row r="25" spans="1:28">
      <c r="A25" s="70"/>
      <c r="B25" s="70" t="s">
        <v>168</v>
      </c>
      <c r="C25" s="70" t="str">
        <f>IF(C$2="Y",IF(MaGic_AVM_Land!C25=0,"",MaGic_AVM_Land!C25),"")</f>
        <v/>
      </c>
      <c r="D25" s="70" t="str">
        <f>IF(D$2="Y",IF(MaGic_AVM_Land!D25=0,"",MaGic_AVM_Land!D25),"")</f>
        <v/>
      </c>
      <c r="E25" s="70" t="str">
        <f>IF(E$2="Y",IF(MaGic_AVM_Land!E25=0,"",MaGic_AVM_Land!E25),"")</f>
        <v/>
      </c>
      <c r="F25" s="70" t="str">
        <f>IF(F$2="Y",IF(MaGic_AVM_Land!F25=0,"",MaGic_AVM_Land!F25),"")</f>
        <v/>
      </c>
      <c r="G25" s="70" t="str">
        <f>IF(G$2="Y",IF(MaGic_AVM_Land!G25=0,"",MaGic_AVM_Land!G25),"")</f>
        <v/>
      </c>
      <c r="H25" s="70" t="str">
        <f>IF(H$2="Y",IF(MaGic_AVM_Land!H25=0,"",MaGic_AVM_Land!H25),"")</f>
        <v/>
      </c>
      <c r="I25" s="70" t="str">
        <f>IF(I$2="Y",IF(MaGic_AVM_Land!I25=0,"",MaGic_AVM_Land!I25),"")</f>
        <v/>
      </c>
      <c r="J25" s="70" t="str">
        <f>IF(J$2="Y",IF(MaGic_AVM_Land!J25=0,"",MaGic_AVM_Land!J25),"")</f>
        <v/>
      </c>
      <c r="K25" s="70" t="str">
        <f>IF(K$2="Y",IF(MaGic_AVM_Land!K25=0,"",MaGic_AVM_Land!K25),"")</f>
        <v/>
      </c>
      <c r="L25" s="70" t="str">
        <f>IF(L$2="Y",IF(MaGic_AVM_Land!L25=0,"",MaGic_AVM_Land!L25),"")</f>
        <v/>
      </c>
      <c r="M25" s="70" t="str">
        <f>IF(M$2="Y",IF(MaGic_AVM_Land!M25=0,"",MaGic_AVM_Land!M25),"")</f>
        <v/>
      </c>
      <c r="N25" s="70" t="str">
        <f>IF(N$2="Y",IF(MaGic_AVM_Land!N25=0,"",MaGic_AVM_Land!N25),"")</f>
        <v/>
      </c>
      <c r="O25" s="70" t="str">
        <f>IF(O$2="Y",IF(MaGic_AVM_Land!O25=0,"",MaGic_AVM_Land!O25),"")</f>
        <v/>
      </c>
      <c r="P25" s="70" t="str">
        <f>IF(P$2="Y",IF(MaGic_AVM_Land!P25=0,"",MaGic_AVM_Land!P25),"")</f>
        <v/>
      </c>
      <c r="Q25" s="70" t="str">
        <f>IF(Q$2="Y",IF(MaGic_AVM_Land!Q25=0,"",MaGic_AVM_Land!Q25),"")</f>
        <v/>
      </c>
      <c r="R25" s="70" t="str">
        <f>IF(R$2="Y",IF(MaGic_AVM_Land!R25=0,"",MaGic_AVM_Land!R25),"")</f>
        <v/>
      </c>
      <c r="S25" s="70" t="str">
        <f>IF(S$2="Y",IF(MaGic_AVM_Land!S25=0,"",MaGic_AVM_Land!S25),"")</f>
        <v/>
      </c>
      <c r="T25" s="70" t="str">
        <f>IF(T$2="Y",IF(MaGic_AVM_Land!T25=0,"",MaGic_AVM_Land!T25),"")</f>
        <v/>
      </c>
      <c r="U25" s="70" t="str">
        <f>IF(U$2="Y",IF(MaGic_AVM_Land!U25=0,"",MaGic_AVM_Land!U25),"")</f>
        <v/>
      </c>
      <c r="V25" s="70" t="str">
        <f>IF(V$2="Y",IF(MaGic_AVM_Land!V25=0,"",MaGic_AVM_Land!V25),"")</f>
        <v/>
      </c>
      <c r="W25" s="70" t="str">
        <f>IF(W$2="Y",IF(MaGic_AVM_Land!W25=0,"",MaGic_AVM_Land!W25),"")</f>
        <v/>
      </c>
      <c r="X25" s="70" t="str">
        <f>IF(X$2="Y",IF(MaGic_AVM_Land!X25=0,"",MaGic_AVM_Land!X25),"")</f>
        <v/>
      </c>
      <c r="Y25" s="70" t="str">
        <f>IF(Y$2="Y",IF(MaGic_AVM_Land!Y25=0,"",MaGic_AVM_Land!Y25),"")</f>
        <v/>
      </c>
      <c r="Z25" s="70" t="str">
        <f>IF(Z$2="Y",IF(MaGic_AVM_Land!Z25=0,"",MaGic_AVM_Land!Z25),"")</f>
        <v/>
      </c>
      <c r="AB25" s="69" t="str" cm="1">
        <f t="array" ref="AB25">_xlfn.UNIQUE(C25:Z25,TRUE,FALSE)</f>
        <v/>
      </c>
    </row>
    <row r="26" spans="1:28" s="68" customFormat="1">
      <c r="A26" s="72">
        <v>24</v>
      </c>
      <c r="B26" s="72" t="s">
        <v>91</v>
      </c>
      <c r="C26" s="72" t="str">
        <f>IF(C$2="Y",IF(MaGic_AVM_Land!C26=0,"",MaGic_AVM_Land!C26),"")</f>
        <v/>
      </c>
      <c r="D26" s="72" t="str">
        <f>IF(D$2="Y",IF(MaGic_AVM_Land!D26=0,"",MaGic_AVM_Land!D26),"")</f>
        <v/>
      </c>
      <c r="E26" s="72" t="str">
        <f>IF(E$2="Y",IF(MaGic_AVM_Land!E26=0,"",MaGic_AVM_Land!E26),"")</f>
        <v/>
      </c>
      <c r="F26" s="72" t="str">
        <f>IF(F$2="Y",IF(MaGic_AVM_Land!F26=0,"",MaGic_AVM_Land!F26),"")</f>
        <v/>
      </c>
      <c r="G26" s="72" t="str">
        <f>IF(G$2="Y",IF(MaGic_AVM_Land!G26=0,"",MaGic_AVM_Land!G26),"")</f>
        <v/>
      </c>
      <c r="H26" s="72" t="str">
        <f>IF(H$2="Y",IF(MaGic_AVM_Land!H26=0,"",MaGic_AVM_Land!H26),"")</f>
        <v/>
      </c>
      <c r="I26" s="72" t="str">
        <f>IF(I$2="Y",IF(MaGic_AVM_Land!I26=0,"",MaGic_AVM_Land!I26),"")</f>
        <v/>
      </c>
      <c r="J26" s="72" t="str">
        <f>IF(J$2="Y",IF(MaGic_AVM_Land!J26=0,"",MaGic_AVM_Land!J26),"")</f>
        <v/>
      </c>
      <c r="K26" s="72" t="str">
        <f>IF(K$2="Y",IF(MaGic_AVM_Land!K26=0,"",MaGic_AVM_Land!K26),"")</f>
        <v/>
      </c>
      <c r="L26" s="72" t="str">
        <f>IF(L$2="Y",IF(MaGic_AVM_Land!L26=0,"",MaGic_AVM_Land!L26),"")</f>
        <v/>
      </c>
      <c r="M26" s="72" t="str">
        <f>IF(M$2="Y",IF(MaGic_AVM_Land!M26=0,"",MaGic_AVM_Land!M26),"")</f>
        <v/>
      </c>
      <c r="N26" s="72" t="str">
        <f>IF(N$2="Y",IF(MaGic_AVM_Land!N26=0,"",MaGic_AVM_Land!N26),"")</f>
        <v/>
      </c>
      <c r="O26" s="72" t="str">
        <f>IF(O$2="Y",IF(MaGic_AVM_Land!O26=0,"",MaGic_AVM_Land!O26),"")</f>
        <v/>
      </c>
      <c r="P26" s="72" t="str">
        <f>IF(P$2="Y",IF(MaGic_AVM_Land!P26=0,"",MaGic_AVM_Land!P26),"")</f>
        <v/>
      </c>
      <c r="Q26" s="72" t="str">
        <f>IF(Q$2="Y",IF(MaGic_AVM_Land!Q26=0,"",MaGic_AVM_Land!Q26),"")</f>
        <v/>
      </c>
      <c r="R26" s="72" t="str">
        <f>IF(R$2="Y",IF(MaGic_AVM_Land!R26=0,"",MaGic_AVM_Land!R26),"")</f>
        <v/>
      </c>
      <c r="S26" s="72" t="str">
        <f>IF(S$2="Y",IF(MaGic_AVM_Land!S26=0,"",MaGic_AVM_Land!S26),"")</f>
        <v/>
      </c>
      <c r="T26" s="72" t="str">
        <f>IF(T$2="Y",IF(MaGic_AVM_Land!T26=0,"",MaGic_AVM_Land!T26),"")</f>
        <v/>
      </c>
      <c r="U26" s="72" t="str">
        <f>IF(U$2="Y",IF(MaGic_AVM_Land!U26=0,"",MaGic_AVM_Land!U26),"")</f>
        <v/>
      </c>
      <c r="V26" s="72" t="str">
        <f>IF(V$2="Y",IF(MaGic_AVM_Land!V26=0,"",MaGic_AVM_Land!V26),"")</f>
        <v/>
      </c>
      <c r="W26" s="72" t="str">
        <f>IF(W$2="Y",IF(MaGic_AVM_Land!W26=0,"",MaGic_AVM_Land!W26),"")</f>
        <v/>
      </c>
      <c r="X26" s="72" t="str">
        <f>IF(X$2="Y",IF(MaGic_AVM_Land!X26=0,"",MaGic_AVM_Land!X26),"")</f>
        <v/>
      </c>
      <c r="Y26" s="72" t="str">
        <f>IF(Y$2="Y",IF(MaGic_AVM_Land!Y26=0,"",MaGic_AVM_Land!Y26),"")</f>
        <v/>
      </c>
      <c r="Z26" s="72" t="str">
        <f>IF(Z$2="Y",IF(MaGic_AVM_Land!Z26=0,"",MaGic_AVM_Land!Z26),"")</f>
        <v/>
      </c>
      <c r="AA26" s="68" t="str">
        <f>_xlfn.TEXTJOIN(" ,",TRUE,AB26:AZ26)</f>
        <v/>
      </c>
      <c r="AB26" s="68" t="str" cm="1">
        <f t="array" ref="AB26">_xlfn.UNIQUE(C26:Z26,TRUE,FALSE)</f>
        <v/>
      </c>
    </row>
    <row r="27" spans="1:28" s="68" customFormat="1">
      <c r="A27" s="72">
        <v>25</v>
      </c>
      <c r="B27" s="72" t="s">
        <v>94</v>
      </c>
      <c r="C27" s="72" t="str">
        <f>IF(C$2="Y",IF(MaGic_AVM_Land!C27=0,"",MaGic_AVM_Land!C27),"")</f>
        <v/>
      </c>
      <c r="D27" s="72" t="str">
        <f>IF(D$2="Y",IF(MaGic_AVM_Land!D27=0,"",MaGic_AVM_Land!D27),"")</f>
        <v/>
      </c>
      <c r="E27" s="72" t="str">
        <f>IF(E$2="Y",IF(MaGic_AVM_Land!E27=0,"",MaGic_AVM_Land!E27),"")</f>
        <v/>
      </c>
      <c r="F27" s="72" t="str">
        <f>IF(F$2="Y",IF(MaGic_AVM_Land!F27=0,"",MaGic_AVM_Land!F27),"")</f>
        <v/>
      </c>
      <c r="G27" s="72" t="str">
        <f>IF(G$2="Y",IF(MaGic_AVM_Land!G27=0,"",MaGic_AVM_Land!G27),"")</f>
        <v/>
      </c>
      <c r="H27" s="72" t="str">
        <f>IF(H$2="Y",IF(MaGic_AVM_Land!H27=0,"",MaGic_AVM_Land!H27),"")</f>
        <v/>
      </c>
      <c r="I27" s="72" t="str">
        <f>IF(I$2="Y",IF(MaGic_AVM_Land!I27=0,"",MaGic_AVM_Land!I27),"")</f>
        <v/>
      </c>
      <c r="J27" s="72" t="str">
        <f>IF(J$2="Y",IF(MaGic_AVM_Land!J27=0,"",MaGic_AVM_Land!J27),"")</f>
        <v/>
      </c>
      <c r="K27" s="72" t="str">
        <f>IF(K$2="Y",IF(MaGic_AVM_Land!K27=0,"",MaGic_AVM_Land!K27),"")</f>
        <v/>
      </c>
      <c r="L27" s="72" t="str">
        <f>IF(L$2="Y",IF(MaGic_AVM_Land!L27=0,"",MaGic_AVM_Land!L27),"")</f>
        <v/>
      </c>
      <c r="M27" s="72" t="str">
        <f>IF(M$2="Y",IF(MaGic_AVM_Land!M27=0,"",MaGic_AVM_Land!M27),"")</f>
        <v/>
      </c>
      <c r="N27" s="72" t="str">
        <f>IF(N$2="Y",IF(MaGic_AVM_Land!N27=0,"",MaGic_AVM_Land!N27),"")</f>
        <v/>
      </c>
      <c r="O27" s="72" t="str">
        <f>IF(O$2="Y",IF(MaGic_AVM_Land!O27=0,"",MaGic_AVM_Land!O27),"")</f>
        <v/>
      </c>
      <c r="P27" s="72" t="str">
        <f>IF(P$2="Y",IF(MaGic_AVM_Land!P27=0,"",MaGic_AVM_Land!P27),"")</f>
        <v/>
      </c>
      <c r="Q27" s="72" t="str">
        <f>IF(Q$2="Y",IF(MaGic_AVM_Land!Q27=0,"",MaGic_AVM_Land!Q27),"")</f>
        <v/>
      </c>
      <c r="R27" s="72" t="str">
        <f>IF(R$2="Y",IF(MaGic_AVM_Land!R27=0,"",MaGic_AVM_Land!R27),"")</f>
        <v/>
      </c>
      <c r="S27" s="72" t="str">
        <f>IF(S$2="Y",IF(MaGic_AVM_Land!S27=0,"",MaGic_AVM_Land!S27),"")</f>
        <v/>
      </c>
      <c r="T27" s="72" t="str">
        <f>IF(T$2="Y",IF(MaGic_AVM_Land!T27=0,"",MaGic_AVM_Land!T27),"")</f>
        <v/>
      </c>
      <c r="U27" s="72" t="str">
        <f>IF(U$2="Y",IF(MaGic_AVM_Land!U27=0,"",MaGic_AVM_Land!U27),"")</f>
        <v/>
      </c>
      <c r="V27" s="72" t="str">
        <f>IF(V$2="Y",IF(MaGic_AVM_Land!V27=0,"",MaGic_AVM_Land!V27),"")</f>
        <v/>
      </c>
      <c r="W27" s="72" t="str">
        <f>IF(W$2="Y",IF(MaGic_AVM_Land!W27=0,"",MaGic_AVM_Land!W27),"")</f>
        <v/>
      </c>
      <c r="X27" s="72" t="str">
        <f>IF(X$2="Y",IF(MaGic_AVM_Land!X27=0,"",MaGic_AVM_Land!X27),"")</f>
        <v/>
      </c>
      <c r="Y27" s="72" t="str">
        <f>IF(Y$2="Y",IF(MaGic_AVM_Land!Y27=0,"",MaGic_AVM_Land!Y27),"")</f>
        <v/>
      </c>
      <c r="Z27" s="72" t="str">
        <f>IF(Z$2="Y",IF(MaGic_AVM_Land!Z27=0,"",MaGic_AVM_Land!Z27),"")</f>
        <v/>
      </c>
      <c r="AA27" s="68" t="str">
        <f t="shared" ref="AA27:AA31" si="3">_xlfn.TEXTJOIN(" ,",TRUE,AB27:AZ27)</f>
        <v/>
      </c>
      <c r="AB27" s="68" t="str" cm="1">
        <f t="array" ref="AB27">_xlfn.UNIQUE(C27:Z27,TRUE,FALSE)</f>
        <v/>
      </c>
    </row>
    <row r="28" spans="1:28" s="68" customFormat="1">
      <c r="A28" s="72">
        <v>26</v>
      </c>
      <c r="B28" s="72" t="s">
        <v>97</v>
      </c>
      <c r="C28" s="72" t="str">
        <f>IF(C$2="Y",IF(MaGic_AVM_Land!C28=0,"",MaGic_AVM_Land!C28),"")</f>
        <v/>
      </c>
      <c r="D28" s="72" t="str">
        <f>IF(D$2="Y",IF(MaGic_AVM_Land!D28=0,"",MaGic_AVM_Land!D28),"")</f>
        <v/>
      </c>
      <c r="E28" s="72" t="str">
        <f>IF(E$2="Y",IF(MaGic_AVM_Land!E28=0,"",MaGic_AVM_Land!E28),"")</f>
        <v/>
      </c>
      <c r="F28" s="72" t="str">
        <f>IF(F$2="Y",IF(MaGic_AVM_Land!F28=0,"",MaGic_AVM_Land!F28),"")</f>
        <v/>
      </c>
      <c r="G28" s="72" t="str">
        <f>IF(G$2="Y",IF(MaGic_AVM_Land!G28=0,"",MaGic_AVM_Land!G28),"")</f>
        <v/>
      </c>
      <c r="H28" s="72" t="str">
        <f>IF(H$2="Y",IF(MaGic_AVM_Land!H28=0,"",MaGic_AVM_Land!H28),"")</f>
        <v/>
      </c>
      <c r="I28" s="72" t="str">
        <f>IF(I$2="Y",IF(MaGic_AVM_Land!I28=0,"",MaGic_AVM_Land!I28),"")</f>
        <v/>
      </c>
      <c r="J28" s="72" t="str">
        <f>IF(J$2="Y",IF(MaGic_AVM_Land!J28=0,"",MaGic_AVM_Land!J28),"")</f>
        <v/>
      </c>
      <c r="K28" s="72" t="str">
        <f>IF(K$2="Y",IF(MaGic_AVM_Land!K28=0,"",MaGic_AVM_Land!K28),"")</f>
        <v/>
      </c>
      <c r="L28" s="72" t="str">
        <f>IF(L$2="Y",IF(MaGic_AVM_Land!L28=0,"",MaGic_AVM_Land!L28),"")</f>
        <v/>
      </c>
      <c r="M28" s="72" t="str">
        <f>IF(M$2="Y",IF(MaGic_AVM_Land!M28=0,"",MaGic_AVM_Land!M28),"")</f>
        <v/>
      </c>
      <c r="N28" s="72" t="str">
        <f>IF(N$2="Y",IF(MaGic_AVM_Land!N28=0,"",MaGic_AVM_Land!N28),"")</f>
        <v/>
      </c>
      <c r="O28" s="72" t="str">
        <f>IF(O$2="Y",IF(MaGic_AVM_Land!O28=0,"",MaGic_AVM_Land!O28),"")</f>
        <v/>
      </c>
      <c r="P28" s="72" t="str">
        <f>IF(P$2="Y",IF(MaGic_AVM_Land!P28=0,"",MaGic_AVM_Land!P28),"")</f>
        <v/>
      </c>
      <c r="Q28" s="72" t="str">
        <f>IF(Q$2="Y",IF(MaGic_AVM_Land!Q28=0,"",MaGic_AVM_Land!Q28),"")</f>
        <v/>
      </c>
      <c r="R28" s="72" t="str">
        <f>IF(R$2="Y",IF(MaGic_AVM_Land!R28=0,"",MaGic_AVM_Land!R28),"")</f>
        <v/>
      </c>
      <c r="S28" s="72" t="str">
        <f>IF(S$2="Y",IF(MaGic_AVM_Land!S28=0,"",MaGic_AVM_Land!S28),"")</f>
        <v/>
      </c>
      <c r="T28" s="72" t="str">
        <f>IF(T$2="Y",IF(MaGic_AVM_Land!T28=0,"",MaGic_AVM_Land!T28),"")</f>
        <v/>
      </c>
      <c r="U28" s="72" t="str">
        <f>IF(U$2="Y",IF(MaGic_AVM_Land!U28=0,"",MaGic_AVM_Land!U28),"")</f>
        <v/>
      </c>
      <c r="V28" s="72" t="str">
        <f>IF(V$2="Y",IF(MaGic_AVM_Land!V28=0,"",MaGic_AVM_Land!V28),"")</f>
        <v/>
      </c>
      <c r="W28" s="72" t="str">
        <f>IF(W$2="Y",IF(MaGic_AVM_Land!W28=0,"",MaGic_AVM_Land!W28),"")</f>
        <v/>
      </c>
      <c r="X28" s="72" t="str">
        <f>IF(X$2="Y",IF(MaGic_AVM_Land!X28=0,"",MaGic_AVM_Land!X28),"")</f>
        <v/>
      </c>
      <c r="Y28" s="72" t="str">
        <f>IF(Y$2="Y",IF(MaGic_AVM_Land!Y28=0,"",MaGic_AVM_Land!Y28),"")</f>
        <v/>
      </c>
      <c r="Z28" s="72" t="str">
        <f>IF(Z$2="Y",IF(MaGic_AVM_Land!Z28=0,"",MaGic_AVM_Land!Z28),"")</f>
        <v/>
      </c>
      <c r="AA28" s="68" t="str">
        <f t="shared" si="3"/>
        <v/>
      </c>
      <c r="AB28" s="68" t="str" cm="1">
        <f t="array" ref="AB28">_xlfn.UNIQUE(C28:Z28,TRUE,FALSE)</f>
        <v/>
      </c>
    </row>
    <row r="29" spans="1:28" s="68" customFormat="1">
      <c r="A29" s="72">
        <v>27</v>
      </c>
      <c r="B29" s="72" t="s">
        <v>100</v>
      </c>
      <c r="C29" s="72" t="str">
        <f>IF(C$2="Y",IF(MaGic_AVM_Land!C29=0,"",MaGic_AVM_Land!C29),"")</f>
        <v/>
      </c>
      <c r="D29" s="72" t="str">
        <f>IF(D$2="Y",IF(MaGic_AVM_Land!D29=0,"",MaGic_AVM_Land!D29),"")</f>
        <v/>
      </c>
      <c r="E29" s="72" t="str">
        <f>IF(E$2="Y",IF(MaGic_AVM_Land!E29=0,"",MaGic_AVM_Land!E29),"")</f>
        <v/>
      </c>
      <c r="F29" s="72" t="str">
        <f>IF(F$2="Y",IF(MaGic_AVM_Land!F29=0,"",MaGic_AVM_Land!F29),"")</f>
        <v/>
      </c>
      <c r="G29" s="72" t="str">
        <f>IF(G$2="Y",IF(MaGic_AVM_Land!G29=0,"",MaGic_AVM_Land!G29),"")</f>
        <v/>
      </c>
      <c r="H29" s="72" t="str">
        <f>IF(H$2="Y",IF(MaGic_AVM_Land!H29=0,"",MaGic_AVM_Land!H29),"")</f>
        <v/>
      </c>
      <c r="I29" s="72" t="str">
        <f>IF(I$2="Y",IF(MaGic_AVM_Land!I29=0,"",MaGic_AVM_Land!I29),"")</f>
        <v/>
      </c>
      <c r="J29" s="72" t="str">
        <f>IF(J$2="Y",IF(MaGic_AVM_Land!J29=0,"",MaGic_AVM_Land!J29),"")</f>
        <v/>
      </c>
      <c r="K29" s="72" t="str">
        <f>IF(K$2="Y",IF(MaGic_AVM_Land!K29=0,"",MaGic_AVM_Land!K29),"")</f>
        <v/>
      </c>
      <c r="L29" s="72" t="str">
        <f>IF(L$2="Y",IF(MaGic_AVM_Land!L29=0,"",MaGic_AVM_Land!L29),"")</f>
        <v/>
      </c>
      <c r="M29" s="72" t="str">
        <f>IF(M$2="Y",IF(MaGic_AVM_Land!M29=0,"",MaGic_AVM_Land!M29),"")</f>
        <v/>
      </c>
      <c r="N29" s="72" t="str">
        <f>IF(N$2="Y",IF(MaGic_AVM_Land!N29=0,"",MaGic_AVM_Land!N29),"")</f>
        <v/>
      </c>
      <c r="O29" s="72" t="str">
        <f>IF(O$2="Y",IF(MaGic_AVM_Land!O29=0,"",MaGic_AVM_Land!O29),"")</f>
        <v/>
      </c>
      <c r="P29" s="72" t="str">
        <f>IF(P$2="Y",IF(MaGic_AVM_Land!P29=0,"",MaGic_AVM_Land!P29),"")</f>
        <v/>
      </c>
      <c r="Q29" s="72" t="str">
        <f>IF(Q$2="Y",IF(MaGic_AVM_Land!Q29=0,"",MaGic_AVM_Land!Q29),"")</f>
        <v/>
      </c>
      <c r="R29" s="72" t="str">
        <f>IF(R$2="Y",IF(MaGic_AVM_Land!R29=0,"",MaGic_AVM_Land!R29),"")</f>
        <v/>
      </c>
      <c r="S29" s="72" t="str">
        <f>IF(S$2="Y",IF(MaGic_AVM_Land!S29=0,"",MaGic_AVM_Land!S29),"")</f>
        <v/>
      </c>
      <c r="T29" s="72" t="str">
        <f>IF(T$2="Y",IF(MaGic_AVM_Land!T29=0,"",MaGic_AVM_Land!T29),"")</f>
        <v/>
      </c>
      <c r="U29" s="72" t="str">
        <f>IF(U$2="Y",IF(MaGic_AVM_Land!U29=0,"",MaGic_AVM_Land!U29),"")</f>
        <v/>
      </c>
      <c r="V29" s="72" t="str">
        <f>IF(V$2="Y",IF(MaGic_AVM_Land!V29=0,"",MaGic_AVM_Land!V29),"")</f>
        <v/>
      </c>
      <c r="W29" s="72" t="str">
        <f>IF(W$2="Y",IF(MaGic_AVM_Land!W29=0,"",MaGic_AVM_Land!W29),"")</f>
        <v/>
      </c>
      <c r="X29" s="72" t="str">
        <f>IF(X$2="Y",IF(MaGic_AVM_Land!X29=0,"",MaGic_AVM_Land!X29),"")</f>
        <v/>
      </c>
      <c r="Y29" s="72" t="str">
        <f>IF(Y$2="Y",IF(MaGic_AVM_Land!Y29=0,"",MaGic_AVM_Land!Y29),"")</f>
        <v/>
      </c>
      <c r="Z29" s="72" t="str">
        <f>IF(Z$2="Y",IF(MaGic_AVM_Land!Z29=0,"",MaGic_AVM_Land!Z29),"")</f>
        <v/>
      </c>
      <c r="AA29" s="68" t="str">
        <f t="shared" si="3"/>
        <v/>
      </c>
      <c r="AB29" s="68" t="str" cm="1">
        <f t="array" ref="AB29">_xlfn.UNIQUE(C29:Z29,TRUE,FALSE)</f>
        <v/>
      </c>
    </row>
    <row r="30" spans="1:28">
      <c r="A30" s="70">
        <v>28</v>
      </c>
      <c r="B30" s="70" t="s">
        <v>175</v>
      </c>
      <c r="C30" s="70" t="str">
        <f>IF(C$2="Y",IF(MaGic_AVM_Land!C30=0,"",MaGic_AVM_Land!C30),"")</f>
        <v/>
      </c>
      <c r="D30" s="70" t="str">
        <f>IF(D$2="Y",IF(MaGic_AVM_Land!D30=0,"",MaGic_AVM_Land!D30),"")</f>
        <v/>
      </c>
      <c r="E30" s="70" t="str">
        <f>IF(E$2="Y",IF(MaGic_AVM_Land!E30=0,"",MaGic_AVM_Land!E30),"")</f>
        <v/>
      </c>
      <c r="F30" s="70" t="str">
        <f>IF(F$2="Y",IF(MaGic_AVM_Land!F30=0,"",MaGic_AVM_Land!F30),"")</f>
        <v/>
      </c>
      <c r="G30" s="70" t="str">
        <f>IF(G$2="Y",IF(MaGic_AVM_Land!G30=0,"",MaGic_AVM_Land!G30),"")</f>
        <v/>
      </c>
      <c r="H30" s="70" t="str">
        <f>IF(H$2="Y",IF(MaGic_AVM_Land!H30=0,"",MaGic_AVM_Land!H30),"")</f>
        <v/>
      </c>
      <c r="I30" s="70" t="str">
        <f>IF(I$2="Y",IF(MaGic_AVM_Land!I30=0,"",MaGic_AVM_Land!I30),"")</f>
        <v/>
      </c>
      <c r="J30" s="70" t="str">
        <f>IF(J$2="Y",IF(MaGic_AVM_Land!J30=0,"",MaGic_AVM_Land!J30),"")</f>
        <v/>
      </c>
      <c r="K30" s="70" t="str">
        <f>IF(K$2="Y",IF(MaGic_AVM_Land!K30=0,"",MaGic_AVM_Land!K30),"")</f>
        <v/>
      </c>
      <c r="L30" s="70" t="str">
        <f>IF(L$2="Y",IF(MaGic_AVM_Land!L30=0,"",MaGic_AVM_Land!L30),"")</f>
        <v/>
      </c>
      <c r="M30" s="70" t="str">
        <f>IF(M$2="Y",IF(MaGic_AVM_Land!M30=0,"",MaGic_AVM_Land!M30),"")</f>
        <v/>
      </c>
      <c r="N30" s="70" t="str">
        <f>IF(N$2="Y",IF(MaGic_AVM_Land!N30=0,"",MaGic_AVM_Land!N30),"")</f>
        <v/>
      </c>
      <c r="O30" s="70" t="str">
        <f>IF(O$2="Y",IF(MaGic_AVM_Land!O30=0,"",MaGic_AVM_Land!O30),"")</f>
        <v/>
      </c>
      <c r="P30" s="70" t="str">
        <f>IF(P$2="Y",IF(MaGic_AVM_Land!P30=0,"",MaGic_AVM_Land!P30),"")</f>
        <v/>
      </c>
      <c r="Q30" s="70" t="str">
        <f>IF(Q$2="Y",IF(MaGic_AVM_Land!Q30=0,"",MaGic_AVM_Land!Q30),"")</f>
        <v/>
      </c>
      <c r="R30" s="70" t="str">
        <f>IF(R$2="Y",IF(MaGic_AVM_Land!R30=0,"",MaGic_AVM_Land!R30),"")</f>
        <v/>
      </c>
      <c r="S30" s="70" t="str">
        <f>IF(S$2="Y",IF(MaGic_AVM_Land!S30=0,"",MaGic_AVM_Land!S30),"")</f>
        <v/>
      </c>
      <c r="T30" s="70" t="str">
        <f>IF(T$2="Y",IF(MaGic_AVM_Land!T30=0,"",MaGic_AVM_Land!T30),"")</f>
        <v/>
      </c>
      <c r="U30" s="70" t="str">
        <f>IF(U$2="Y",IF(MaGic_AVM_Land!U30=0,"",MaGic_AVM_Land!U30),"")</f>
        <v/>
      </c>
      <c r="V30" s="70" t="str">
        <f>IF(V$2="Y",IF(MaGic_AVM_Land!V30=0,"",MaGic_AVM_Land!V30),"")</f>
        <v/>
      </c>
      <c r="W30" s="70" t="str">
        <f>IF(W$2="Y",IF(MaGic_AVM_Land!W30=0,"",MaGic_AVM_Land!W30),"")</f>
        <v/>
      </c>
      <c r="X30" s="70" t="str">
        <f>IF(X$2="Y",IF(MaGic_AVM_Land!X30=0,"",MaGic_AVM_Land!X30),"")</f>
        <v/>
      </c>
      <c r="Y30" s="70" t="str">
        <f>IF(Y$2="Y",IF(MaGic_AVM_Land!Y30=0,"",MaGic_AVM_Land!Y30),"")</f>
        <v/>
      </c>
      <c r="Z30" s="70" t="str">
        <f>IF(Z$2="Y",IF(MaGic_AVM_Land!Z30=0,"",MaGic_AVM_Land!Z30),"")</f>
        <v/>
      </c>
      <c r="AA30" s="68" t="str">
        <f t="shared" si="3"/>
        <v/>
      </c>
      <c r="AB30" s="69" t="str" cm="1">
        <f t="array" ref="AB30">_xlfn.UNIQUE(C30:Z30,TRUE,FALSE)</f>
        <v/>
      </c>
    </row>
    <row r="31" spans="1:28">
      <c r="A31" s="70">
        <v>29</v>
      </c>
      <c r="B31" s="70" t="s">
        <v>1103</v>
      </c>
      <c r="C31" s="70" t="str">
        <f>IF(C$2="Y",IF(MaGic_AVM_Land!C31=0,"",MaGic_AVM_Land!C31),"")</f>
        <v/>
      </c>
      <c r="D31" s="70" t="str">
        <f>IF(D$2="Y",IF(MaGic_AVM_Land!D31=0,"",MaGic_AVM_Land!D31),"")</f>
        <v/>
      </c>
      <c r="E31" s="70" t="str">
        <f>IF(E$2="Y",IF(MaGic_AVM_Land!E31=0,"",MaGic_AVM_Land!E31),"")</f>
        <v/>
      </c>
      <c r="F31" s="70" t="str">
        <f>IF(F$2="Y",IF(MaGic_AVM_Land!F31=0,"",MaGic_AVM_Land!F31),"")</f>
        <v/>
      </c>
      <c r="G31" s="70" t="str">
        <f>IF(G$2="Y",IF(MaGic_AVM_Land!G31=0,"",MaGic_AVM_Land!G31),"")</f>
        <v/>
      </c>
      <c r="H31" s="70" t="str">
        <f>IF(H$2="Y",IF(MaGic_AVM_Land!H31=0,"",MaGic_AVM_Land!H31),"")</f>
        <v/>
      </c>
      <c r="I31" s="70" t="str">
        <f>IF(I$2="Y",IF(MaGic_AVM_Land!I31=0,"",MaGic_AVM_Land!I31),"")</f>
        <v/>
      </c>
      <c r="J31" s="70" t="str">
        <f>IF(J$2="Y",IF(MaGic_AVM_Land!J31=0,"",MaGic_AVM_Land!J31),"")</f>
        <v/>
      </c>
      <c r="K31" s="70" t="str">
        <f>IF(K$2="Y",IF(MaGic_AVM_Land!K31=0,"",MaGic_AVM_Land!K31),"")</f>
        <v/>
      </c>
      <c r="L31" s="70" t="str">
        <f>IF(L$2="Y",IF(MaGic_AVM_Land!L31=0,"",MaGic_AVM_Land!L31),"")</f>
        <v/>
      </c>
      <c r="M31" s="70" t="str">
        <f>IF(M$2="Y",IF(MaGic_AVM_Land!M31=0,"",MaGic_AVM_Land!M31),"")</f>
        <v/>
      </c>
      <c r="N31" s="70" t="str">
        <f>IF(N$2="Y",IF(MaGic_AVM_Land!N31=0,"",MaGic_AVM_Land!N31),"")</f>
        <v/>
      </c>
      <c r="O31" s="70" t="str">
        <f>IF(O$2="Y",IF(MaGic_AVM_Land!O31=0,"",MaGic_AVM_Land!O31),"")</f>
        <v/>
      </c>
      <c r="P31" s="70" t="str">
        <f>IF(P$2="Y",IF(MaGic_AVM_Land!P31=0,"",MaGic_AVM_Land!P31),"")</f>
        <v/>
      </c>
      <c r="Q31" s="70" t="str">
        <f>IF(Q$2="Y",IF(MaGic_AVM_Land!Q31=0,"",MaGic_AVM_Land!Q31),"")</f>
        <v/>
      </c>
      <c r="R31" s="70" t="str">
        <f>IF(R$2="Y",IF(MaGic_AVM_Land!R31=0,"",MaGic_AVM_Land!R31),"")</f>
        <v/>
      </c>
      <c r="S31" s="70" t="str">
        <f>IF(S$2="Y",IF(MaGic_AVM_Land!S31=0,"",MaGic_AVM_Land!S31),"")</f>
        <v/>
      </c>
      <c r="T31" s="70" t="str">
        <f>IF(T$2="Y",IF(MaGic_AVM_Land!T31=0,"",MaGic_AVM_Land!T31),"")</f>
        <v/>
      </c>
      <c r="U31" s="70" t="str">
        <f>IF(U$2="Y",IF(MaGic_AVM_Land!U31=0,"",MaGic_AVM_Land!U31),"")</f>
        <v/>
      </c>
      <c r="V31" s="70" t="str">
        <f>IF(V$2="Y",IF(MaGic_AVM_Land!V31=0,"",MaGic_AVM_Land!V31),"")</f>
        <v/>
      </c>
      <c r="W31" s="70" t="str">
        <f>IF(W$2="Y",IF(MaGic_AVM_Land!W31=0,"",MaGic_AVM_Land!W31),"")</f>
        <v/>
      </c>
      <c r="X31" s="70" t="str">
        <f>IF(X$2="Y",IF(MaGic_AVM_Land!X31=0,"",MaGic_AVM_Land!X31),"")</f>
        <v/>
      </c>
      <c r="Y31" s="70" t="str">
        <f>IF(Y$2="Y",IF(MaGic_AVM_Land!Y31=0,"",MaGic_AVM_Land!Y31),"")</f>
        <v/>
      </c>
      <c r="Z31" s="70" t="str">
        <f>IF(Z$2="Y",IF(MaGic_AVM_Land!Z31=0,"",MaGic_AVM_Land!Z31),"")</f>
        <v/>
      </c>
      <c r="AA31" s="68" t="str">
        <f t="shared" si="3"/>
        <v/>
      </c>
      <c r="AB31" s="69" t="str" cm="1">
        <f t="array" ref="AB31">_xlfn.UNIQUE(C31:Z31,TRUE,FALSE)</f>
        <v/>
      </c>
    </row>
    <row r="32" spans="1:28">
      <c r="A32" s="70">
        <v>30</v>
      </c>
      <c r="B32" s="70" t="s">
        <v>1104</v>
      </c>
      <c r="C32" s="70" t="str">
        <f>IF(C$2="Y",IF(MaGic_AVM_Land!C32=0,"",MaGic_AVM_Land!C32),"")</f>
        <v/>
      </c>
      <c r="D32" s="70" t="str">
        <f>IF(D$2="Y",IF(MaGic_AVM_Land!D32=0,"",MaGic_AVM_Land!D32),"")</f>
        <v/>
      </c>
      <c r="E32" s="70" t="str">
        <f>IF(E$2="Y",IF(MaGic_AVM_Land!E32=0,"",MaGic_AVM_Land!E32),"")</f>
        <v/>
      </c>
      <c r="F32" s="70" t="str">
        <f>IF(F$2="Y",IF(MaGic_AVM_Land!F32=0,"",MaGic_AVM_Land!F32),"")</f>
        <v/>
      </c>
      <c r="G32" s="70" t="str">
        <f>IF(G$2="Y",IF(MaGic_AVM_Land!G32=0,"",MaGic_AVM_Land!G32),"")</f>
        <v/>
      </c>
      <c r="H32" s="70" t="str">
        <f>IF(H$2="Y",IF(MaGic_AVM_Land!H32=0,"",MaGic_AVM_Land!H32),"")</f>
        <v/>
      </c>
      <c r="I32" s="70" t="str">
        <f>IF(I$2="Y",IF(MaGic_AVM_Land!I32=0,"",MaGic_AVM_Land!I32),"")</f>
        <v/>
      </c>
      <c r="J32" s="70" t="str">
        <f>IF(J$2="Y",IF(MaGic_AVM_Land!J32=0,"",MaGic_AVM_Land!J32),"")</f>
        <v/>
      </c>
      <c r="K32" s="70" t="str">
        <f>IF(K$2="Y",IF(MaGic_AVM_Land!K32=0,"",MaGic_AVM_Land!K32),"")</f>
        <v/>
      </c>
      <c r="L32" s="70" t="str">
        <f>IF(L$2="Y",IF(MaGic_AVM_Land!L32=0,"",MaGic_AVM_Land!L32),"")</f>
        <v/>
      </c>
      <c r="M32" s="70" t="str">
        <f>IF(M$2="Y",IF(MaGic_AVM_Land!M32=0,"",MaGic_AVM_Land!M32),"")</f>
        <v/>
      </c>
      <c r="N32" s="70" t="str">
        <f>IF(N$2="Y",IF(MaGic_AVM_Land!N32=0,"",MaGic_AVM_Land!N32),"")</f>
        <v/>
      </c>
      <c r="O32" s="70" t="str">
        <f>IF(O$2="Y",IF(MaGic_AVM_Land!O32=0,"",MaGic_AVM_Land!O32),"")</f>
        <v/>
      </c>
      <c r="P32" s="70" t="str">
        <f>IF(P$2="Y",IF(MaGic_AVM_Land!P32=0,"",MaGic_AVM_Land!P32),"")</f>
        <v/>
      </c>
      <c r="Q32" s="70" t="str">
        <f>IF(Q$2="Y",IF(MaGic_AVM_Land!Q32=0,"",MaGic_AVM_Land!Q32),"")</f>
        <v/>
      </c>
      <c r="R32" s="70" t="str">
        <f>IF(R$2="Y",IF(MaGic_AVM_Land!R32=0,"",MaGic_AVM_Land!R32),"")</f>
        <v/>
      </c>
      <c r="S32" s="70" t="str">
        <f>IF(S$2="Y",IF(MaGic_AVM_Land!S32=0,"",MaGic_AVM_Land!S32),"")</f>
        <v/>
      </c>
      <c r="T32" s="70" t="str">
        <f>IF(T$2="Y",IF(MaGic_AVM_Land!T32=0,"",MaGic_AVM_Land!T32),"")</f>
        <v/>
      </c>
      <c r="U32" s="70" t="str">
        <f>IF(U$2="Y",IF(MaGic_AVM_Land!U32=0,"",MaGic_AVM_Land!U32),"")</f>
        <v/>
      </c>
      <c r="V32" s="70" t="str">
        <f>IF(V$2="Y",IF(MaGic_AVM_Land!V32=0,"",MaGic_AVM_Land!V32),"")</f>
        <v/>
      </c>
      <c r="W32" s="70" t="str">
        <f>IF(W$2="Y",IF(MaGic_AVM_Land!W32=0,"",MaGic_AVM_Land!W32),"")</f>
        <v/>
      </c>
      <c r="X32" s="70" t="str">
        <f>IF(X$2="Y",IF(MaGic_AVM_Land!X32=0,"",MaGic_AVM_Land!X32),"")</f>
        <v/>
      </c>
      <c r="Y32" s="70" t="str">
        <f>IF(Y$2="Y",IF(MaGic_AVM_Land!Y32=0,"",MaGic_AVM_Land!Y32),"")</f>
        <v/>
      </c>
      <c r="Z32" s="70" t="str">
        <f>IF(Z$2="Y",IF(MaGic_AVM_Land!Z32=0,"",MaGic_AVM_Land!Z32),"")</f>
        <v/>
      </c>
      <c r="AA32" s="73">
        <f>MIN(AB32:AZ32)</f>
        <v>0</v>
      </c>
      <c r="AB32" s="69" t="str" cm="1">
        <f t="array" ref="AB32">_xlfn.UNIQUE(C32:Z32,TRUE,FALSE)</f>
        <v/>
      </c>
    </row>
    <row r="33" spans="1:28">
      <c r="A33" s="70">
        <v>31</v>
      </c>
      <c r="B33" s="70" t="s">
        <v>1105</v>
      </c>
      <c r="C33" s="70" t="str">
        <f>IF(C$2="Y",IF(MaGic_AVM_Land!C33=0,"",MaGic_AVM_Land!C33),"")</f>
        <v/>
      </c>
      <c r="D33" s="70" t="str">
        <f>IF(D$2="Y",IF(MaGic_AVM_Land!D33=0,"",MaGic_AVM_Land!D33),"")</f>
        <v/>
      </c>
      <c r="E33" s="70" t="str">
        <f>IF(E$2="Y",IF(MaGic_AVM_Land!E33=0,"",MaGic_AVM_Land!E33),"")</f>
        <v/>
      </c>
      <c r="F33" s="70" t="str">
        <f>IF(F$2="Y",IF(MaGic_AVM_Land!F33=0,"",MaGic_AVM_Land!F33),"")</f>
        <v/>
      </c>
      <c r="G33" s="70" t="str">
        <f>IF(G$2="Y",IF(MaGic_AVM_Land!G33=0,"",MaGic_AVM_Land!G33),"")</f>
        <v/>
      </c>
      <c r="H33" s="70" t="str">
        <f>IF(H$2="Y",IF(MaGic_AVM_Land!H33=0,"",MaGic_AVM_Land!H33),"")</f>
        <v/>
      </c>
      <c r="I33" s="70" t="str">
        <f>IF(I$2="Y",IF(MaGic_AVM_Land!I33=0,"",MaGic_AVM_Land!I33),"")</f>
        <v/>
      </c>
      <c r="J33" s="70" t="str">
        <f>IF(J$2="Y",IF(MaGic_AVM_Land!J33=0,"",MaGic_AVM_Land!J33),"")</f>
        <v/>
      </c>
      <c r="K33" s="70" t="str">
        <f>IF(K$2="Y",IF(MaGic_AVM_Land!K33=0,"",MaGic_AVM_Land!K33),"")</f>
        <v/>
      </c>
      <c r="L33" s="70" t="str">
        <f>IF(L$2="Y",IF(MaGic_AVM_Land!L33=0,"",MaGic_AVM_Land!L33),"")</f>
        <v/>
      </c>
      <c r="M33" s="70" t="str">
        <f>IF(M$2="Y",IF(MaGic_AVM_Land!M33=0,"",MaGic_AVM_Land!M33),"")</f>
        <v/>
      </c>
      <c r="N33" s="70" t="str">
        <f>IF(N$2="Y",IF(MaGic_AVM_Land!N33=0,"",MaGic_AVM_Land!N33),"")</f>
        <v/>
      </c>
      <c r="O33" s="70" t="str">
        <f>IF(O$2="Y",IF(MaGic_AVM_Land!O33=0,"",MaGic_AVM_Land!O33),"")</f>
        <v/>
      </c>
      <c r="P33" s="70" t="str">
        <f>IF(P$2="Y",IF(MaGic_AVM_Land!P33=0,"",MaGic_AVM_Land!P33),"")</f>
        <v/>
      </c>
      <c r="Q33" s="70" t="str">
        <f>IF(Q$2="Y",IF(MaGic_AVM_Land!Q33=0,"",MaGic_AVM_Land!Q33),"")</f>
        <v/>
      </c>
      <c r="R33" s="70" t="str">
        <f>IF(R$2="Y",IF(MaGic_AVM_Land!R33=0,"",MaGic_AVM_Land!R33),"")</f>
        <v/>
      </c>
      <c r="S33" s="70" t="str">
        <f>IF(S$2="Y",IF(MaGic_AVM_Land!S33=0,"",MaGic_AVM_Land!S33),"")</f>
        <v/>
      </c>
      <c r="T33" s="70" t="str">
        <f>IF(T$2="Y",IF(MaGic_AVM_Land!T33=0,"",MaGic_AVM_Land!T33),"")</f>
        <v/>
      </c>
      <c r="U33" s="70" t="str">
        <f>IF(U$2="Y",IF(MaGic_AVM_Land!U33=0,"",MaGic_AVM_Land!U33),"")</f>
        <v/>
      </c>
      <c r="V33" s="70" t="str">
        <f>IF(V$2="Y",IF(MaGic_AVM_Land!V33=0,"",MaGic_AVM_Land!V33),"")</f>
        <v/>
      </c>
      <c r="W33" s="70" t="str">
        <f>IF(W$2="Y",IF(MaGic_AVM_Land!W33=0,"",MaGic_AVM_Land!W33),"")</f>
        <v/>
      </c>
      <c r="X33" s="70" t="str">
        <f>IF(X$2="Y",IF(MaGic_AVM_Land!X33=0,"",MaGic_AVM_Land!X33),"")</f>
        <v/>
      </c>
      <c r="Y33" s="70" t="str">
        <f>IF(Y$2="Y",IF(MaGic_AVM_Land!Y33=0,"",MaGic_AVM_Land!Y33),"")</f>
        <v/>
      </c>
      <c r="Z33" s="70" t="str">
        <f>IF(Z$2="Y",IF(MaGic_AVM_Land!Z33=0,"",MaGic_AVM_Land!Z33),"")</f>
        <v/>
      </c>
      <c r="AA33" s="68" t="str">
        <f t="shared" ref="AA33:AA37" si="4">_xlfn.TEXTJOIN(" ,",TRUE,AB33:AZ33)</f>
        <v/>
      </c>
      <c r="AB33" s="69" t="str" cm="1">
        <f t="array" ref="AB33">_xlfn.UNIQUE(C33:Z33,TRUE,FALSE)</f>
        <v/>
      </c>
    </row>
    <row r="34" spans="1:28">
      <c r="A34" s="70"/>
      <c r="B34" s="70" t="s">
        <v>110</v>
      </c>
      <c r="C34" s="70" t="str">
        <f>IF(C$2="Y",IF(MaGic_AVM_Land!C34=0,"",MaGic_AVM_Land!C34),"")</f>
        <v/>
      </c>
      <c r="D34" s="70" t="str">
        <f>IF(D$2="Y",IF(MaGic_AVM_Land!D34=0,"",MaGic_AVM_Land!D34),"")</f>
        <v/>
      </c>
      <c r="E34" s="70" t="str">
        <f>IF(E$2="Y",IF(MaGic_AVM_Land!E34=0,"",MaGic_AVM_Land!E34),"")</f>
        <v/>
      </c>
      <c r="F34" s="70" t="str">
        <f>IF(F$2="Y",IF(MaGic_AVM_Land!F34=0,"",MaGic_AVM_Land!F34),"")</f>
        <v/>
      </c>
      <c r="G34" s="70" t="str">
        <f>IF(G$2="Y",IF(MaGic_AVM_Land!G34=0,"",MaGic_AVM_Land!G34),"")</f>
        <v/>
      </c>
      <c r="H34" s="70" t="str">
        <f>IF(H$2="Y",IF(MaGic_AVM_Land!H34=0,"",MaGic_AVM_Land!H34),"")</f>
        <v/>
      </c>
      <c r="I34" s="70" t="str">
        <f>IF(I$2="Y",IF(MaGic_AVM_Land!I34=0,"",MaGic_AVM_Land!I34),"")</f>
        <v/>
      </c>
      <c r="J34" s="70" t="str">
        <f>IF(J$2="Y",IF(MaGic_AVM_Land!J34=0,"",MaGic_AVM_Land!J34),"")</f>
        <v/>
      </c>
      <c r="K34" s="70" t="str">
        <f>IF(K$2="Y",IF(MaGic_AVM_Land!K34=0,"",MaGic_AVM_Land!K34),"")</f>
        <v/>
      </c>
      <c r="L34" s="70" t="str">
        <f>IF(L$2="Y",IF(MaGic_AVM_Land!L34=0,"",MaGic_AVM_Land!L34),"")</f>
        <v/>
      </c>
      <c r="M34" s="70" t="str">
        <f>IF(M$2="Y",IF(MaGic_AVM_Land!M34=0,"",MaGic_AVM_Land!M34),"")</f>
        <v/>
      </c>
      <c r="N34" s="70" t="str">
        <f>IF(N$2="Y",IF(MaGic_AVM_Land!N34=0,"",MaGic_AVM_Land!N34),"")</f>
        <v/>
      </c>
      <c r="O34" s="70" t="str">
        <f>IF(O$2="Y",IF(MaGic_AVM_Land!O34=0,"",MaGic_AVM_Land!O34),"")</f>
        <v/>
      </c>
      <c r="P34" s="70" t="str">
        <f>IF(P$2="Y",IF(MaGic_AVM_Land!P34=0,"",MaGic_AVM_Land!P34),"")</f>
        <v/>
      </c>
      <c r="Q34" s="70" t="str">
        <f>IF(Q$2="Y",IF(MaGic_AVM_Land!Q34=0,"",MaGic_AVM_Land!Q34),"")</f>
        <v/>
      </c>
      <c r="R34" s="70" t="str">
        <f>IF(R$2="Y",IF(MaGic_AVM_Land!R34=0,"",MaGic_AVM_Land!R34),"")</f>
        <v/>
      </c>
      <c r="S34" s="70" t="str">
        <f>IF(S$2="Y",IF(MaGic_AVM_Land!S34=0,"",MaGic_AVM_Land!S34),"")</f>
        <v/>
      </c>
      <c r="T34" s="70" t="str">
        <f>IF(T$2="Y",IF(MaGic_AVM_Land!T34=0,"",MaGic_AVM_Land!T34),"")</f>
        <v/>
      </c>
      <c r="U34" s="70" t="str">
        <f>IF(U$2="Y",IF(MaGic_AVM_Land!U34=0,"",MaGic_AVM_Land!U34),"")</f>
        <v/>
      </c>
      <c r="V34" s="70" t="str">
        <f>IF(V$2="Y",IF(MaGic_AVM_Land!V34=0,"",MaGic_AVM_Land!V34),"")</f>
        <v/>
      </c>
      <c r="W34" s="70" t="str">
        <f>IF(W$2="Y",IF(MaGic_AVM_Land!W34=0,"",MaGic_AVM_Land!W34),"")</f>
        <v/>
      </c>
      <c r="X34" s="70" t="str">
        <f>IF(X$2="Y",IF(MaGic_AVM_Land!X34=0,"",MaGic_AVM_Land!X34),"")</f>
        <v/>
      </c>
      <c r="Y34" s="70" t="str">
        <f>IF(Y$2="Y",IF(MaGic_AVM_Land!Y34=0,"",MaGic_AVM_Land!Y34),"")</f>
        <v/>
      </c>
      <c r="Z34" s="70" t="str">
        <f>IF(Z$2="Y",IF(MaGic_AVM_Land!Z34=0,"",MaGic_AVM_Land!Z34),"")</f>
        <v/>
      </c>
      <c r="AA34" s="68" t="str">
        <f t="shared" si="4"/>
        <v/>
      </c>
      <c r="AB34" s="69" t="str" cm="1">
        <f t="array" ref="AB34">_xlfn.UNIQUE(C34:Z34,TRUE,FALSE)</f>
        <v/>
      </c>
    </row>
    <row r="35" spans="1:28">
      <c r="A35" s="70">
        <v>1</v>
      </c>
      <c r="B35" s="70" t="s">
        <v>1106</v>
      </c>
      <c r="C35" s="70" t="str">
        <f>IF(C$2="Y",IF(MaGic_AVM_Land!C35=0,"",MaGic_AVM_Land!C35),"")</f>
        <v/>
      </c>
      <c r="D35" s="70" t="str">
        <f>IF(D$2="Y",IF(MaGic_AVM_Land!D35=0,"",MaGic_AVM_Land!D35),"")</f>
        <v/>
      </c>
      <c r="E35" s="70" t="str">
        <f>IF(E$2="Y",IF(MaGic_AVM_Land!E35=0,"",MaGic_AVM_Land!E35),"")</f>
        <v/>
      </c>
      <c r="F35" s="70" t="str">
        <f>IF(F$2="Y",IF(MaGic_AVM_Land!F35=0,"",MaGic_AVM_Land!F35),"")</f>
        <v/>
      </c>
      <c r="G35" s="70" t="str">
        <f>IF(G$2="Y",IF(MaGic_AVM_Land!G35=0,"",MaGic_AVM_Land!G35),"")</f>
        <v/>
      </c>
      <c r="H35" s="70" t="str">
        <f>IF(H$2="Y",IF(MaGic_AVM_Land!H35=0,"",MaGic_AVM_Land!H35),"")</f>
        <v/>
      </c>
      <c r="I35" s="70" t="str">
        <f>IF(I$2="Y",IF(MaGic_AVM_Land!I35=0,"",MaGic_AVM_Land!I35),"")</f>
        <v/>
      </c>
      <c r="J35" s="70" t="str">
        <f>IF(J$2="Y",IF(MaGic_AVM_Land!J35=0,"",MaGic_AVM_Land!J35),"")</f>
        <v/>
      </c>
      <c r="K35" s="70" t="str">
        <f>IF(K$2="Y",IF(MaGic_AVM_Land!K35=0,"",MaGic_AVM_Land!K35),"")</f>
        <v/>
      </c>
      <c r="L35" s="70" t="str">
        <f>IF(L$2="Y",IF(MaGic_AVM_Land!L35=0,"",MaGic_AVM_Land!L35),"")</f>
        <v/>
      </c>
      <c r="M35" s="70" t="str">
        <f>IF(M$2="Y",IF(MaGic_AVM_Land!M35=0,"",MaGic_AVM_Land!M35),"")</f>
        <v/>
      </c>
      <c r="N35" s="70" t="str">
        <f>IF(N$2="Y",IF(MaGic_AVM_Land!N35=0,"",MaGic_AVM_Land!N35),"")</f>
        <v/>
      </c>
      <c r="O35" s="70" t="str">
        <f>IF(O$2="Y",IF(MaGic_AVM_Land!O35=0,"",MaGic_AVM_Land!O35),"")</f>
        <v/>
      </c>
      <c r="P35" s="70" t="str">
        <f>IF(P$2="Y",IF(MaGic_AVM_Land!P35=0,"",MaGic_AVM_Land!P35),"")</f>
        <v/>
      </c>
      <c r="Q35" s="70" t="str">
        <f>IF(Q$2="Y",IF(MaGic_AVM_Land!Q35=0,"",MaGic_AVM_Land!Q35),"")</f>
        <v/>
      </c>
      <c r="R35" s="70" t="str">
        <f>IF(R$2="Y",IF(MaGic_AVM_Land!R35=0,"",MaGic_AVM_Land!R35),"")</f>
        <v/>
      </c>
      <c r="S35" s="70" t="str">
        <f>IF(S$2="Y",IF(MaGic_AVM_Land!S35=0,"",MaGic_AVM_Land!S35),"")</f>
        <v/>
      </c>
      <c r="T35" s="70" t="str">
        <f>IF(T$2="Y",IF(MaGic_AVM_Land!T35=0,"",MaGic_AVM_Land!T35),"")</f>
        <v/>
      </c>
      <c r="U35" s="70" t="str">
        <f>IF(U$2="Y",IF(MaGic_AVM_Land!U35=0,"",MaGic_AVM_Land!U35),"")</f>
        <v/>
      </c>
      <c r="V35" s="70" t="str">
        <f>IF(V$2="Y",IF(MaGic_AVM_Land!V35=0,"",MaGic_AVM_Land!V35),"")</f>
        <v/>
      </c>
      <c r="W35" s="70" t="str">
        <f>IF(W$2="Y",IF(MaGic_AVM_Land!W35=0,"",MaGic_AVM_Land!W35),"")</f>
        <v/>
      </c>
      <c r="X35" s="70" t="str">
        <f>IF(X$2="Y",IF(MaGic_AVM_Land!X35=0,"",MaGic_AVM_Land!X35),"")</f>
        <v/>
      </c>
      <c r="Y35" s="70" t="str">
        <f>IF(Y$2="Y",IF(MaGic_AVM_Land!Y35=0,"",MaGic_AVM_Land!Y35),"")</f>
        <v/>
      </c>
      <c r="Z35" s="70" t="str">
        <f>IF(Z$2="Y",IF(MaGic_AVM_Land!Z35=0,"",MaGic_AVM_Land!Z35),"")</f>
        <v/>
      </c>
      <c r="AA35" s="68" t="str">
        <f t="shared" si="4"/>
        <v/>
      </c>
      <c r="AB35" s="69" t="str" cm="1">
        <f t="array" ref="AB35">_xlfn.UNIQUE(C35:Z35,TRUE,FALSE)</f>
        <v/>
      </c>
    </row>
    <row r="36" spans="1:28">
      <c r="A36" s="70">
        <v>2</v>
      </c>
      <c r="B36" s="70" t="s">
        <v>112</v>
      </c>
      <c r="C36" s="70" t="str">
        <f>IF(C$2="Y",IF(MaGic_AVM_Land!C36=0,"",MaGic_AVM_Land!C36),"")</f>
        <v/>
      </c>
      <c r="D36" s="70" t="str">
        <f>IF(D$2="Y",IF(MaGic_AVM_Land!D36=0,"",MaGic_AVM_Land!D36),"")</f>
        <v/>
      </c>
      <c r="E36" s="70" t="str">
        <f>IF(E$2="Y",IF(MaGic_AVM_Land!E36=0,"",MaGic_AVM_Land!E36),"")</f>
        <v/>
      </c>
      <c r="F36" s="70" t="str">
        <f>IF(F$2="Y",IF(MaGic_AVM_Land!F36=0,"",MaGic_AVM_Land!F36),"")</f>
        <v/>
      </c>
      <c r="G36" s="70" t="str">
        <f>IF(G$2="Y",IF(MaGic_AVM_Land!G36=0,"",MaGic_AVM_Land!G36),"")</f>
        <v/>
      </c>
      <c r="H36" s="70" t="str">
        <f>IF(H$2="Y",IF(MaGic_AVM_Land!H36=0,"",MaGic_AVM_Land!H36),"")</f>
        <v/>
      </c>
      <c r="I36" s="70" t="str">
        <f>IF(I$2="Y",IF(MaGic_AVM_Land!I36=0,"",MaGic_AVM_Land!I36),"")</f>
        <v/>
      </c>
      <c r="J36" s="70" t="str">
        <f>IF(J$2="Y",IF(MaGic_AVM_Land!J36=0,"",MaGic_AVM_Land!J36),"")</f>
        <v/>
      </c>
      <c r="K36" s="70" t="str">
        <f>IF(K$2="Y",IF(MaGic_AVM_Land!K36=0,"",MaGic_AVM_Land!K36),"")</f>
        <v/>
      </c>
      <c r="L36" s="70" t="str">
        <f>IF(L$2="Y",IF(MaGic_AVM_Land!L36=0,"",MaGic_AVM_Land!L36),"")</f>
        <v/>
      </c>
      <c r="M36" s="70" t="str">
        <f>IF(M$2="Y",IF(MaGic_AVM_Land!M36=0,"",MaGic_AVM_Land!M36),"")</f>
        <v/>
      </c>
      <c r="N36" s="70" t="str">
        <f>IF(N$2="Y",IF(MaGic_AVM_Land!N36=0,"",MaGic_AVM_Land!N36),"")</f>
        <v/>
      </c>
      <c r="O36" s="70" t="str">
        <f>IF(O$2="Y",IF(MaGic_AVM_Land!O36=0,"",MaGic_AVM_Land!O36),"")</f>
        <v/>
      </c>
      <c r="P36" s="70" t="str">
        <f>IF(P$2="Y",IF(MaGic_AVM_Land!P36=0,"",MaGic_AVM_Land!P36),"")</f>
        <v/>
      </c>
      <c r="Q36" s="70" t="str">
        <f>IF(Q$2="Y",IF(MaGic_AVM_Land!Q36=0,"",MaGic_AVM_Land!Q36),"")</f>
        <v/>
      </c>
      <c r="R36" s="70" t="str">
        <f>IF(R$2="Y",IF(MaGic_AVM_Land!R36=0,"",MaGic_AVM_Land!R36),"")</f>
        <v/>
      </c>
      <c r="S36" s="70" t="str">
        <f>IF(S$2="Y",IF(MaGic_AVM_Land!S36=0,"",MaGic_AVM_Land!S36),"")</f>
        <v/>
      </c>
      <c r="T36" s="70" t="str">
        <f>IF(T$2="Y",IF(MaGic_AVM_Land!T36=0,"",MaGic_AVM_Land!T36),"")</f>
        <v/>
      </c>
      <c r="U36" s="70" t="str">
        <f>IF(U$2="Y",IF(MaGic_AVM_Land!U36=0,"",MaGic_AVM_Land!U36),"")</f>
        <v/>
      </c>
      <c r="V36" s="70" t="str">
        <f>IF(V$2="Y",IF(MaGic_AVM_Land!V36=0,"",MaGic_AVM_Land!V36),"")</f>
        <v/>
      </c>
      <c r="W36" s="70" t="str">
        <f>IF(W$2="Y",IF(MaGic_AVM_Land!W36=0,"",MaGic_AVM_Land!W36),"")</f>
        <v/>
      </c>
      <c r="X36" s="70" t="str">
        <f>IF(X$2="Y",IF(MaGic_AVM_Land!X36=0,"",MaGic_AVM_Land!X36),"")</f>
        <v/>
      </c>
      <c r="Y36" s="70" t="str">
        <f>IF(Y$2="Y",IF(MaGic_AVM_Land!Y36=0,"",MaGic_AVM_Land!Y36),"")</f>
        <v/>
      </c>
      <c r="Z36" s="70" t="str">
        <f>IF(Z$2="Y",IF(MaGic_AVM_Land!Z36=0,"",MaGic_AVM_Land!Z36),"")</f>
        <v/>
      </c>
      <c r="AA36" s="68" t="str">
        <f t="shared" si="4"/>
        <v/>
      </c>
      <c r="AB36" s="69" t="str" cm="1">
        <f t="array" ref="AB36">_xlfn.UNIQUE(C36:Z36,TRUE,FALSE)</f>
        <v/>
      </c>
    </row>
    <row r="37" spans="1:28">
      <c r="A37" s="70">
        <v>3</v>
      </c>
      <c r="B37" s="70" t="s">
        <v>113</v>
      </c>
      <c r="C37" s="70" t="str">
        <f>IF(C$2="Y",IF(MaGic_AVM_Land!C37=0,"",MaGic_AVM_Land!C37),"")</f>
        <v/>
      </c>
      <c r="D37" s="70" t="str">
        <f>IF(D$2="Y",IF(MaGic_AVM_Land!D37=0,"",MaGic_AVM_Land!D37),"")</f>
        <v/>
      </c>
      <c r="E37" s="70" t="str">
        <f>IF(E$2="Y",IF(MaGic_AVM_Land!E37=0,"",MaGic_AVM_Land!E37),"")</f>
        <v/>
      </c>
      <c r="F37" s="70" t="str">
        <f>IF(F$2="Y",IF(MaGic_AVM_Land!F37=0,"",MaGic_AVM_Land!F37),"")</f>
        <v/>
      </c>
      <c r="G37" s="70" t="str">
        <f>IF(G$2="Y",IF(MaGic_AVM_Land!G37=0,"",MaGic_AVM_Land!G37),"")</f>
        <v/>
      </c>
      <c r="H37" s="70" t="str">
        <f>IF(H$2="Y",IF(MaGic_AVM_Land!H37=0,"",MaGic_AVM_Land!H37),"")</f>
        <v/>
      </c>
      <c r="I37" s="70" t="str">
        <f>IF(I$2="Y",IF(MaGic_AVM_Land!I37=0,"",MaGic_AVM_Land!I37),"")</f>
        <v/>
      </c>
      <c r="J37" s="70" t="str">
        <f>IF(J$2="Y",IF(MaGic_AVM_Land!J37=0,"",MaGic_AVM_Land!J37),"")</f>
        <v/>
      </c>
      <c r="K37" s="70" t="str">
        <f>IF(K$2="Y",IF(MaGic_AVM_Land!K37=0,"",MaGic_AVM_Land!K37),"")</f>
        <v/>
      </c>
      <c r="L37" s="70" t="str">
        <f>IF(L$2="Y",IF(MaGic_AVM_Land!L37=0,"",MaGic_AVM_Land!L37),"")</f>
        <v/>
      </c>
      <c r="M37" s="70" t="str">
        <f>IF(M$2="Y",IF(MaGic_AVM_Land!M37=0,"",MaGic_AVM_Land!M37),"")</f>
        <v/>
      </c>
      <c r="N37" s="70" t="str">
        <f>IF(N$2="Y",IF(MaGic_AVM_Land!N37=0,"",MaGic_AVM_Land!N37),"")</f>
        <v/>
      </c>
      <c r="O37" s="70" t="str">
        <f>IF(O$2="Y",IF(MaGic_AVM_Land!O37=0,"",MaGic_AVM_Land!O37),"")</f>
        <v/>
      </c>
      <c r="P37" s="70" t="str">
        <f>IF(P$2="Y",IF(MaGic_AVM_Land!P37=0,"",MaGic_AVM_Land!P37),"")</f>
        <v/>
      </c>
      <c r="Q37" s="70" t="str">
        <f>IF(Q$2="Y",IF(MaGic_AVM_Land!Q37=0,"",MaGic_AVM_Land!Q37),"")</f>
        <v/>
      </c>
      <c r="R37" s="70" t="str">
        <f>IF(R$2="Y",IF(MaGic_AVM_Land!R37=0,"",MaGic_AVM_Land!R37),"")</f>
        <v/>
      </c>
      <c r="S37" s="70" t="str">
        <f>IF(S$2="Y",IF(MaGic_AVM_Land!S37=0,"",MaGic_AVM_Land!S37),"")</f>
        <v/>
      </c>
      <c r="T37" s="70" t="str">
        <f>IF(T$2="Y",IF(MaGic_AVM_Land!T37=0,"",MaGic_AVM_Land!T37),"")</f>
        <v/>
      </c>
      <c r="U37" s="70" t="str">
        <f>IF(U$2="Y",IF(MaGic_AVM_Land!U37=0,"",MaGic_AVM_Land!U37),"")</f>
        <v/>
      </c>
      <c r="V37" s="70" t="str">
        <f>IF(V$2="Y",IF(MaGic_AVM_Land!V37=0,"",MaGic_AVM_Land!V37),"")</f>
        <v/>
      </c>
      <c r="W37" s="70" t="str">
        <f>IF(W$2="Y",IF(MaGic_AVM_Land!W37=0,"",MaGic_AVM_Land!W37),"")</f>
        <v/>
      </c>
      <c r="X37" s="70" t="str">
        <f>IF(X$2="Y",IF(MaGic_AVM_Land!X37=0,"",MaGic_AVM_Land!X37),"")</f>
        <v/>
      </c>
      <c r="Y37" s="70" t="str">
        <f>IF(Y$2="Y",IF(MaGic_AVM_Land!Y37=0,"",MaGic_AVM_Land!Y37),"")</f>
        <v/>
      </c>
      <c r="Z37" s="70" t="str">
        <f>IF(Z$2="Y",IF(MaGic_AVM_Land!Z37=0,"",MaGic_AVM_Land!Z37),"")</f>
        <v/>
      </c>
      <c r="AA37" s="68" t="str">
        <f t="shared" si="4"/>
        <v/>
      </c>
      <c r="AB37" s="69" t="str" cm="1">
        <f t="array" ref="AB37">_xlfn.UNIQUE(C37:Z37,TRUE,FALSE)</f>
        <v/>
      </c>
    </row>
    <row r="38" spans="1:28">
      <c r="A38" s="70">
        <v>4</v>
      </c>
      <c r="B38" s="70" t="s">
        <v>114</v>
      </c>
      <c r="C38" s="70"/>
      <c r="D38" s="70"/>
      <c r="E38" s="70"/>
      <c r="F38" s="70"/>
      <c r="G38" s="70"/>
      <c r="H38" s="70"/>
      <c r="I38" s="70"/>
      <c r="J38" s="70"/>
      <c r="K38" s="70"/>
      <c r="L38" s="70"/>
      <c r="M38" s="70"/>
      <c r="N38" s="70"/>
      <c r="O38" s="70"/>
      <c r="P38" s="70"/>
      <c r="Q38" s="70"/>
      <c r="R38" s="70"/>
      <c r="S38" s="70"/>
      <c r="T38" s="70"/>
      <c r="U38" s="70"/>
      <c r="V38" s="70"/>
      <c r="W38" s="70"/>
      <c r="X38" s="70"/>
      <c r="Y38" s="70"/>
      <c r="Z38" s="70"/>
      <c r="AB38" s="69" cm="1">
        <f t="array" ref="AB38">_xlfn.UNIQUE(C38:Z38,TRUE,FALSE)</f>
        <v>0</v>
      </c>
    </row>
    <row r="39" spans="1:28">
      <c r="A39" s="70">
        <v>5</v>
      </c>
      <c r="B39" s="70" t="s">
        <v>115</v>
      </c>
      <c r="C39" s="70"/>
      <c r="D39" s="70"/>
      <c r="E39" s="70"/>
      <c r="F39" s="70"/>
      <c r="G39" s="70"/>
      <c r="H39" s="70"/>
      <c r="I39" s="70"/>
      <c r="J39" s="70"/>
      <c r="K39" s="70"/>
      <c r="L39" s="70"/>
      <c r="M39" s="70"/>
      <c r="N39" s="70"/>
      <c r="O39" s="70"/>
      <c r="P39" s="70"/>
      <c r="Q39" s="70"/>
      <c r="R39" s="70"/>
      <c r="S39" s="70"/>
      <c r="T39" s="70"/>
      <c r="U39" s="70"/>
      <c r="V39" s="70"/>
      <c r="W39" s="70"/>
      <c r="X39" s="70"/>
      <c r="Y39" s="70"/>
      <c r="Z39" s="70"/>
      <c r="AB39" s="69" cm="1">
        <f t="array" ref="AB39">_xlfn.UNIQUE(C39:Z39,TRUE,FALSE)</f>
        <v>0</v>
      </c>
    </row>
    <row r="40" spans="1:28">
      <c r="A40" s="70">
        <v>6</v>
      </c>
      <c r="B40" s="70" t="s">
        <v>116</v>
      </c>
      <c r="C40" s="70"/>
      <c r="D40" s="70"/>
      <c r="E40" s="70"/>
      <c r="F40" s="70"/>
      <c r="G40" s="70"/>
      <c r="H40" s="70"/>
      <c r="I40" s="70"/>
      <c r="J40" s="70"/>
      <c r="K40" s="70"/>
      <c r="L40" s="70"/>
      <c r="M40" s="70"/>
      <c r="N40" s="70"/>
      <c r="O40" s="70"/>
      <c r="P40" s="70"/>
      <c r="Q40" s="70"/>
      <c r="R40" s="70"/>
      <c r="S40" s="70"/>
      <c r="T40" s="70"/>
      <c r="U40" s="70"/>
      <c r="V40" s="70"/>
      <c r="W40" s="70"/>
      <c r="X40" s="70"/>
      <c r="Y40" s="70"/>
      <c r="Z40" s="70"/>
      <c r="AB40" s="69" cm="1">
        <f t="array" ref="AB40">_xlfn.UNIQUE(C40:Z40,TRUE,FALSE)</f>
        <v>0</v>
      </c>
    </row>
    <row r="41" spans="1:28">
      <c r="A41" s="70"/>
      <c r="B41" s="70" t="s">
        <v>117</v>
      </c>
      <c r="C41" s="70"/>
      <c r="D41" s="70"/>
      <c r="E41" s="70"/>
      <c r="F41" s="70"/>
      <c r="G41" s="70"/>
      <c r="H41" s="70"/>
      <c r="I41" s="70"/>
      <c r="J41" s="70"/>
      <c r="K41" s="70"/>
      <c r="L41" s="70"/>
      <c r="M41" s="70"/>
      <c r="N41" s="70"/>
      <c r="O41" s="70"/>
      <c r="P41" s="70"/>
      <c r="Q41" s="70"/>
      <c r="R41" s="70"/>
      <c r="S41" s="70"/>
      <c r="T41" s="70"/>
      <c r="U41" s="70"/>
      <c r="V41" s="70"/>
      <c r="W41" s="70"/>
      <c r="X41" s="70"/>
      <c r="Y41" s="70"/>
      <c r="Z41" s="70"/>
      <c r="AB41" s="69" cm="1">
        <f t="array" ref="AB41">_xlfn.UNIQUE(C41:Z41,TRUE,FALSE)</f>
        <v>0</v>
      </c>
    </row>
    <row r="42" spans="1:28">
      <c r="A42" s="70">
        <v>1</v>
      </c>
      <c r="B42" s="70" t="s">
        <v>118</v>
      </c>
      <c r="C42" s="70"/>
      <c r="D42" s="70"/>
      <c r="E42" s="70"/>
      <c r="F42" s="70"/>
      <c r="G42" s="70"/>
      <c r="H42" s="70"/>
      <c r="I42" s="70"/>
      <c r="J42" s="70"/>
      <c r="K42" s="70"/>
      <c r="L42" s="70"/>
      <c r="M42" s="70"/>
      <c r="N42" s="70"/>
      <c r="O42" s="70"/>
      <c r="P42" s="70"/>
      <c r="Q42" s="70"/>
      <c r="R42" s="70"/>
      <c r="S42" s="70"/>
      <c r="T42" s="70"/>
      <c r="U42" s="70"/>
      <c r="V42" s="70"/>
      <c r="W42" s="70"/>
      <c r="X42" s="70"/>
      <c r="Y42" s="70"/>
      <c r="Z42" s="70"/>
      <c r="AB42" s="69" cm="1">
        <f t="array" ref="AB42">_xlfn.UNIQUE(C42:Z42,TRUE,FALSE)</f>
        <v>0</v>
      </c>
    </row>
    <row r="43" spans="1:28">
      <c r="A43" s="70">
        <v>2</v>
      </c>
      <c r="B43" s="70" t="s">
        <v>119</v>
      </c>
      <c r="C43" s="70"/>
      <c r="D43" s="70"/>
      <c r="E43" s="70"/>
      <c r="F43" s="70"/>
      <c r="G43" s="70"/>
      <c r="H43" s="70"/>
      <c r="I43" s="70"/>
      <c r="J43" s="70"/>
      <c r="K43" s="70"/>
      <c r="L43" s="70"/>
      <c r="M43" s="70"/>
      <c r="N43" s="70"/>
      <c r="O43" s="70"/>
      <c r="P43" s="70"/>
      <c r="Q43" s="70"/>
      <c r="R43" s="70"/>
      <c r="S43" s="70"/>
      <c r="T43" s="70"/>
      <c r="U43" s="70"/>
      <c r="V43" s="70"/>
      <c r="W43" s="70"/>
      <c r="X43" s="70"/>
      <c r="Y43" s="70"/>
      <c r="Z43" s="70"/>
      <c r="AB43" s="69" cm="1">
        <f t="array" ref="AB43">_xlfn.UNIQUE(C43:Z43,TRUE,FALSE)</f>
        <v>0</v>
      </c>
    </row>
    <row r="44" spans="1:28">
      <c r="A44" s="70">
        <v>3</v>
      </c>
      <c r="B44" s="70" t="s">
        <v>120</v>
      </c>
      <c r="C44" s="70"/>
      <c r="D44" s="70"/>
      <c r="E44" s="70"/>
      <c r="F44" s="70"/>
      <c r="G44" s="70"/>
      <c r="H44" s="70"/>
      <c r="I44" s="70"/>
      <c r="J44" s="70"/>
      <c r="K44" s="70"/>
      <c r="L44" s="70"/>
      <c r="M44" s="70"/>
      <c r="N44" s="70"/>
      <c r="O44" s="70"/>
      <c r="P44" s="70"/>
      <c r="Q44" s="70"/>
      <c r="R44" s="70"/>
      <c r="S44" s="70"/>
      <c r="T44" s="70"/>
      <c r="U44" s="70"/>
      <c r="V44" s="70"/>
      <c r="W44" s="70"/>
      <c r="X44" s="70"/>
      <c r="Y44" s="70"/>
      <c r="Z44" s="70"/>
      <c r="AB44" s="69" cm="1">
        <f t="array" ref="AB44">_xlfn.UNIQUE(C44:Z44,TRUE,FALSE)</f>
        <v>0</v>
      </c>
    </row>
    <row r="45" spans="1:28">
      <c r="A45" s="70">
        <v>4</v>
      </c>
      <c r="B45" s="70" t="s">
        <v>121</v>
      </c>
      <c r="C45" s="70"/>
      <c r="D45" s="70"/>
      <c r="E45" s="70"/>
      <c r="F45" s="70"/>
      <c r="G45" s="70"/>
      <c r="H45" s="70"/>
      <c r="I45" s="70"/>
      <c r="J45" s="70"/>
      <c r="K45" s="70"/>
      <c r="L45" s="70"/>
      <c r="M45" s="70"/>
      <c r="N45" s="70"/>
      <c r="O45" s="70"/>
      <c r="P45" s="70"/>
      <c r="Q45" s="70"/>
      <c r="R45" s="70"/>
      <c r="S45" s="70"/>
      <c r="T45" s="70"/>
      <c r="U45" s="70"/>
      <c r="V45" s="70"/>
      <c r="W45" s="70"/>
      <c r="X45" s="70"/>
      <c r="Y45" s="70"/>
      <c r="Z45" s="70"/>
      <c r="AB45" s="69" cm="1">
        <f t="array" ref="AB45">_xlfn.UNIQUE(C45:Z45,TRUE,FALSE)</f>
        <v>0</v>
      </c>
    </row>
    <row r="46" spans="1:28" ht="48" customHeight="1"/>
    <row r="47" spans="1:28" hidden="1"/>
    <row r="48" spans="1:2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spans="3:30" hidden="1"/>
    <row r="98" spans="3:30" hidden="1"/>
    <row r="99" spans="3:30" hidden="1"/>
    <row r="100" spans="3:30" hidden="1"/>
    <row r="101" spans="3:30" ht="170.25" customHeight="1">
      <c r="C101" s="19" t="str">
        <f>IF(C23="","",CONCATENATE(C23," Ares of land in ",IF(C20="","",CONCATENATE($B$20,C20,", ")),IF(C21="","",CONCATENATE($B$21,C21,", ")),IF(C22="","",CONCATENATE($B$22,C22,", ")),IF(C17="","",CONCATENATE($B$17,C17,", ")),IF(C18="","",CONCATENATE($B$18,C18,", ")),IF(C19="","",CONCATENATE($B$19,C19,", ")),IF(C14="","",CONCATENATE($B$14,C14,", ")),IF(C15="","",CONCATENATE($B$15,C15,", ")),IF(C16="","",CONCATENATE($B$16,C16))))</f>
        <v/>
      </c>
      <c r="D101" s="19" t="str">
        <f>IF(D23="","",CONCATENATE(D23," Ares of land in ",IF(D20="","",CONCATENATE($B$20,D20,", ")),IF(D21="","",CONCATENATE($B$21,D21,", ")),IF(D22="","",CONCATENATE($B$22,D22,", ")),IF(D17="","",CONCATENATE($B$17,D17,", ")),IF(D18="","",CONCATENATE($B$18,D18,", ")),IF(D19="","",CONCATENATE($B$19,D19,", ")),IF(D14="","",CONCATENATE($B$14,D14,", ")),IF(D15="","",CONCATENATE($B$15,D15,", ")),IF(D16="","",CONCATENATE($B$16,D16))))</f>
        <v/>
      </c>
      <c r="E101" s="19" t="str">
        <f t="shared" ref="E101:Z101" si="5">IF(E23="","",CONCATENATE(E23," Ares of land in ",IF(E20="","",CONCATENATE($B$20,E20,", ")),IF(E21="","",CONCATENATE($B$21,E21,", ")),IF(E22="","",CONCATENATE($B$22,E22,", ")),IF(E17="","",CONCATENATE($B$17,E17,", ")),IF(E18="","",CONCATENATE($B$18,E18,", ")),IF(E19="","",CONCATENATE($B$19,E19,", ")),IF(E14="","",CONCATENATE($B$14,E14,", ")),IF(E15="","",CONCATENATE($B$15,E15,", ")),IF(E16="","",CONCATENATE($B$16,E16))))</f>
        <v/>
      </c>
      <c r="F101" s="19" t="str">
        <f t="shared" si="5"/>
        <v/>
      </c>
      <c r="G101" s="19" t="str">
        <f t="shared" si="5"/>
        <v/>
      </c>
      <c r="H101" s="19" t="str">
        <f t="shared" si="5"/>
        <v/>
      </c>
      <c r="I101" s="19" t="str">
        <f t="shared" si="5"/>
        <v/>
      </c>
      <c r="J101" s="19" t="str">
        <f t="shared" si="5"/>
        <v/>
      </c>
      <c r="K101" s="19" t="str">
        <f t="shared" si="5"/>
        <v/>
      </c>
      <c r="L101" s="19" t="str">
        <f t="shared" si="5"/>
        <v/>
      </c>
      <c r="M101" s="19" t="str">
        <f t="shared" si="5"/>
        <v/>
      </c>
      <c r="N101" s="19" t="str">
        <f t="shared" si="5"/>
        <v/>
      </c>
      <c r="O101" s="19" t="str">
        <f t="shared" si="5"/>
        <v/>
      </c>
      <c r="P101" s="19" t="str">
        <f t="shared" si="5"/>
        <v/>
      </c>
      <c r="Q101" s="19" t="str">
        <f t="shared" si="5"/>
        <v/>
      </c>
      <c r="R101" s="19" t="str">
        <f t="shared" si="5"/>
        <v/>
      </c>
      <c r="S101" s="19" t="str">
        <f t="shared" si="5"/>
        <v/>
      </c>
      <c r="T101" s="19" t="str">
        <f t="shared" si="5"/>
        <v/>
      </c>
      <c r="U101" s="19" t="str">
        <f t="shared" si="5"/>
        <v/>
      </c>
      <c r="V101" s="19" t="str">
        <f t="shared" si="5"/>
        <v/>
      </c>
      <c r="W101" s="19" t="str">
        <f t="shared" si="5"/>
        <v/>
      </c>
      <c r="X101" s="19" t="str">
        <f t="shared" si="5"/>
        <v/>
      </c>
      <c r="Y101" s="19" t="str">
        <f t="shared" si="5"/>
        <v/>
      </c>
      <c r="Z101" s="19" t="str">
        <f t="shared" si="5"/>
        <v/>
      </c>
      <c r="AA101" s="19" t="str">
        <f>_xlfn.TEXTJOIN(" and ",TRUE,C101:Z101)</f>
        <v/>
      </c>
    </row>
    <row r="102" spans="3:30">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v>0</v>
      </c>
      <c r="AA102" s="19" t="s">
        <v>212</v>
      </c>
    </row>
    <row r="103" spans="3:30">
      <c r="Z103" s="19">
        <v>1</v>
      </c>
      <c r="AA103" s="19" t="str">
        <f>CONCATENATE(AA101," located in ",AA11,", ",AA10,", ",AA8,". ")</f>
        <v>located in  Village,  Taluk,  District.</v>
      </c>
    </row>
    <row r="104" spans="3:30" ht="146.25" customHeight="1">
      <c r="Z104" s="69">
        <v>2</v>
      </c>
      <c r="AA104" s="19" t="str">
        <f>CONCATENATE("A total of ",AA23," ares of land, comprising ",AA101," located in ",AA11,", ",AA10,", ",AA8,". ")</f>
        <v>A total of 0 ares of land, comprising  located in  Village,  Taluk,  District.</v>
      </c>
    </row>
    <row r="105" spans="3:30" ht="84.65" customHeight="1">
      <c r="Y105" s="477" t="s">
        <v>1107</v>
      </c>
      <c r="Z105" s="477"/>
      <c r="AA105" s="19" t="str">
        <f>IF(AA2&gt;2,AA104,VLOOKUP(AA2,Z102:AA104,2,FALSE))</f>
        <v>NA</v>
      </c>
    </row>
    <row r="106" spans="3:30" ht="102" customHeight="1">
      <c r="T106" s="69">
        <v>2</v>
      </c>
      <c r="Y106" s="74" t="s">
        <v>1109</v>
      </c>
      <c r="Z106" s="74"/>
      <c r="AA106" s="66" t="s">
        <v>1110</v>
      </c>
    </row>
    <row r="107" spans="3:30" ht="79.150000000000006" customHeight="1">
      <c r="D107" s="69">
        <v>0</v>
      </c>
      <c r="W107" s="69" t="s">
        <v>102</v>
      </c>
      <c r="X107" s="69">
        <v>1</v>
      </c>
      <c r="Y107" s="477" t="str">
        <f>IF(ISNUMBER(SEARCH("Nil",$AA$30)),1,"0")</f>
        <v>0</v>
      </c>
      <c r="Z107" s="477"/>
      <c r="AA107" s="66" t="s">
        <v>1138</v>
      </c>
    </row>
    <row r="108" spans="3:30" ht="53.15" customHeight="1">
      <c r="W108" s="69" t="s">
        <v>103</v>
      </c>
      <c r="X108" s="69">
        <v>2</v>
      </c>
      <c r="Y108" s="477" t="str">
        <f>IF(ISNUMBER(SEARCH("Footway",$AA$30)),2,"0")</f>
        <v>0</v>
      </c>
      <c r="Z108" s="477"/>
      <c r="AA108" s="66" t="s">
        <v>1139</v>
      </c>
    </row>
    <row r="109" spans="3:30" ht="87">
      <c r="W109" s="69" t="s">
        <v>104</v>
      </c>
      <c r="X109" s="69">
        <v>3</v>
      </c>
      <c r="Y109" s="477" t="str">
        <f>IF(ISNUMBER(SEARCH("Private",$AA$30)),3,"0")</f>
        <v>0</v>
      </c>
      <c r="Z109" s="477"/>
      <c r="AA109" s="66" t="str">
        <f>_xlfn.TEXTJOIN(" ",TRUE,AB109:AD109)</f>
        <v>The Survey Sketch indicates that the property has right of access over a private road. However, No information regarding the width of the private road is provided in the Survey Sketch. This private road is used by</v>
      </c>
      <c r="AB109" s="19" t="s">
        <v>1140</v>
      </c>
      <c r="AC109" s="19" t="str">
        <f>IF(AA32=0,"However, No information regarding the width of the private road is provided in the Survey Sketch.",CONCATENATE("According to the Survey Sketch, this road has a width of ",AA32," meters."))</f>
        <v>However, No information regarding the width of the private road is provided in the Survey Sketch.</v>
      </c>
      <c r="AD109" s="19" t="str">
        <f>CONCATENATE("This private road is used by ",AA31)</f>
        <v>This private road is used by</v>
      </c>
    </row>
    <row r="110" spans="3:30" ht="29">
      <c r="W110" s="69" t="s">
        <v>203</v>
      </c>
      <c r="X110" s="69">
        <v>4</v>
      </c>
      <c r="Y110" s="477" t="str">
        <f>IF(ISNUMBER(SEARCH("Panchayat",$AA$30)),4,"0")</f>
        <v>0</v>
      </c>
      <c r="Z110" s="477"/>
      <c r="AA110" s="66" t="s">
        <v>1141</v>
      </c>
    </row>
    <row r="111" spans="3:30" ht="29">
      <c r="W111" s="69" t="s">
        <v>196</v>
      </c>
      <c r="X111" s="69">
        <v>5</v>
      </c>
      <c r="Y111" s="477" t="str">
        <f>IF(ISNUMBER(SEARCH("Municipality",$AA$30)),5,"0")</f>
        <v>0</v>
      </c>
      <c r="Z111" s="477"/>
      <c r="AA111" s="66" t="s">
        <v>1142</v>
      </c>
    </row>
    <row r="112" spans="3:30" ht="29">
      <c r="W112" s="69" t="s">
        <v>188</v>
      </c>
      <c r="X112" s="69">
        <v>6</v>
      </c>
      <c r="Y112" s="477" t="str">
        <f>IF(ISNUMBER(SEARCH("Corporation",$AA$30)),6,"0")</f>
        <v>0</v>
      </c>
      <c r="Z112" s="477"/>
      <c r="AA112" s="66" t="s">
        <v>1143</v>
      </c>
    </row>
    <row r="113" spans="23:27" ht="29">
      <c r="W113" s="69" t="s">
        <v>218</v>
      </c>
      <c r="X113" s="69">
        <v>7</v>
      </c>
      <c r="Y113" s="477" t="str">
        <f>IF(ISNUMBER(SEARCH("PWD",$AA$30)),7,"0")</f>
        <v>0</v>
      </c>
      <c r="Z113" s="477"/>
      <c r="AA113" s="66" t="s">
        <v>1144</v>
      </c>
    </row>
    <row r="114" spans="23:27" ht="29">
      <c r="W114" s="69" t="s">
        <v>221</v>
      </c>
      <c r="X114" s="69">
        <v>8</v>
      </c>
      <c r="Y114" s="477" t="str">
        <f>IF(ISNUMBER(SEARCH("SH",$AA$30)),8,"0")</f>
        <v>0</v>
      </c>
      <c r="Z114" s="477"/>
      <c r="AA114" s="66" t="s">
        <v>1145</v>
      </c>
    </row>
    <row r="115" spans="23:27" ht="29">
      <c r="W115" s="69" t="s">
        <v>224</v>
      </c>
      <c r="X115" s="69">
        <v>9</v>
      </c>
      <c r="Y115" s="477" t="str">
        <f>IF(ISNUMBER(SEARCH("NH",$AA$30)),9,"0")</f>
        <v>0</v>
      </c>
      <c r="Z115" s="477"/>
      <c r="AA115" s="66" t="s">
        <v>1146</v>
      </c>
    </row>
    <row r="116" spans="23:27" ht="65.650000000000006" customHeight="1">
      <c r="W116" s="69" t="s">
        <v>1120</v>
      </c>
      <c r="Y116" s="477">
        <f>MAX(Y107:Z115)</f>
        <v>0</v>
      </c>
      <c r="Z116" s="477"/>
      <c r="AA116" s="75" t="e">
        <f>VLOOKUP(Y116,X107:AA115,4,FALSE)</f>
        <v>#N/A</v>
      </c>
    </row>
    <row r="117" spans="23:27" ht="55.15" customHeight="1">
      <c r="W117" s="69" t="s">
        <v>1120</v>
      </c>
      <c r="X117" s="19" t="str">
        <f>CONCATENATE("This private road has ",AA32," m Width.")</f>
        <v>This private road has 0 m Width.</v>
      </c>
      <c r="Y117" s="477"/>
      <c r="Z117" s="477"/>
      <c r="AA117" s="69" t="str">
        <f>IF(Y116=4,X117,"")</f>
        <v/>
      </c>
    </row>
    <row r="118" spans="23:27">
      <c r="Y118" s="477"/>
      <c r="Z118" s="477"/>
    </row>
    <row r="119" spans="23:27">
      <c r="Y119" s="477"/>
      <c r="Z119" s="477"/>
    </row>
    <row r="120" spans="23:27">
      <c r="Y120" s="477"/>
      <c r="Z120" s="477"/>
    </row>
  </sheetData>
  <mergeCells count="15">
    <mergeCell ref="Y105:Z105"/>
    <mergeCell ref="Y107:Z107"/>
    <mergeCell ref="Y108:Z108"/>
    <mergeCell ref="Y109:Z109"/>
    <mergeCell ref="Y110:Z110"/>
    <mergeCell ref="Y111:Z111"/>
    <mergeCell ref="Y112:Z112"/>
    <mergeCell ref="Y113:Z113"/>
    <mergeCell ref="Y114:Z114"/>
    <mergeCell ref="Y115:Z115"/>
    <mergeCell ref="Y116:Z116"/>
    <mergeCell ref="Y117:Z117"/>
    <mergeCell ref="Y118:Z118"/>
    <mergeCell ref="Y119:Z119"/>
    <mergeCell ref="Y120:Z120"/>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2:AB113"/>
  <sheetViews>
    <sheetView topLeftCell="Q13" workbookViewId="0"/>
  </sheetViews>
  <sheetFormatPr defaultColWidth="9.26953125" defaultRowHeight="14.5"/>
  <cols>
    <col min="1" max="1" width="3" style="69" customWidth="1"/>
    <col min="2" max="2" width="23.26953125" style="69" customWidth="1"/>
    <col min="3" max="3" width="11.54296875" style="69" customWidth="1"/>
    <col min="4" max="4" width="14" style="69" customWidth="1"/>
    <col min="5" max="5" width="11.54296875" style="69" customWidth="1"/>
    <col min="6" max="26" width="9.26953125" style="69"/>
    <col min="27" max="27" width="52.7265625" style="69" customWidth="1"/>
    <col min="28" max="28" width="15.54296875" style="69" customWidth="1"/>
    <col min="29" max="29" width="25.26953125" style="69" customWidth="1"/>
    <col min="30" max="31" width="29.26953125" style="69" customWidth="1"/>
    <col min="32" max="16384" width="9.26953125" style="69"/>
  </cols>
  <sheetData>
    <row r="2" spans="1:28">
      <c r="A2" s="70"/>
      <c r="B2" s="70"/>
      <c r="C2" s="70" t="str">
        <f>IF(MaGic_AVM_Land!C2="Building Permit","Y","N")</f>
        <v>N</v>
      </c>
      <c r="D2" s="70" t="str">
        <f>IF(MaGic_AVM_Land!D2="Building Permit","Y","N")</f>
        <v>N</v>
      </c>
      <c r="E2" s="70" t="str">
        <f>IF(MaGic_AVM_Land!E2="Building Permit","Y","N")</f>
        <v>N</v>
      </c>
      <c r="F2" s="70" t="str">
        <f>IF(MaGic_AVM_Land!F2="Building Permit","Y","N")</f>
        <v>N</v>
      </c>
      <c r="G2" s="70" t="str">
        <f>IF(MaGic_AVM_Land!G2="Building Permit","Y","N")</f>
        <v>N</v>
      </c>
      <c r="H2" s="70" t="str">
        <f>IF(MaGic_AVM_Land!H2="Building Permit","Y","N")</f>
        <v>N</v>
      </c>
      <c r="I2" s="70" t="str">
        <f>IF(MaGic_AVM_Land!I2="Building Permit","Y","N")</f>
        <v>N</v>
      </c>
      <c r="J2" s="70" t="str">
        <f>IF(MaGic_AVM_Land!J2="Building Permit","Y","N")</f>
        <v>N</v>
      </c>
      <c r="K2" s="70" t="str">
        <f>IF(MaGic_AVM_Land!K2="Building Permit","Y","N")</f>
        <v>N</v>
      </c>
      <c r="L2" s="70" t="str">
        <f>IF(MaGic_AVM_Land!L2="Building Permit","Y","N")</f>
        <v>N</v>
      </c>
      <c r="M2" s="70" t="str">
        <f>IF(MaGic_AVM_Land!M2="Building Permit","Y","N")</f>
        <v>N</v>
      </c>
      <c r="N2" s="70" t="str">
        <f>IF(MaGic_AVM_Land!N2="Building Permit","Y","N")</f>
        <v>N</v>
      </c>
      <c r="O2" s="70" t="str">
        <f>IF(MaGic_AVM_Land!O2="Building Permit","Y","N")</f>
        <v>N</v>
      </c>
      <c r="P2" s="70" t="str">
        <f>IF(MaGic_AVM_Land!P2="Building Permit","Y","N")</f>
        <v>N</v>
      </c>
      <c r="Q2" s="70" t="str">
        <f>IF(MaGic_AVM_Land!Q2="Building Permit","Y","N")</f>
        <v>N</v>
      </c>
      <c r="R2" s="70" t="str">
        <f>IF(MaGic_AVM_Land!R2="Building Permit","Y","N")</f>
        <v>N</v>
      </c>
      <c r="S2" s="70" t="str">
        <f>IF(MaGic_AVM_Land!S2="Building Permit","Y","N")</f>
        <v>N</v>
      </c>
      <c r="T2" s="70" t="str">
        <f>IF(MaGic_AVM_Land!T2="Building Permit","Y","N")</f>
        <v>N</v>
      </c>
      <c r="U2" s="70" t="str">
        <f>IF(MaGic_AVM_Land!U2="Building Permit","Y","N")</f>
        <v>N</v>
      </c>
      <c r="V2" s="70" t="str">
        <f>IF(MaGic_AVM_Land!V2="Building Permit","Y","N")</f>
        <v>N</v>
      </c>
      <c r="W2" s="70" t="str">
        <f>IF(MaGic_AVM_Land!W2="Building Permit","Y","N")</f>
        <v>N</v>
      </c>
      <c r="X2" s="70" t="str">
        <f>IF(MaGic_AVM_Land!X2="Building Permit","Y","N")</f>
        <v>N</v>
      </c>
      <c r="Y2" s="70" t="str">
        <f>IF(MaGic_AVM_Land!Y2="Building Permit","Y","N")</f>
        <v>N</v>
      </c>
      <c r="Z2" s="70" t="str">
        <f>IF(MaGic_AVM_Land!Z2="Building Permit","Y","N")</f>
        <v>N</v>
      </c>
      <c r="AA2" s="69">
        <f>COUNTIF(C2:Z2,"Y")</f>
        <v>0</v>
      </c>
      <c r="AB2" s="69" t="str" cm="1">
        <f t="array" ref="AB2">_xlfn.UNIQUE(C2:Z2,TRUE,FALSE)</f>
        <v>N</v>
      </c>
    </row>
    <row r="3" spans="1:28">
      <c r="A3" s="70">
        <v>1</v>
      </c>
      <c r="B3" s="70" t="s">
        <v>48</v>
      </c>
      <c r="C3" s="70" t="str">
        <f>IF(C$2="Y",IF(MaGic_AVM_Land!C3=0,"",MaGic_AVM_Land!C3),"")</f>
        <v/>
      </c>
      <c r="D3" s="70" t="str">
        <f>IF(D$2="Y",IF(MaGic_AVM_Land!D3=0,"",MaGic_AVM_Land!D3),"")</f>
        <v/>
      </c>
      <c r="E3" s="70" t="str">
        <f>IF(E$2="Y",IF(MaGic_AVM_Land!E3=0,"",MaGic_AVM_Land!E3),"")</f>
        <v/>
      </c>
      <c r="F3" s="70" t="str">
        <f>IF(F$2="Y",IF(MaGic_AVM_Land!F3=0,"",MaGic_AVM_Land!F3),"")</f>
        <v/>
      </c>
      <c r="G3" s="70" t="str">
        <f>IF(G$2="Y",IF(MaGic_AVM_Land!G3=0,"",MaGic_AVM_Land!G3),"")</f>
        <v/>
      </c>
      <c r="H3" s="70" t="str">
        <f>IF(H$2="Y",IF(MaGic_AVM_Land!H3=0,"",MaGic_AVM_Land!H3),"")</f>
        <v/>
      </c>
      <c r="I3" s="70" t="str">
        <f>IF(I$2="Y",IF(MaGic_AVM_Land!I3=0,"",MaGic_AVM_Land!I3),"")</f>
        <v/>
      </c>
      <c r="J3" s="70" t="str">
        <f>IF(J$2="Y",IF(MaGic_AVM_Land!J3=0,"",MaGic_AVM_Land!J3),"")</f>
        <v/>
      </c>
      <c r="K3" s="70" t="str">
        <f>IF(K$2="Y",IF(MaGic_AVM_Land!K3=0,"",MaGic_AVM_Land!K3),"")</f>
        <v/>
      </c>
      <c r="L3" s="70" t="str">
        <f>IF(L$2="Y",IF(MaGic_AVM_Land!L3=0,"",MaGic_AVM_Land!L3),"")</f>
        <v/>
      </c>
      <c r="M3" s="70" t="str">
        <f>IF(M$2="Y",IF(MaGic_AVM_Land!M3=0,"",MaGic_AVM_Land!M3),"")</f>
        <v/>
      </c>
      <c r="N3" s="70" t="str">
        <f>IF(N$2="Y",IF(MaGic_AVM_Land!N3=0,"",MaGic_AVM_Land!N3),"")</f>
        <v/>
      </c>
      <c r="O3" s="70" t="str">
        <f>IF(O$2="Y",IF(MaGic_AVM_Land!O3=0,"",MaGic_AVM_Land!O3),"")</f>
        <v/>
      </c>
      <c r="P3" s="70" t="str">
        <f>IF(P$2="Y",IF(MaGic_AVM_Land!P3=0,"",MaGic_AVM_Land!P3),"")</f>
        <v/>
      </c>
      <c r="Q3" s="70" t="str">
        <f>IF(Q$2="Y",IF(MaGic_AVM_Land!Q3=0,"",MaGic_AVM_Land!Q3),"")</f>
        <v/>
      </c>
      <c r="R3" s="70" t="str">
        <f>IF(R$2="Y",IF(MaGic_AVM_Land!R3=0,"",MaGic_AVM_Land!R3),"")</f>
        <v/>
      </c>
      <c r="S3" s="70" t="str">
        <f>IF(S$2="Y",IF(MaGic_AVM_Land!S3=0,"",MaGic_AVM_Land!S3),"")</f>
        <v/>
      </c>
      <c r="T3" s="70" t="str">
        <f>IF(T$2="Y",IF(MaGic_AVM_Land!T3=0,"",MaGic_AVM_Land!T3),"")</f>
        <v/>
      </c>
      <c r="U3" s="70" t="str">
        <f>IF(U$2="Y",IF(MaGic_AVM_Land!U3=0,"",MaGic_AVM_Land!U3),"")</f>
        <v/>
      </c>
      <c r="V3" s="70" t="str">
        <f>IF(V$2="Y",IF(MaGic_AVM_Land!V3=0,"",MaGic_AVM_Land!V3),"")</f>
        <v/>
      </c>
      <c r="W3" s="70" t="str">
        <f>IF(W$2="Y",IF(MaGic_AVM_Land!W3=0,"",MaGic_AVM_Land!W3),"")</f>
        <v/>
      </c>
      <c r="X3" s="70" t="str">
        <f>IF(X$2="Y",IF(MaGic_AVM_Land!X3=0,"",MaGic_AVM_Land!X3),"")</f>
        <v/>
      </c>
      <c r="Y3" s="70" t="str">
        <f>IF(Y$2="Y",IF(MaGic_AVM_Land!Y3=0,"",MaGic_AVM_Land!Y3),"")</f>
        <v/>
      </c>
      <c r="Z3" s="70" t="str">
        <f>IF(Z$2="Y",IF(MaGic_AVM_Land!Z3=0,"",MaGic_AVM_Land!Z3),"")</f>
        <v/>
      </c>
      <c r="AA3" s="69" t="str">
        <f t="shared" ref="AA3:AA7" si="0">_xlfn.TEXTJOIN(", ",TRUE,AB3:AZ3)</f>
        <v/>
      </c>
      <c r="AB3" s="69" t="str" cm="1">
        <f t="array" ref="AB3">_xlfn.UNIQUE(C3:Z3,TRUE,FALSE)</f>
        <v/>
      </c>
    </row>
    <row r="4" spans="1:28">
      <c r="A4" s="70">
        <v>2</v>
      </c>
      <c r="B4" s="70" t="s">
        <v>51</v>
      </c>
      <c r="C4" s="70" t="str">
        <f>IF(C$2="Y",IF(MaGic_AVM_Land!C4=0,"",MaGic_AVM_Land!C4),"")</f>
        <v/>
      </c>
      <c r="D4" s="70" t="str">
        <f>IF(D$2="Y",IF(MaGic_AVM_Land!D4=0,"",MaGic_AVM_Land!D4),"")</f>
        <v/>
      </c>
      <c r="E4" s="70" t="str">
        <f>IF(E$2="Y",IF(MaGic_AVM_Land!E4=0,"",MaGic_AVM_Land!E4),"")</f>
        <v/>
      </c>
      <c r="F4" s="70" t="str">
        <f>IF(F$2="Y",IF(MaGic_AVM_Land!F4=0,"",MaGic_AVM_Land!F4),"")</f>
        <v/>
      </c>
      <c r="G4" s="70" t="str">
        <f>IF(G$2="Y",IF(MaGic_AVM_Land!G4=0,"",MaGic_AVM_Land!G4),"")</f>
        <v/>
      </c>
      <c r="H4" s="70" t="str">
        <f>IF(H$2="Y",IF(MaGic_AVM_Land!H4=0,"",MaGic_AVM_Land!H4),"")</f>
        <v/>
      </c>
      <c r="I4" s="70" t="str">
        <f>IF(I$2="Y",IF(MaGic_AVM_Land!I4=0,"",MaGic_AVM_Land!I4),"")</f>
        <v/>
      </c>
      <c r="J4" s="70" t="str">
        <f>IF(J$2="Y",IF(MaGic_AVM_Land!J4=0,"",MaGic_AVM_Land!J4),"")</f>
        <v/>
      </c>
      <c r="K4" s="70" t="str">
        <f>IF(K$2="Y",IF(MaGic_AVM_Land!K4=0,"",MaGic_AVM_Land!K4),"")</f>
        <v/>
      </c>
      <c r="L4" s="70" t="str">
        <f>IF(L$2="Y",IF(MaGic_AVM_Land!L4=0,"",MaGic_AVM_Land!L4),"")</f>
        <v/>
      </c>
      <c r="M4" s="70" t="str">
        <f>IF(M$2="Y",IF(MaGic_AVM_Land!M4=0,"",MaGic_AVM_Land!M4),"")</f>
        <v/>
      </c>
      <c r="N4" s="70" t="str">
        <f>IF(N$2="Y",IF(MaGic_AVM_Land!N4=0,"",MaGic_AVM_Land!N4),"")</f>
        <v/>
      </c>
      <c r="O4" s="70" t="str">
        <f>IF(O$2="Y",IF(MaGic_AVM_Land!O4=0,"",MaGic_AVM_Land!O4),"")</f>
        <v/>
      </c>
      <c r="P4" s="70" t="str">
        <f>IF(P$2="Y",IF(MaGic_AVM_Land!P4=0,"",MaGic_AVM_Land!P4),"")</f>
        <v/>
      </c>
      <c r="Q4" s="70" t="str">
        <f>IF(Q$2="Y",IF(MaGic_AVM_Land!Q4=0,"",MaGic_AVM_Land!Q4),"")</f>
        <v/>
      </c>
      <c r="R4" s="70" t="str">
        <f>IF(R$2="Y",IF(MaGic_AVM_Land!R4=0,"",MaGic_AVM_Land!R4),"")</f>
        <v/>
      </c>
      <c r="S4" s="70" t="str">
        <f>IF(S$2="Y",IF(MaGic_AVM_Land!S4=0,"",MaGic_AVM_Land!S4),"")</f>
        <v/>
      </c>
      <c r="T4" s="70" t="str">
        <f>IF(T$2="Y",IF(MaGic_AVM_Land!T4=0,"",MaGic_AVM_Land!T4),"")</f>
        <v/>
      </c>
      <c r="U4" s="70" t="str">
        <f>IF(U$2="Y",IF(MaGic_AVM_Land!U4=0,"",MaGic_AVM_Land!U4),"")</f>
        <v/>
      </c>
      <c r="V4" s="70" t="str">
        <f>IF(V$2="Y",IF(MaGic_AVM_Land!V4=0,"",MaGic_AVM_Land!V4),"")</f>
        <v/>
      </c>
      <c r="W4" s="70" t="str">
        <f>IF(W$2="Y",IF(MaGic_AVM_Land!W4=0,"",MaGic_AVM_Land!W4),"")</f>
        <v/>
      </c>
      <c r="X4" s="70" t="str">
        <f>IF(X$2="Y",IF(MaGic_AVM_Land!X4=0,"",MaGic_AVM_Land!X4),"")</f>
        <v/>
      </c>
      <c r="Y4" s="70" t="str">
        <f>IF(Y$2="Y",IF(MaGic_AVM_Land!Y4=0,"",MaGic_AVM_Land!Y4),"")</f>
        <v/>
      </c>
      <c r="Z4" s="70" t="str">
        <f>IF(Z$2="Y",IF(MaGic_AVM_Land!Z4=0,"",MaGic_AVM_Land!Z4),"")</f>
        <v/>
      </c>
      <c r="AA4" s="69" t="str">
        <f t="shared" si="0"/>
        <v/>
      </c>
      <c r="AB4" s="69" t="str" cm="1">
        <f t="array" ref="AB4">_xlfn.UNIQUE(C4:Z4,TRUE,FALSE)</f>
        <v/>
      </c>
    </row>
    <row r="5" spans="1:28">
      <c r="A5" s="70">
        <v>3</v>
      </c>
      <c r="B5" s="70" t="s">
        <v>52</v>
      </c>
      <c r="C5" s="70" t="str">
        <f>IF(C$2="Y",IF(MaGic_AVM_Land!C5=0,"",MaGic_AVM_Land!C5),"")</f>
        <v/>
      </c>
      <c r="D5" s="70" t="str">
        <f>IF(D$2="Y",IF(MaGic_AVM_Land!D5=0,"",MaGic_AVM_Land!D5),"")</f>
        <v/>
      </c>
      <c r="E5" s="70" t="str">
        <f>IF(E$2="Y",IF(MaGic_AVM_Land!E5=0,"",MaGic_AVM_Land!E5),"")</f>
        <v/>
      </c>
      <c r="F5" s="70" t="str">
        <f>IF(F$2="Y",IF(MaGic_AVM_Land!F5=0,"",MaGic_AVM_Land!F5),"")</f>
        <v/>
      </c>
      <c r="G5" s="70" t="str">
        <f>IF(G$2="Y",IF(MaGic_AVM_Land!G5=0,"",MaGic_AVM_Land!G5),"")</f>
        <v/>
      </c>
      <c r="H5" s="70" t="str">
        <f>IF(H$2="Y",IF(MaGic_AVM_Land!H5=0,"",MaGic_AVM_Land!H5),"")</f>
        <v/>
      </c>
      <c r="I5" s="70" t="str">
        <f>IF(I$2="Y",IF(MaGic_AVM_Land!I5=0,"",MaGic_AVM_Land!I5),"")</f>
        <v/>
      </c>
      <c r="J5" s="70" t="str">
        <f>IF(J$2="Y",IF(MaGic_AVM_Land!J5=0,"",MaGic_AVM_Land!J5),"")</f>
        <v/>
      </c>
      <c r="K5" s="70" t="str">
        <f>IF(K$2="Y",IF(MaGic_AVM_Land!K5=0,"",MaGic_AVM_Land!K5),"")</f>
        <v/>
      </c>
      <c r="L5" s="70" t="str">
        <f>IF(L$2="Y",IF(MaGic_AVM_Land!L5=0,"",MaGic_AVM_Land!L5),"")</f>
        <v/>
      </c>
      <c r="M5" s="70" t="str">
        <f>IF(M$2="Y",IF(MaGic_AVM_Land!M5=0,"",MaGic_AVM_Land!M5),"")</f>
        <v/>
      </c>
      <c r="N5" s="70" t="str">
        <f>IF(N$2="Y",IF(MaGic_AVM_Land!N5=0,"",MaGic_AVM_Land!N5),"")</f>
        <v/>
      </c>
      <c r="O5" s="70" t="str">
        <f>IF(O$2="Y",IF(MaGic_AVM_Land!O5=0,"",MaGic_AVM_Land!O5),"")</f>
        <v/>
      </c>
      <c r="P5" s="70" t="str">
        <f>IF(P$2="Y",IF(MaGic_AVM_Land!P5=0,"",MaGic_AVM_Land!P5),"")</f>
        <v/>
      </c>
      <c r="Q5" s="70" t="str">
        <f>IF(Q$2="Y",IF(MaGic_AVM_Land!Q5=0,"",MaGic_AVM_Land!Q5),"")</f>
        <v/>
      </c>
      <c r="R5" s="70" t="str">
        <f>IF(R$2="Y",IF(MaGic_AVM_Land!R5=0,"",MaGic_AVM_Land!R5),"")</f>
        <v/>
      </c>
      <c r="S5" s="70" t="str">
        <f>IF(S$2="Y",IF(MaGic_AVM_Land!S5=0,"",MaGic_AVM_Land!S5),"")</f>
        <v/>
      </c>
      <c r="T5" s="70" t="str">
        <f>IF(T$2="Y",IF(MaGic_AVM_Land!T5=0,"",MaGic_AVM_Land!T5),"")</f>
        <v/>
      </c>
      <c r="U5" s="70" t="str">
        <f>IF(U$2="Y",IF(MaGic_AVM_Land!U5=0,"",MaGic_AVM_Land!U5),"")</f>
        <v/>
      </c>
      <c r="V5" s="70" t="str">
        <f>IF(V$2="Y",IF(MaGic_AVM_Land!V5=0,"",MaGic_AVM_Land!V5),"")</f>
        <v/>
      </c>
      <c r="W5" s="70" t="str">
        <f>IF(W$2="Y",IF(MaGic_AVM_Land!W5=0,"",MaGic_AVM_Land!W5),"")</f>
        <v/>
      </c>
      <c r="X5" s="70" t="str">
        <f>IF(X$2="Y",IF(MaGic_AVM_Land!X5=0,"",MaGic_AVM_Land!X5),"")</f>
        <v/>
      </c>
      <c r="Y5" s="70" t="str">
        <f>IF(Y$2="Y",IF(MaGic_AVM_Land!Y5=0,"",MaGic_AVM_Land!Y5),"")</f>
        <v/>
      </c>
      <c r="Z5" s="70" t="str">
        <f>IF(Z$2="Y",IF(MaGic_AVM_Land!Z5=0,"",MaGic_AVM_Land!Z5),"")</f>
        <v/>
      </c>
      <c r="AA5" s="69" t="str">
        <f t="shared" si="0"/>
        <v/>
      </c>
      <c r="AB5" s="69" t="str" cm="1">
        <f t="array" ref="AB5">_xlfn.UNIQUE(C5:Z5,TRUE,FALSE)</f>
        <v/>
      </c>
    </row>
    <row r="6" spans="1:28">
      <c r="A6" s="70">
        <v>4</v>
      </c>
      <c r="B6" s="70" t="s">
        <v>1101</v>
      </c>
      <c r="C6" s="70" t="str">
        <f>IF(C$2="Y",IF(MaGic_AVM_Land!C6=0,"",MaGic_AVM_Land!C6),"")</f>
        <v/>
      </c>
      <c r="D6" s="70" t="str">
        <f>IF(D$2="Y",IF(MaGic_AVM_Land!D6=0,"",MaGic_AVM_Land!D6),"")</f>
        <v/>
      </c>
      <c r="E6" s="70" t="str">
        <f>IF(E$2="Y",IF(MaGic_AVM_Land!E6=0,"",MaGic_AVM_Land!E6),"")</f>
        <v/>
      </c>
      <c r="F6" s="70" t="str">
        <f>IF(F$2="Y",IF(MaGic_AVM_Land!F6=0,"",MaGic_AVM_Land!F6),"")</f>
        <v/>
      </c>
      <c r="G6" s="70" t="str">
        <f>IF(G$2="Y",IF(MaGic_AVM_Land!G6=0,"",MaGic_AVM_Land!G6),"")</f>
        <v/>
      </c>
      <c r="H6" s="70" t="str">
        <f>IF(H$2="Y",IF(MaGic_AVM_Land!H6=0,"",MaGic_AVM_Land!H6),"")</f>
        <v/>
      </c>
      <c r="I6" s="70" t="str">
        <f>IF(I$2="Y",IF(MaGic_AVM_Land!I6=0,"",MaGic_AVM_Land!I6),"")</f>
        <v/>
      </c>
      <c r="J6" s="70" t="str">
        <f>IF(J$2="Y",IF(MaGic_AVM_Land!J6=0,"",MaGic_AVM_Land!J6),"")</f>
        <v/>
      </c>
      <c r="K6" s="70" t="str">
        <f>IF(K$2="Y",IF(MaGic_AVM_Land!K6=0,"",MaGic_AVM_Land!K6),"")</f>
        <v/>
      </c>
      <c r="L6" s="70" t="str">
        <f>IF(L$2="Y",IF(MaGic_AVM_Land!L6=0,"",MaGic_AVM_Land!L6),"")</f>
        <v/>
      </c>
      <c r="M6" s="70" t="str">
        <f>IF(M$2="Y",IF(MaGic_AVM_Land!M6=0,"",MaGic_AVM_Land!M6),"")</f>
        <v/>
      </c>
      <c r="N6" s="70" t="str">
        <f>IF(N$2="Y",IF(MaGic_AVM_Land!N6=0,"",MaGic_AVM_Land!N6),"")</f>
        <v/>
      </c>
      <c r="O6" s="70" t="str">
        <f>IF(O$2="Y",IF(MaGic_AVM_Land!O6=0,"",MaGic_AVM_Land!O6),"")</f>
        <v/>
      </c>
      <c r="P6" s="70" t="str">
        <f>IF(P$2="Y",IF(MaGic_AVM_Land!P6=0,"",MaGic_AVM_Land!P6),"")</f>
        <v/>
      </c>
      <c r="Q6" s="70" t="str">
        <f>IF(Q$2="Y",IF(MaGic_AVM_Land!Q6=0,"",MaGic_AVM_Land!Q6),"")</f>
        <v/>
      </c>
      <c r="R6" s="70" t="str">
        <f>IF(R$2="Y",IF(MaGic_AVM_Land!R6=0,"",MaGic_AVM_Land!R6),"")</f>
        <v/>
      </c>
      <c r="S6" s="70" t="str">
        <f>IF(S$2="Y",IF(MaGic_AVM_Land!S6=0,"",MaGic_AVM_Land!S6),"")</f>
        <v/>
      </c>
      <c r="T6" s="70" t="str">
        <f>IF(T$2="Y",IF(MaGic_AVM_Land!T6=0,"",MaGic_AVM_Land!T6),"")</f>
        <v/>
      </c>
      <c r="U6" s="70" t="str">
        <f>IF(U$2="Y",IF(MaGic_AVM_Land!U6=0,"",MaGic_AVM_Land!U6),"")</f>
        <v/>
      </c>
      <c r="V6" s="70" t="str">
        <f>IF(V$2="Y",IF(MaGic_AVM_Land!V6=0,"",MaGic_AVM_Land!V6),"")</f>
        <v/>
      </c>
      <c r="W6" s="70" t="str">
        <f>IF(W$2="Y",IF(MaGic_AVM_Land!W6=0,"",MaGic_AVM_Land!W6),"")</f>
        <v/>
      </c>
      <c r="X6" s="70" t="str">
        <f>IF(X$2="Y",IF(MaGic_AVM_Land!X6=0,"",MaGic_AVM_Land!X6),"")</f>
        <v/>
      </c>
      <c r="Y6" s="70" t="str">
        <f>IF(Y$2="Y",IF(MaGic_AVM_Land!Y6=0,"",MaGic_AVM_Land!Y6),"")</f>
        <v/>
      </c>
      <c r="Z6" s="70" t="str">
        <f>IF(Z$2="Y",IF(MaGic_AVM_Land!Z6=0,"",MaGic_AVM_Land!Z6),"")</f>
        <v/>
      </c>
      <c r="AA6" s="69" t="str">
        <f t="shared" si="0"/>
        <v/>
      </c>
      <c r="AB6" s="69" t="s">
        <v>1125</v>
      </c>
    </row>
    <row r="7" spans="1:28">
      <c r="A7" s="70">
        <v>2</v>
      </c>
      <c r="B7" s="70" t="s">
        <v>1102</v>
      </c>
      <c r="C7" s="70" t="str">
        <f>IF(C$2="Y",IF(MaGic_AVM_Land!C7=0,"",MaGic_AVM_Land!C7),"")</f>
        <v/>
      </c>
      <c r="D7" s="70" t="str">
        <f>IF(D$2="Y",IF(MaGic_AVM_Land!D7=0,"",MaGic_AVM_Land!D7),"")</f>
        <v/>
      </c>
      <c r="E7" s="70" t="str">
        <f>IF(E$2="Y",IF(MaGic_AVM_Land!E7=0,"",MaGic_AVM_Land!E7),"")</f>
        <v/>
      </c>
      <c r="F7" s="70" t="str">
        <f>IF(F$2="Y",IF(MaGic_AVM_Land!F7=0,"",MaGic_AVM_Land!F7),"")</f>
        <v/>
      </c>
      <c r="G7" s="70" t="str">
        <f>IF(G$2="Y",IF(MaGic_AVM_Land!G7=0,"",MaGic_AVM_Land!G7),"")</f>
        <v/>
      </c>
      <c r="H7" s="70" t="str">
        <f>IF(H$2="Y",IF(MaGic_AVM_Land!H7=0,"",MaGic_AVM_Land!H7),"")</f>
        <v/>
      </c>
      <c r="I7" s="70" t="str">
        <f>IF(I$2="Y",IF(MaGic_AVM_Land!I7=0,"",MaGic_AVM_Land!I7),"")</f>
        <v/>
      </c>
      <c r="J7" s="70" t="str">
        <f>IF(J$2="Y",IF(MaGic_AVM_Land!J7=0,"",MaGic_AVM_Land!J7),"")</f>
        <v/>
      </c>
      <c r="K7" s="70" t="str">
        <f>IF(K$2="Y",IF(MaGic_AVM_Land!K7=0,"",MaGic_AVM_Land!K7),"")</f>
        <v/>
      </c>
      <c r="L7" s="70" t="str">
        <f>IF(L$2="Y",IF(MaGic_AVM_Land!L7=0,"",MaGic_AVM_Land!L7),"")</f>
        <v/>
      </c>
      <c r="M7" s="70" t="str">
        <f>IF(M$2="Y",IF(MaGic_AVM_Land!M7=0,"",MaGic_AVM_Land!M7),"")</f>
        <v/>
      </c>
      <c r="N7" s="70" t="str">
        <f>IF(N$2="Y",IF(MaGic_AVM_Land!N7=0,"",MaGic_AVM_Land!N7),"")</f>
        <v/>
      </c>
      <c r="O7" s="70" t="str">
        <f>IF(O$2="Y",IF(MaGic_AVM_Land!O7=0,"",MaGic_AVM_Land!O7),"")</f>
        <v/>
      </c>
      <c r="P7" s="70" t="str">
        <f>IF(P$2="Y",IF(MaGic_AVM_Land!P7=0,"",MaGic_AVM_Land!P7),"")</f>
        <v/>
      </c>
      <c r="Q7" s="70" t="str">
        <f>IF(Q$2="Y",IF(MaGic_AVM_Land!Q7=0,"",MaGic_AVM_Land!Q7),"")</f>
        <v/>
      </c>
      <c r="R7" s="70" t="str">
        <f>IF(R$2="Y",IF(MaGic_AVM_Land!R7=0,"",MaGic_AVM_Land!R7),"")</f>
        <v/>
      </c>
      <c r="S7" s="70" t="str">
        <f>IF(S$2="Y",IF(MaGic_AVM_Land!S7=0,"",MaGic_AVM_Land!S7),"")</f>
        <v/>
      </c>
      <c r="T7" s="70" t="str">
        <f>IF(T$2="Y",IF(MaGic_AVM_Land!T7=0,"",MaGic_AVM_Land!T7),"")</f>
        <v/>
      </c>
      <c r="U7" s="70" t="str">
        <f>IF(U$2="Y",IF(MaGic_AVM_Land!U7=0,"",MaGic_AVM_Land!U7),"")</f>
        <v/>
      </c>
      <c r="V7" s="70" t="str">
        <f>IF(V$2="Y",IF(MaGic_AVM_Land!V7=0,"",MaGic_AVM_Land!V7),"")</f>
        <v/>
      </c>
      <c r="W7" s="70" t="str">
        <f>IF(W$2="Y",IF(MaGic_AVM_Land!W7=0,"",MaGic_AVM_Land!W7),"")</f>
        <v/>
      </c>
      <c r="X7" s="70" t="str">
        <f>IF(X$2="Y",IF(MaGic_AVM_Land!X7=0,"",MaGic_AVM_Land!X7),"")</f>
        <v/>
      </c>
      <c r="Y7" s="70" t="str">
        <f>IF(Y$2="Y",IF(MaGic_AVM_Land!Y7=0,"",MaGic_AVM_Land!Y7),"")</f>
        <v/>
      </c>
      <c r="Z7" s="70" t="str">
        <f>IF(Z$2="Y",IF(MaGic_AVM_Land!Z7=0,"",MaGic_AVM_Land!Z7),"")</f>
        <v/>
      </c>
      <c r="AA7" s="69" t="str">
        <f t="shared" si="0"/>
        <v/>
      </c>
      <c r="AB7" s="69" t="str" cm="1">
        <f t="array" ref="AB7">_xlfn.UNIQUE(C7:Z7,TRUE,FALSE)</f>
        <v/>
      </c>
    </row>
    <row r="8" spans="1:28">
      <c r="A8" s="70">
        <v>6</v>
      </c>
      <c r="B8" s="70" t="s">
        <v>31</v>
      </c>
      <c r="C8" s="70" t="str">
        <f>IF(C$2="Y",IF(MaGic_AVM_Land!C8=0,"",MaGic_AVM_Land!C8),"")</f>
        <v/>
      </c>
      <c r="D8" s="70" t="str">
        <f>IF(D$2="Y",IF(MaGic_AVM_Land!D8=0,"",MaGic_AVM_Land!D8),"")</f>
        <v/>
      </c>
      <c r="E8" s="70" t="str">
        <f>IF(E$2="Y",IF(MaGic_AVM_Land!E8=0,"",MaGic_AVM_Land!E8),"")</f>
        <v/>
      </c>
      <c r="F8" s="70" t="str">
        <f>IF(F$2="Y",IF(MaGic_AVM_Land!F8=0,"",MaGic_AVM_Land!F8),"")</f>
        <v/>
      </c>
      <c r="G8" s="70" t="str">
        <f>IF(G$2="Y",IF(MaGic_AVM_Land!G8=0,"",MaGic_AVM_Land!G8),"")</f>
        <v/>
      </c>
      <c r="H8" s="70" t="str">
        <f>IF(H$2="Y",IF(MaGic_AVM_Land!H8=0,"",MaGic_AVM_Land!H8),"")</f>
        <v/>
      </c>
      <c r="I8" s="70" t="str">
        <f>IF(I$2="Y",IF(MaGic_AVM_Land!I8=0,"",MaGic_AVM_Land!I8),"")</f>
        <v/>
      </c>
      <c r="J8" s="70" t="str">
        <f>IF(J$2="Y",IF(MaGic_AVM_Land!J8=0,"",MaGic_AVM_Land!J8),"")</f>
        <v/>
      </c>
      <c r="K8" s="70" t="str">
        <f>IF(K$2="Y",IF(MaGic_AVM_Land!K8=0,"",MaGic_AVM_Land!K8),"")</f>
        <v/>
      </c>
      <c r="L8" s="70" t="str">
        <f>IF(L$2="Y",IF(MaGic_AVM_Land!L8=0,"",MaGic_AVM_Land!L8),"")</f>
        <v/>
      </c>
      <c r="M8" s="70" t="str">
        <f>IF(M$2="Y",IF(MaGic_AVM_Land!M8=0,"",MaGic_AVM_Land!M8),"")</f>
        <v/>
      </c>
      <c r="N8" s="70" t="str">
        <f>IF(N$2="Y",IF(MaGic_AVM_Land!N8=0,"",MaGic_AVM_Land!N8),"")</f>
        <v/>
      </c>
      <c r="O8" s="70" t="str">
        <f>IF(O$2="Y",IF(MaGic_AVM_Land!O8=0,"",MaGic_AVM_Land!O8),"")</f>
        <v/>
      </c>
      <c r="P8" s="70" t="str">
        <f>IF(P$2="Y",IF(MaGic_AVM_Land!P8=0,"",MaGic_AVM_Land!P8),"")</f>
        <v/>
      </c>
      <c r="Q8" s="70" t="str">
        <f>IF(Q$2="Y",IF(MaGic_AVM_Land!Q8=0,"",MaGic_AVM_Land!Q8),"")</f>
        <v/>
      </c>
      <c r="R8" s="70" t="str">
        <f>IF(R$2="Y",IF(MaGic_AVM_Land!R8=0,"",MaGic_AVM_Land!R8),"")</f>
        <v/>
      </c>
      <c r="S8" s="70" t="str">
        <f>IF(S$2="Y",IF(MaGic_AVM_Land!S8=0,"",MaGic_AVM_Land!S8),"")</f>
        <v/>
      </c>
      <c r="T8" s="70" t="str">
        <f>IF(T$2="Y",IF(MaGic_AVM_Land!T8=0,"",MaGic_AVM_Land!T8),"")</f>
        <v/>
      </c>
      <c r="U8" s="70" t="str">
        <f>IF(U$2="Y",IF(MaGic_AVM_Land!U8=0,"",MaGic_AVM_Land!U8),"")</f>
        <v/>
      </c>
      <c r="V8" s="70" t="str">
        <f>IF(V$2="Y",IF(MaGic_AVM_Land!V8=0,"",MaGic_AVM_Land!V8),"")</f>
        <v/>
      </c>
      <c r="W8" s="70" t="str">
        <f>IF(W$2="Y",IF(MaGic_AVM_Land!W8=0,"",MaGic_AVM_Land!W8),"")</f>
        <v/>
      </c>
      <c r="X8" s="70" t="str">
        <f>IF(X$2="Y",IF(MaGic_AVM_Land!X8=0,"",MaGic_AVM_Land!X8),"")</f>
        <v/>
      </c>
      <c r="Y8" s="70" t="str">
        <f>IF(Y$2="Y",IF(MaGic_AVM_Land!Y8=0,"",MaGic_AVM_Land!Y8),"")</f>
        <v/>
      </c>
      <c r="Z8" s="70" t="str">
        <f>IF(Z$2="Y",IF(MaGic_AVM_Land!Z8=0,"",MaGic_AVM_Land!Z8),"")</f>
        <v/>
      </c>
      <c r="AA8" s="69" t="str">
        <f>CONCATENATE(IF(AB8="",AC8,AB8)," District")</f>
        <v>District</v>
      </c>
      <c r="AB8" s="69" t="str" cm="1">
        <f t="array" ref="AB8">_xlfn.UNIQUE(C8:Z8,TRUE,FALSE)</f>
        <v/>
      </c>
    </row>
    <row r="9" spans="1:28">
      <c r="A9" s="70">
        <v>7</v>
      </c>
      <c r="B9" s="70" t="s">
        <v>59</v>
      </c>
      <c r="C9" s="70" t="str">
        <f>IF(C$2="Y",IF(MaGic_AVM_Land!C9=0,"",MaGic_AVM_Land!C9),"")</f>
        <v/>
      </c>
      <c r="D9" s="70" t="str">
        <f>IF(D$2="Y",IF(MaGic_AVM_Land!D9=0,"",MaGic_AVM_Land!D9),"")</f>
        <v/>
      </c>
      <c r="E9" s="70" t="str">
        <f>IF(E$2="Y",IF(MaGic_AVM_Land!E9=0,"",MaGic_AVM_Land!E9),"")</f>
        <v/>
      </c>
      <c r="F9" s="70" t="str">
        <f>IF(F$2="Y",IF(MaGic_AVM_Land!F9=0,"",MaGic_AVM_Land!F9),"")</f>
        <v/>
      </c>
      <c r="G9" s="70" t="str">
        <f>IF(G$2="Y",IF(MaGic_AVM_Land!G9=0,"",MaGic_AVM_Land!G9),"")</f>
        <v/>
      </c>
      <c r="H9" s="70" t="str">
        <f>IF(H$2="Y",IF(MaGic_AVM_Land!H9=0,"",MaGic_AVM_Land!H9),"")</f>
        <v/>
      </c>
      <c r="I9" s="70" t="str">
        <f>IF(I$2="Y",IF(MaGic_AVM_Land!I9=0,"",MaGic_AVM_Land!I9),"")</f>
        <v/>
      </c>
      <c r="J9" s="70" t="str">
        <f>IF(J$2="Y",IF(MaGic_AVM_Land!J9=0,"",MaGic_AVM_Land!J9),"")</f>
        <v/>
      </c>
      <c r="K9" s="70" t="str">
        <f>IF(K$2="Y",IF(MaGic_AVM_Land!K9=0,"",MaGic_AVM_Land!K9),"")</f>
        <v/>
      </c>
      <c r="L9" s="70" t="str">
        <f>IF(L$2="Y",IF(MaGic_AVM_Land!L9=0,"",MaGic_AVM_Land!L9),"")</f>
        <v/>
      </c>
      <c r="M9" s="70" t="str">
        <f>IF(M$2="Y",IF(MaGic_AVM_Land!M9=0,"",MaGic_AVM_Land!M9),"")</f>
        <v/>
      </c>
      <c r="N9" s="70" t="str">
        <f>IF(N$2="Y",IF(MaGic_AVM_Land!N9=0,"",MaGic_AVM_Land!N9),"")</f>
        <v/>
      </c>
      <c r="O9" s="70" t="str">
        <f>IF(O$2="Y",IF(MaGic_AVM_Land!O9=0,"",MaGic_AVM_Land!O9),"")</f>
        <v/>
      </c>
      <c r="P9" s="70" t="str">
        <f>IF(P$2="Y",IF(MaGic_AVM_Land!P9=0,"",MaGic_AVM_Land!P9),"")</f>
        <v/>
      </c>
      <c r="Q9" s="70" t="str">
        <f>IF(Q$2="Y",IF(MaGic_AVM_Land!Q9=0,"",MaGic_AVM_Land!Q9),"")</f>
        <v/>
      </c>
      <c r="R9" s="70" t="str">
        <f>IF(R$2="Y",IF(MaGic_AVM_Land!R9=0,"",MaGic_AVM_Land!R9),"")</f>
        <v/>
      </c>
      <c r="S9" s="70" t="str">
        <f>IF(S$2="Y",IF(MaGic_AVM_Land!S9=0,"",MaGic_AVM_Land!S9),"")</f>
        <v/>
      </c>
      <c r="T9" s="70" t="str">
        <f>IF(T$2="Y",IF(MaGic_AVM_Land!T9=0,"",MaGic_AVM_Land!T9),"")</f>
        <v/>
      </c>
      <c r="U9" s="70" t="str">
        <f>IF(U$2="Y",IF(MaGic_AVM_Land!U9=0,"",MaGic_AVM_Land!U9),"")</f>
        <v/>
      </c>
      <c r="V9" s="70" t="str">
        <f>IF(V$2="Y",IF(MaGic_AVM_Land!V9=0,"",MaGic_AVM_Land!V9),"")</f>
        <v/>
      </c>
      <c r="W9" s="70" t="str">
        <f>IF(W$2="Y",IF(MaGic_AVM_Land!W9=0,"",MaGic_AVM_Land!W9),"")</f>
        <v/>
      </c>
      <c r="X9" s="70" t="str">
        <f>IF(X$2="Y",IF(MaGic_AVM_Land!X9=0,"",MaGic_AVM_Land!X9),"")</f>
        <v/>
      </c>
      <c r="Y9" s="70" t="str">
        <f>IF(Y$2="Y",IF(MaGic_AVM_Land!Y9=0,"",MaGic_AVM_Land!Y9),"")</f>
        <v/>
      </c>
      <c r="Z9" s="70" t="str">
        <f>IF(Z$2="Y",IF(MaGic_AVM_Land!Z9=0,"",MaGic_AVM_Land!Z9),"")</f>
        <v/>
      </c>
      <c r="AA9" s="69" t="str">
        <f>CONCATENATE(IF(AB9="",AC9,AB9)," SRO")</f>
        <v>SRO</v>
      </c>
      <c r="AB9" s="69" t="str" cm="1">
        <f t="array" ref="AB9">_xlfn.UNIQUE(C9:Z9,TRUE,FALSE)</f>
        <v/>
      </c>
    </row>
    <row r="10" spans="1:28">
      <c r="A10" s="70">
        <v>8</v>
      </c>
      <c r="B10" s="70" t="s">
        <v>61</v>
      </c>
      <c r="C10" s="70" t="str">
        <f>IF(C$2="Y",IF(MaGic_AVM_Land!C10=0,"",MaGic_AVM_Land!C10),"")</f>
        <v/>
      </c>
      <c r="D10" s="70" t="str">
        <f>IF(D$2="Y",IF(MaGic_AVM_Land!D10=0,"",MaGic_AVM_Land!D10),"")</f>
        <v/>
      </c>
      <c r="E10" s="70" t="str">
        <f>IF(E$2="Y",IF(MaGic_AVM_Land!E10=0,"",MaGic_AVM_Land!E10),"")</f>
        <v/>
      </c>
      <c r="F10" s="70" t="str">
        <f>IF(F$2="Y",IF(MaGic_AVM_Land!F10=0,"",MaGic_AVM_Land!F10),"")</f>
        <v/>
      </c>
      <c r="G10" s="70" t="str">
        <f>IF(G$2="Y",IF(MaGic_AVM_Land!G10=0,"",MaGic_AVM_Land!G10),"")</f>
        <v/>
      </c>
      <c r="H10" s="70" t="str">
        <f>IF(H$2="Y",IF(MaGic_AVM_Land!H10=0,"",MaGic_AVM_Land!H10),"")</f>
        <v/>
      </c>
      <c r="I10" s="70" t="str">
        <f>IF(I$2="Y",IF(MaGic_AVM_Land!I10=0,"",MaGic_AVM_Land!I10),"")</f>
        <v/>
      </c>
      <c r="J10" s="70" t="str">
        <f>IF(J$2="Y",IF(MaGic_AVM_Land!J10=0,"",MaGic_AVM_Land!J10),"")</f>
        <v/>
      </c>
      <c r="K10" s="70" t="str">
        <f>IF(K$2="Y",IF(MaGic_AVM_Land!K10=0,"",MaGic_AVM_Land!K10),"")</f>
        <v/>
      </c>
      <c r="L10" s="70" t="str">
        <f>IF(L$2="Y",IF(MaGic_AVM_Land!L10=0,"",MaGic_AVM_Land!L10),"")</f>
        <v/>
      </c>
      <c r="M10" s="70" t="str">
        <f>IF(M$2="Y",IF(MaGic_AVM_Land!M10=0,"",MaGic_AVM_Land!M10),"")</f>
        <v/>
      </c>
      <c r="N10" s="70" t="str">
        <f>IF(N$2="Y",IF(MaGic_AVM_Land!N10=0,"",MaGic_AVM_Land!N10),"")</f>
        <v/>
      </c>
      <c r="O10" s="70" t="str">
        <f>IF(O$2="Y",IF(MaGic_AVM_Land!O10=0,"",MaGic_AVM_Land!O10),"")</f>
        <v/>
      </c>
      <c r="P10" s="70" t="str">
        <f>IF(P$2="Y",IF(MaGic_AVM_Land!P10=0,"",MaGic_AVM_Land!P10),"")</f>
        <v/>
      </c>
      <c r="Q10" s="70" t="str">
        <f>IF(Q$2="Y",IF(MaGic_AVM_Land!Q10=0,"",MaGic_AVM_Land!Q10),"")</f>
        <v/>
      </c>
      <c r="R10" s="70" t="str">
        <f>IF(R$2="Y",IF(MaGic_AVM_Land!R10=0,"",MaGic_AVM_Land!R10),"")</f>
        <v/>
      </c>
      <c r="S10" s="70" t="str">
        <f>IF(S$2="Y",IF(MaGic_AVM_Land!S10=0,"",MaGic_AVM_Land!S10),"")</f>
        <v/>
      </c>
      <c r="T10" s="70" t="str">
        <f>IF(T$2="Y",IF(MaGic_AVM_Land!T10=0,"",MaGic_AVM_Land!T10),"")</f>
        <v/>
      </c>
      <c r="U10" s="70" t="str">
        <f>IF(U$2="Y",IF(MaGic_AVM_Land!U10=0,"",MaGic_AVM_Land!U10),"")</f>
        <v/>
      </c>
      <c r="V10" s="70" t="str">
        <f>IF(V$2="Y",IF(MaGic_AVM_Land!V10=0,"",MaGic_AVM_Land!V10),"")</f>
        <v/>
      </c>
      <c r="W10" s="70" t="str">
        <f>IF(W$2="Y",IF(MaGic_AVM_Land!W10=0,"",MaGic_AVM_Land!W10),"")</f>
        <v/>
      </c>
      <c r="X10" s="70" t="str">
        <f>IF(X$2="Y",IF(MaGic_AVM_Land!X10=0,"",MaGic_AVM_Land!X10),"")</f>
        <v/>
      </c>
      <c r="Y10" s="70" t="str">
        <f>IF(Y$2="Y",IF(MaGic_AVM_Land!Y10=0,"",MaGic_AVM_Land!Y10),"")</f>
        <v/>
      </c>
      <c r="Z10" s="70" t="str">
        <f>IF(Z$2="Y",IF(MaGic_AVM_Land!Z10=0,"",MaGic_AVM_Land!Z10),"")</f>
        <v/>
      </c>
      <c r="AA10" s="69" t="str">
        <f>CONCATENATE(IF(AB10="",AC10,AB10)," Taluk")</f>
        <v>Taluk</v>
      </c>
      <c r="AB10" s="69" t="str" cm="1">
        <f t="array" ref="AB10">_xlfn.UNIQUE(C10:Z10,TRUE,FALSE)</f>
        <v/>
      </c>
    </row>
    <row r="11" spans="1:28">
      <c r="A11" s="70">
        <v>9</v>
      </c>
      <c r="B11" s="70" t="s">
        <v>63</v>
      </c>
      <c r="C11" s="70" t="str">
        <f>IF(C$2="Y",IF(MaGic_AVM_Land!C11=0,"",MaGic_AVM_Land!C11),"")</f>
        <v/>
      </c>
      <c r="D11" s="70" t="str">
        <f>IF(D$2="Y",IF(MaGic_AVM_Land!D11=0,"",MaGic_AVM_Land!D11),"")</f>
        <v/>
      </c>
      <c r="E11" s="70" t="str">
        <f>IF(E$2="Y",IF(MaGic_AVM_Land!E11=0,"",MaGic_AVM_Land!E11),"")</f>
        <v/>
      </c>
      <c r="F11" s="70" t="str">
        <f>IF(F$2="Y",IF(MaGic_AVM_Land!F11=0,"",MaGic_AVM_Land!F11),"")</f>
        <v/>
      </c>
      <c r="G11" s="70" t="str">
        <f>IF(G$2="Y",IF(MaGic_AVM_Land!G11=0,"",MaGic_AVM_Land!G11),"")</f>
        <v/>
      </c>
      <c r="H11" s="70" t="str">
        <f>IF(H$2="Y",IF(MaGic_AVM_Land!H11=0,"",MaGic_AVM_Land!H11),"")</f>
        <v/>
      </c>
      <c r="I11" s="70" t="str">
        <f>IF(I$2="Y",IF(MaGic_AVM_Land!I11=0,"",MaGic_AVM_Land!I11),"")</f>
        <v/>
      </c>
      <c r="J11" s="70" t="str">
        <f>IF(J$2="Y",IF(MaGic_AVM_Land!J11=0,"",MaGic_AVM_Land!J11),"")</f>
        <v/>
      </c>
      <c r="K11" s="70" t="str">
        <f>IF(K$2="Y",IF(MaGic_AVM_Land!K11=0,"",MaGic_AVM_Land!K11),"")</f>
        <v/>
      </c>
      <c r="L11" s="70" t="str">
        <f>IF(L$2="Y",IF(MaGic_AVM_Land!L11=0,"",MaGic_AVM_Land!L11),"")</f>
        <v/>
      </c>
      <c r="M11" s="70" t="str">
        <f>IF(M$2="Y",IF(MaGic_AVM_Land!M11=0,"",MaGic_AVM_Land!M11),"")</f>
        <v/>
      </c>
      <c r="N11" s="70" t="str">
        <f>IF(N$2="Y",IF(MaGic_AVM_Land!N11=0,"",MaGic_AVM_Land!N11),"")</f>
        <v/>
      </c>
      <c r="O11" s="70" t="str">
        <f>IF(O$2="Y",IF(MaGic_AVM_Land!O11=0,"",MaGic_AVM_Land!O11),"")</f>
        <v/>
      </c>
      <c r="P11" s="70" t="str">
        <f>IF(P$2="Y",IF(MaGic_AVM_Land!P11=0,"",MaGic_AVM_Land!P11),"")</f>
        <v/>
      </c>
      <c r="Q11" s="70" t="str">
        <f>IF(Q$2="Y",IF(MaGic_AVM_Land!Q11=0,"",MaGic_AVM_Land!Q11),"")</f>
        <v/>
      </c>
      <c r="R11" s="70" t="str">
        <f>IF(R$2="Y",IF(MaGic_AVM_Land!R11=0,"",MaGic_AVM_Land!R11),"")</f>
        <v/>
      </c>
      <c r="S11" s="70" t="str">
        <f>IF(S$2="Y",IF(MaGic_AVM_Land!S11=0,"",MaGic_AVM_Land!S11),"")</f>
        <v/>
      </c>
      <c r="T11" s="70" t="str">
        <f>IF(T$2="Y",IF(MaGic_AVM_Land!T11=0,"",MaGic_AVM_Land!T11),"")</f>
        <v/>
      </c>
      <c r="U11" s="70" t="str">
        <f>IF(U$2="Y",IF(MaGic_AVM_Land!U11=0,"",MaGic_AVM_Land!U11),"")</f>
        <v/>
      </c>
      <c r="V11" s="70" t="str">
        <f>IF(V$2="Y",IF(MaGic_AVM_Land!V11=0,"",MaGic_AVM_Land!V11),"")</f>
        <v/>
      </c>
      <c r="W11" s="70" t="str">
        <f>IF(W$2="Y",IF(MaGic_AVM_Land!W11=0,"",MaGic_AVM_Land!W11),"")</f>
        <v/>
      </c>
      <c r="X11" s="70" t="str">
        <f>IF(X$2="Y",IF(MaGic_AVM_Land!X11=0,"",MaGic_AVM_Land!X11),"")</f>
        <v/>
      </c>
      <c r="Y11" s="70" t="str">
        <f>IF(Y$2="Y",IF(MaGic_AVM_Land!Y11=0,"",MaGic_AVM_Land!Y11),"")</f>
        <v/>
      </c>
      <c r="Z11" s="70" t="str">
        <f>IF(Z$2="Y",IF(MaGic_AVM_Land!Z11=0,"",MaGic_AVM_Land!Z11),"")</f>
        <v/>
      </c>
      <c r="AA11" s="69" t="str">
        <f>CONCATENATE(IF(AB11="",AC11,AB11)," Village")</f>
        <v>Village</v>
      </c>
      <c r="AB11" s="69" t="str" cm="1">
        <f t="array" ref="AB11">_xlfn.UNIQUE(C11:Z11,TRUE,FALSE)</f>
        <v/>
      </c>
    </row>
    <row r="12" spans="1:28">
      <c r="A12" s="70">
        <v>10</v>
      </c>
      <c r="B12" s="70" t="s">
        <v>65</v>
      </c>
      <c r="C12" s="70" t="str">
        <f>IF(C$2="Y",IF(MaGic_AVM_Land!C12=0,"",MaGic_AVM_Land!C12),"")</f>
        <v/>
      </c>
      <c r="D12" s="70" t="str">
        <f>IF(D$2="Y",IF(MaGic_AVM_Land!D12=0,"",MaGic_AVM_Land!D12),"")</f>
        <v/>
      </c>
      <c r="E12" s="70" t="str">
        <f>IF(E$2="Y",IF(MaGic_AVM_Land!E12=0,"",MaGic_AVM_Land!E12),"")</f>
        <v/>
      </c>
      <c r="F12" s="70" t="str">
        <f>IF(F$2="Y",IF(MaGic_AVM_Land!F12=0,"",MaGic_AVM_Land!F12),"")</f>
        <v/>
      </c>
      <c r="G12" s="70" t="str">
        <f>IF(G$2="Y",IF(MaGic_AVM_Land!G12=0,"",MaGic_AVM_Land!G12),"")</f>
        <v/>
      </c>
      <c r="H12" s="70" t="str">
        <f>IF(H$2="Y",IF(MaGic_AVM_Land!H12=0,"",MaGic_AVM_Land!H12),"")</f>
        <v/>
      </c>
      <c r="I12" s="70" t="str">
        <f>IF(I$2="Y",IF(MaGic_AVM_Land!I12=0,"",MaGic_AVM_Land!I12),"")</f>
        <v/>
      </c>
      <c r="J12" s="70" t="str">
        <f>IF(J$2="Y",IF(MaGic_AVM_Land!J12=0,"",MaGic_AVM_Land!J12),"")</f>
        <v/>
      </c>
      <c r="K12" s="70" t="str">
        <f>IF(K$2="Y",IF(MaGic_AVM_Land!K12=0,"",MaGic_AVM_Land!K12),"")</f>
        <v/>
      </c>
      <c r="L12" s="70" t="str">
        <f>IF(L$2="Y",IF(MaGic_AVM_Land!L12=0,"",MaGic_AVM_Land!L12),"")</f>
        <v/>
      </c>
      <c r="M12" s="70" t="str">
        <f>IF(M$2="Y",IF(MaGic_AVM_Land!M12=0,"",MaGic_AVM_Land!M12),"")</f>
        <v/>
      </c>
      <c r="N12" s="70" t="str">
        <f>IF(N$2="Y",IF(MaGic_AVM_Land!N12=0,"",MaGic_AVM_Land!N12),"")</f>
        <v/>
      </c>
      <c r="O12" s="70" t="str">
        <f>IF(O$2="Y",IF(MaGic_AVM_Land!O12=0,"",MaGic_AVM_Land!O12),"")</f>
        <v/>
      </c>
      <c r="P12" s="70" t="str">
        <f>IF(P$2="Y",IF(MaGic_AVM_Land!P12=0,"",MaGic_AVM_Land!P12),"")</f>
        <v/>
      </c>
      <c r="Q12" s="70" t="str">
        <f>IF(Q$2="Y",IF(MaGic_AVM_Land!Q12=0,"",MaGic_AVM_Land!Q12),"")</f>
        <v/>
      </c>
      <c r="R12" s="70" t="str">
        <f>IF(R$2="Y",IF(MaGic_AVM_Land!R12=0,"",MaGic_AVM_Land!R12),"")</f>
        <v/>
      </c>
      <c r="S12" s="70" t="str">
        <f>IF(S$2="Y",IF(MaGic_AVM_Land!S12=0,"",MaGic_AVM_Land!S12),"")</f>
        <v/>
      </c>
      <c r="T12" s="70" t="str">
        <f>IF(T$2="Y",IF(MaGic_AVM_Land!T12=0,"",MaGic_AVM_Land!T12),"")</f>
        <v/>
      </c>
      <c r="U12" s="70" t="str">
        <f>IF(U$2="Y",IF(MaGic_AVM_Land!U12=0,"",MaGic_AVM_Land!U12),"")</f>
        <v/>
      </c>
      <c r="V12" s="70" t="str">
        <f>IF(V$2="Y",IF(MaGic_AVM_Land!V12=0,"",MaGic_AVM_Land!V12),"")</f>
        <v/>
      </c>
      <c r="W12" s="70" t="str">
        <f>IF(W$2="Y",IF(MaGic_AVM_Land!W12=0,"",MaGic_AVM_Land!W12),"")</f>
        <v/>
      </c>
      <c r="X12" s="70" t="str">
        <f>IF(X$2="Y",IF(MaGic_AVM_Land!X12=0,"",MaGic_AVM_Land!X12),"")</f>
        <v/>
      </c>
      <c r="Y12" s="70" t="str">
        <f>IF(Y$2="Y",IF(MaGic_AVM_Land!Y12=0,"",MaGic_AVM_Land!Y12),"")</f>
        <v/>
      </c>
      <c r="Z12" s="70" t="str">
        <f>IF(Z$2="Y",IF(MaGic_AVM_Land!Z12=0,"",MaGic_AVM_Land!Z12),"")</f>
        <v/>
      </c>
      <c r="AA12" s="69" t="str">
        <f>CONCATENATE(IF(AB12="",AC12,AB12))</f>
        <v/>
      </c>
      <c r="AB12" s="69" t="str" cm="1">
        <f t="array" ref="AB12">_xlfn.UNIQUE(C12:Z12,TRUE,FALSE)</f>
        <v/>
      </c>
    </row>
    <row r="13" spans="1:28">
      <c r="A13" s="70">
        <v>11</v>
      </c>
      <c r="B13" s="70" t="s">
        <v>67</v>
      </c>
      <c r="C13" s="71" t="str">
        <f>IF(C$2="Y",IF(MaGic_AVM_Land!C13=0,"",MaGic_AVM_Land!C13),"")</f>
        <v/>
      </c>
      <c r="D13" s="71" t="str">
        <f>IF(D$2="Y",IF(MaGic_AVM_Land!D13=0,"",MaGic_AVM_Land!D13),"")</f>
        <v/>
      </c>
      <c r="E13" s="71" t="str">
        <f>IF(E$2="Y",IF(MaGic_AVM_Land!E13=0,"",MaGic_AVM_Land!E13),"")</f>
        <v/>
      </c>
      <c r="F13" s="71" t="str">
        <f>IF(F$2="Y",IF(MaGic_AVM_Land!F13=0,"",MaGic_AVM_Land!F13),"")</f>
        <v/>
      </c>
      <c r="G13" s="71" t="str">
        <f>IF(G$2="Y",IF(MaGic_AVM_Land!G13=0,"",MaGic_AVM_Land!G13),"")</f>
        <v/>
      </c>
      <c r="H13" s="71" t="str">
        <f>IF(H$2="Y",IF(MaGic_AVM_Land!H13=0,"",MaGic_AVM_Land!H13),"")</f>
        <v/>
      </c>
      <c r="I13" s="71" t="str">
        <f>IF(I$2="Y",IF(MaGic_AVM_Land!I13=0,"",MaGic_AVM_Land!I13),"")</f>
        <v/>
      </c>
      <c r="J13" s="71" t="str">
        <f>IF(J$2="Y",IF(MaGic_AVM_Land!J13=0,"",MaGic_AVM_Land!J13),"")</f>
        <v/>
      </c>
      <c r="K13" s="71" t="str">
        <f>IF(K$2="Y",IF(MaGic_AVM_Land!K13=0,"",MaGic_AVM_Land!K13),"")</f>
        <v/>
      </c>
      <c r="L13" s="71" t="str">
        <f>IF(L$2="Y",IF(MaGic_AVM_Land!L13=0,"",MaGic_AVM_Land!L13),"")</f>
        <v/>
      </c>
      <c r="M13" s="71" t="str">
        <f>IF(M$2="Y",IF(MaGic_AVM_Land!M13=0,"",MaGic_AVM_Land!M13),"")</f>
        <v/>
      </c>
      <c r="N13" s="71" t="str">
        <f>IF(N$2="Y",IF(MaGic_AVM_Land!N13=0,"",MaGic_AVM_Land!N13),"")</f>
        <v/>
      </c>
      <c r="O13" s="71" t="str">
        <f>IF(O$2="Y",IF(MaGic_AVM_Land!O13=0,"",MaGic_AVM_Land!O13),"")</f>
        <v/>
      </c>
      <c r="P13" s="71" t="str">
        <f>IF(P$2="Y",IF(MaGic_AVM_Land!P13=0,"",MaGic_AVM_Land!P13),"")</f>
        <v/>
      </c>
      <c r="Q13" s="71" t="str">
        <f>IF(Q$2="Y",IF(MaGic_AVM_Land!Q13=0,"",MaGic_AVM_Land!Q13),"")</f>
        <v/>
      </c>
      <c r="R13" s="71" t="str">
        <f>IF(R$2="Y",IF(MaGic_AVM_Land!R13=0,"",MaGic_AVM_Land!R13),"")</f>
        <v/>
      </c>
      <c r="S13" s="71" t="str">
        <f>IF(S$2="Y",IF(MaGic_AVM_Land!S13=0,"",MaGic_AVM_Land!S13),"")</f>
        <v/>
      </c>
      <c r="T13" s="71" t="str">
        <f>IF(T$2="Y",IF(MaGic_AVM_Land!T13=0,"",MaGic_AVM_Land!T13),"")</f>
        <v/>
      </c>
      <c r="U13" s="71" t="str">
        <f>IF(U$2="Y",IF(MaGic_AVM_Land!U13=0,"",MaGic_AVM_Land!U13),"")</f>
        <v/>
      </c>
      <c r="V13" s="71" t="str">
        <f>IF(V$2="Y",IF(MaGic_AVM_Land!V13=0,"",MaGic_AVM_Land!V13),"")</f>
        <v/>
      </c>
      <c r="W13" s="71" t="str">
        <f>IF(W$2="Y",IF(MaGic_AVM_Land!W13=0,"",MaGic_AVM_Land!W13),"")</f>
        <v/>
      </c>
      <c r="X13" s="71" t="str">
        <f>IF(X$2="Y",IF(MaGic_AVM_Land!X13=0,"",MaGic_AVM_Land!X13),"")</f>
        <v/>
      </c>
      <c r="Y13" s="71" t="str">
        <f>IF(Y$2="Y",IF(MaGic_AVM_Land!Y13=0,"",MaGic_AVM_Land!Y13),"")</f>
        <v/>
      </c>
      <c r="Z13" s="71" t="str">
        <f>IF(Z$2="Y",IF(MaGic_AVM_Land!Z13=0,"",MaGic_AVM_Land!Z13),"")</f>
        <v/>
      </c>
      <c r="AA13" s="69" t="str">
        <f>CONCATENATE(IF(AB13="",AC13,AB13)," ",AA12)</f>
        <v/>
      </c>
      <c r="AB13" s="69" t="str" cm="1">
        <f t="array" ref="AB13">_xlfn.UNIQUE(C13:Z13,TRUE,FALSE)</f>
        <v/>
      </c>
    </row>
    <row r="14" spans="1:28">
      <c r="A14" s="70">
        <v>12</v>
      </c>
      <c r="B14" s="70" t="s">
        <v>69</v>
      </c>
      <c r="C14" s="71" t="str">
        <f>IF(C$2="Y",IF(MaGic_AVM_Land!C14=0,"",MaGic_AVM_Land!C14),"")</f>
        <v/>
      </c>
      <c r="D14" s="71" t="str">
        <f>IF(D$2="Y",IF(MaGic_AVM_Land!D14=0,"",MaGic_AVM_Land!D14),"")</f>
        <v/>
      </c>
      <c r="E14" s="71" t="str">
        <f>IF(E$2="Y",IF(MaGic_AVM_Land!E14=0,"",MaGic_AVM_Land!E14),"")</f>
        <v/>
      </c>
      <c r="F14" s="71" t="str">
        <f>IF(F$2="Y",IF(MaGic_AVM_Land!F14=0,"",MaGic_AVM_Land!F14),"")</f>
        <v/>
      </c>
      <c r="G14" s="71" t="str">
        <f>IF(G$2="Y",IF(MaGic_AVM_Land!G14=0,"",MaGic_AVM_Land!G14),"")</f>
        <v/>
      </c>
      <c r="H14" s="71" t="str">
        <f>IF(H$2="Y",IF(MaGic_AVM_Land!H14=0,"",MaGic_AVM_Land!H14),"")</f>
        <v/>
      </c>
      <c r="I14" s="71" t="str">
        <f>IF(I$2="Y",IF(MaGic_AVM_Land!I14=0,"",MaGic_AVM_Land!I14),"")</f>
        <v/>
      </c>
      <c r="J14" s="71" t="str">
        <f>IF(J$2="Y",IF(MaGic_AVM_Land!J14=0,"",MaGic_AVM_Land!J14),"")</f>
        <v/>
      </c>
      <c r="K14" s="71" t="str">
        <f>IF(K$2="Y",IF(MaGic_AVM_Land!K14=0,"",MaGic_AVM_Land!K14),"")</f>
        <v/>
      </c>
      <c r="L14" s="71" t="str">
        <f>IF(L$2="Y",IF(MaGic_AVM_Land!L14=0,"",MaGic_AVM_Land!L14),"")</f>
        <v/>
      </c>
      <c r="M14" s="71" t="str">
        <f>IF(M$2="Y",IF(MaGic_AVM_Land!M14=0,"",MaGic_AVM_Land!M14),"")</f>
        <v/>
      </c>
      <c r="N14" s="71" t="str">
        <f>IF(N$2="Y",IF(MaGic_AVM_Land!N14=0,"",MaGic_AVM_Land!N14),"")</f>
        <v/>
      </c>
      <c r="O14" s="71" t="str">
        <f>IF(O$2="Y",IF(MaGic_AVM_Land!O14=0,"",MaGic_AVM_Land!O14),"")</f>
        <v/>
      </c>
      <c r="P14" s="71" t="str">
        <f>IF(P$2="Y",IF(MaGic_AVM_Land!P14=0,"",MaGic_AVM_Land!P14),"")</f>
        <v/>
      </c>
      <c r="Q14" s="71" t="str">
        <f>IF(Q$2="Y",IF(MaGic_AVM_Land!Q14=0,"",MaGic_AVM_Land!Q14),"")</f>
        <v/>
      </c>
      <c r="R14" s="71" t="str">
        <f>IF(R$2="Y",IF(MaGic_AVM_Land!R14=0,"",MaGic_AVM_Land!R14),"")</f>
        <v/>
      </c>
      <c r="S14" s="71" t="str">
        <f>IF(S$2="Y",IF(MaGic_AVM_Land!S14=0,"",MaGic_AVM_Land!S14),"")</f>
        <v/>
      </c>
      <c r="T14" s="71" t="str">
        <f>IF(T$2="Y",IF(MaGic_AVM_Land!T14=0,"",MaGic_AVM_Land!T14),"")</f>
        <v/>
      </c>
      <c r="U14" s="71" t="str">
        <f>IF(U$2="Y",IF(MaGic_AVM_Land!U14=0,"",MaGic_AVM_Land!U14),"")</f>
        <v/>
      </c>
      <c r="V14" s="71" t="str">
        <f>IF(V$2="Y",IF(MaGic_AVM_Land!V14=0,"",MaGic_AVM_Land!V14),"")</f>
        <v/>
      </c>
      <c r="W14" s="71" t="str">
        <f>IF(W$2="Y",IF(MaGic_AVM_Land!W14=0,"",MaGic_AVM_Land!W14),"")</f>
        <v/>
      </c>
      <c r="X14" s="71" t="str">
        <f>IF(X$2="Y",IF(MaGic_AVM_Land!X14=0,"",MaGic_AVM_Land!X14),"")</f>
        <v/>
      </c>
      <c r="Y14" s="71" t="str">
        <f>IF(Y$2="Y",IF(MaGic_AVM_Land!Y14=0,"",MaGic_AVM_Land!Y14),"")</f>
        <v/>
      </c>
      <c r="Z14" s="71" t="str">
        <f>IF(Z$2="Y",IF(MaGic_AVM_Land!Z14=0,"",MaGic_AVM_Land!Z14),"")</f>
        <v/>
      </c>
      <c r="AA14" s="69" t="str">
        <f t="shared" ref="AA14:AA18" si="1">_xlfn.TEXTJOIN(",",TRUE,AB14:AZ14)</f>
        <v/>
      </c>
      <c r="AB14" s="69" t="str" cm="1">
        <f t="array" ref="AB14">_xlfn.UNIQUE(C14:Z14,TRUE,FALSE)</f>
        <v/>
      </c>
    </row>
    <row r="15" spans="1:28">
      <c r="A15" s="70">
        <v>13</v>
      </c>
      <c r="B15" s="70" t="s">
        <v>70</v>
      </c>
      <c r="C15" s="71" t="str">
        <f>IF(C$2="Y",IF(MaGic_AVM_Land!C15=0,"",MaGic_AVM_Land!C15),"")</f>
        <v/>
      </c>
      <c r="D15" s="71" t="str">
        <f>IF(D$2="Y",IF(MaGic_AVM_Land!D15=0,"",MaGic_AVM_Land!D15),"")</f>
        <v/>
      </c>
      <c r="E15" s="71" t="str">
        <f>IF(E$2="Y",IF(MaGic_AVM_Land!E15=0,"",MaGic_AVM_Land!E15),"")</f>
        <v/>
      </c>
      <c r="F15" s="71" t="str">
        <f>IF(F$2="Y",IF(MaGic_AVM_Land!F15=0,"",MaGic_AVM_Land!F15),"")</f>
        <v/>
      </c>
      <c r="G15" s="71" t="str">
        <f>IF(G$2="Y",IF(MaGic_AVM_Land!G15=0,"",MaGic_AVM_Land!G15),"")</f>
        <v/>
      </c>
      <c r="H15" s="71" t="str">
        <f>IF(H$2="Y",IF(MaGic_AVM_Land!H15=0,"",MaGic_AVM_Land!H15),"")</f>
        <v/>
      </c>
      <c r="I15" s="71" t="str">
        <f>IF(I$2="Y",IF(MaGic_AVM_Land!I15=0,"",MaGic_AVM_Land!I15),"")</f>
        <v/>
      </c>
      <c r="J15" s="71" t="str">
        <f>IF(J$2="Y",IF(MaGic_AVM_Land!J15=0,"",MaGic_AVM_Land!J15),"")</f>
        <v/>
      </c>
      <c r="K15" s="71" t="str">
        <f>IF(K$2="Y",IF(MaGic_AVM_Land!K15=0,"",MaGic_AVM_Land!K15),"")</f>
        <v/>
      </c>
      <c r="L15" s="71" t="str">
        <f>IF(L$2="Y",IF(MaGic_AVM_Land!L15=0,"",MaGic_AVM_Land!L15),"")</f>
        <v/>
      </c>
      <c r="M15" s="71" t="str">
        <f>IF(M$2="Y",IF(MaGic_AVM_Land!M15=0,"",MaGic_AVM_Land!M15),"")</f>
        <v/>
      </c>
      <c r="N15" s="71" t="str">
        <f>IF(N$2="Y",IF(MaGic_AVM_Land!N15=0,"",MaGic_AVM_Land!N15),"")</f>
        <v/>
      </c>
      <c r="O15" s="71" t="str">
        <f>IF(O$2="Y",IF(MaGic_AVM_Land!O15=0,"",MaGic_AVM_Land!O15),"")</f>
        <v/>
      </c>
      <c r="P15" s="71" t="str">
        <f>IF(P$2="Y",IF(MaGic_AVM_Land!P15=0,"",MaGic_AVM_Land!P15),"")</f>
        <v/>
      </c>
      <c r="Q15" s="71" t="str">
        <f>IF(Q$2="Y",IF(MaGic_AVM_Land!Q15=0,"",MaGic_AVM_Land!Q15),"")</f>
        <v/>
      </c>
      <c r="R15" s="71" t="str">
        <f>IF(R$2="Y",IF(MaGic_AVM_Land!R15=0,"",MaGic_AVM_Land!R15),"")</f>
        <v/>
      </c>
      <c r="S15" s="71" t="str">
        <f>IF(S$2="Y",IF(MaGic_AVM_Land!S15=0,"",MaGic_AVM_Land!S15),"")</f>
        <v/>
      </c>
      <c r="T15" s="71" t="str">
        <f>IF(T$2="Y",IF(MaGic_AVM_Land!T15=0,"",MaGic_AVM_Land!T15),"")</f>
        <v/>
      </c>
      <c r="U15" s="71" t="str">
        <f>IF(U$2="Y",IF(MaGic_AVM_Land!U15=0,"",MaGic_AVM_Land!U15),"")</f>
        <v/>
      </c>
      <c r="V15" s="71" t="str">
        <f>IF(V$2="Y",IF(MaGic_AVM_Land!V15=0,"",MaGic_AVM_Land!V15),"")</f>
        <v/>
      </c>
      <c r="W15" s="71" t="str">
        <f>IF(W$2="Y",IF(MaGic_AVM_Land!W15=0,"",MaGic_AVM_Land!W15),"")</f>
        <v/>
      </c>
      <c r="X15" s="71" t="str">
        <f>IF(X$2="Y",IF(MaGic_AVM_Land!X15=0,"",MaGic_AVM_Land!X15),"")</f>
        <v/>
      </c>
      <c r="Y15" s="71" t="str">
        <f>IF(Y$2="Y",IF(MaGic_AVM_Land!Y15=0,"",MaGic_AVM_Land!Y15),"")</f>
        <v/>
      </c>
      <c r="Z15" s="71" t="str">
        <f>IF(Z$2="Y",IF(MaGic_AVM_Land!Z15=0,"",MaGic_AVM_Land!Z15),"")</f>
        <v/>
      </c>
      <c r="AA15" s="69" t="str">
        <f t="shared" si="1"/>
        <v/>
      </c>
      <c r="AB15" s="69" t="str" cm="1">
        <f t="array" ref="AB15">_xlfn.UNIQUE(C15:Z15,TRUE,FALSE)</f>
        <v/>
      </c>
    </row>
    <row r="16" spans="1:28">
      <c r="A16" s="70">
        <v>14</v>
      </c>
      <c r="B16" s="70" t="s">
        <v>71</v>
      </c>
      <c r="C16" s="71" t="str">
        <f>IF(C$2="Y",IF(MaGic_AVM_Land!C16=0,"",MaGic_AVM_Land!C16),"")</f>
        <v/>
      </c>
      <c r="D16" s="71" t="str">
        <f>IF(D$2="Y",IF(MaGic_AVM_Land!D16=0,"",MaGic_AVM_Land!D16),"")</f>
        <v/>
      </c>
      <c r="E16" s="71" t="str">
        <f>IF(E$2="Y",IF(MaGic_AVM_Land!E16=0,"",MaGic_AVM_Land!E16),"")</f>
        <v/>
      </c>
      <c r="F16" s="71" t="str">
        <f>IF(F$2="Y",IF(MaGic_AVM_Land!F16=0,"",MaGic_AVM_Land!F16),"")</f>
        <v/>
      </c>
      <c r="G16" s="71" t="str">
        <f>IF(G$2="Y",IF(MaGic_AVM_Land!G16=0,"",MaGic_AVM_Land!G16),"")</f>
        <v/>
      </c>
      <c r="H16" s="71" t="str">
        <f>IF(H$2="Y",IF(MaGic_AVM_Land!H16=0,"",MaGic_AVM_Land!H16),"")</f>
        <v/>
      </c>
      <c r="I16" s="71" t="str">
        <f>IF(I$2="Y",IF(MaGic_AVM_Land!I16=0,"",MaGic_AVM_Land!I16),"")</f>
        <v/>
      </c>
      <c r="J16" s="71" t="str">
        <f>IF(J$2="Y",IF(MaGic_AVM_Land!J16=0,"",MaGic_AVM_Land!J16),"")</f>
        <v/>
      </c>
      <c r="K16" s="71" t="str">
        <f>IF(K$2="Y",IF(MaGic_AVM_Land!K16=0,"",MaGic_AVM_Land!K16),"")</f>
        <v/>
      </c>
      <c r="L16" s="71" t="str">
        <f>IF(L$2="Y",IF(MaGic_AVM_Land!L16=0,"",MaGic_AVM_Land!L16),"")</f>
        <v/>
      </c>
      <c r="M16" s="71" t="str">
        <f>IF(M$2="Y",IF(MaGic_AVM_Land!M16=0,"",MaGic_AVM_Land!M16),"")</f>
        <v/>
      </c>
      <c r="N16" s="71" t="str">
        <f>IF(N$2="Y",IF(MaGic_AVM_Land!N16=0,"",MaGic_AVM_Land!N16),"")</f>
        <v/>
      </c>
      <c r="O16" s="71" t="str">
        <f>IF(O$2="Y",IF(MaGic_AVM_Land!O16=0,"",MaGic_AVM_Land!O16),"")</f>
        <v/>
      </c>
      <c r="P16" s="71" t="str">
        <f>IF(P$2="Y",IF(MaGic_AVM_Land!P16=0,"",MaGic_AVM_Land!P16),"")</f>
        <v/>
      </c>
      <c r="Q16" s="71" t="str">
        <f>IF(Q$2="Y",IF(MaGic_AVM_Land!Q16=0,"",MaGic_AVM_Land!Q16),"")</f>
        <v/>
      </c>
      <c r="R16" s="71" t="str">
        <f>IF(R$2="Y",IF(MaGic_AVM_Land!R16=0,"",MaGic_AVM_Land!R16),"")</f>
        <v/>
      </c>
      <c r="S16" s="71" t="str">
        <f>IF(S$2="Y",IF(MaGic_AVM_Land!S16=0,"",MaGic_AVM_Land!S16),"")</f>
        <v/>
      </c>
      <c r="T16" s="71" t="str">
        <f>IF(T$2="Y",IF(MaGic_AVM_Land!T16=0,"",MaGic_AVM_Land!T16),"")</f>
        <v/>
      </c>
      <c r="U16" s="71" t="str">
        <f>IF(U$2="Y",IF(MaGic_AVM_Land!U16=0,"",MaGic_AVM_Land!U16),"")</f>
        <v/>
      </c>
      <c r="V16" s="71" t="str">
        <f>IF(V$2="Y",IF(MaGic_AVM_Land!V16=0,"",MaGic_AVM_Land!V16),"")</f>
        <v/>
      </c>
      <c r="W16" s="71" t="str">
        <f>IF(W$2="Y",IF(MaGic_AVM_Land!W16=0,"",MaGic_AVM_Land!W16),"")</f>
        <v/>
      </c>
      <c r="X16" s="71" t="str">
        <f>IF(X$2="Y",IF(MaGic_AVM_Land!X16=0,"",MaGic_AVM_Land!X16),"")</f>
        <v/>
      </c>
      <c r="Y16" s="71" t="str">
        <f>IF(Y$2="Y",IF(MaGic_AVM_Land!Y16=0,"",MaGic_AVM_Land!Y16),"")</f>
        <v/>
      </c>
      <c r="Z16" s="71" t="str">
        <f>IF(Z$2="Y",IF(MaGic_AVM_Land!Z16=0,"",MaGic_AVM_Land!Z16),"")</f>
        <v/>
      </c>
      <c r="AA16" s="69" t="str">
        <f t="shared" si="1"/>
        <v/>
      </c>
      <c r="AB16" s="69" t="str" cm="1">
        <f t="array" ref="AB16">_xlfn.UNIQUE(C16:Z16,TRUE,FALSE)</f>
        <v/>
      </c>
    </row>
    <row r="17" spans="1:28">
      <c r="A17" s="70">
        <v>15</v>
      </c>
      <c r="B17" s="70" t="s">
        <v>77</v>
      </c>
      <c r="C17" s="71" t="str">
        <f>IF(C$2="Y",IF(MaGic_AVM_Land!C17=0,"",MaGic_AVM_Land!C17),"")</f>
        <v/>
      </c>
      <c r="D17" s="71" t="str">
        <f>IF(D$2="Y",IF(MaGic_AVM_Land!D17=0,"",MaGic_AVM_Land!D17),"")</f>
        <v/>
      </c>
      <c r="E17" s="71" t="str">
        <f>IF(E$2="Y",IF(MaGic_AVM_Land!E17=0,"",MaGic_AVM_Land!E17),"")</f>
        <v/>
      </c>
      <c r="F17" s="71" t="str">
        <f>IF(F$2="Y",IF(MaGic_AVM_Land!F17=0,"",MaGic_AVM_Land!F17),"")</f>
        <v/>
      </c>
      <c r="G17" s="71" t="str">
        <f>IF(G$2="Y",IF(MaGic_AVM_Land!G17=0,"",MaGic_AVM_Land!G17),"")</f>
        <v/>
      </c>
      <c r="H17" s="71" t="str">
        <f>IF(H$2="Y",IF(MaGic_AVM_Land!H17=0,"",MaGic_AVM_Land!H17),"")</f>
        <v/>
      </c>
      <c r="I17" s="71" t="str">
        <f>IF(I$2="Y",IF(MaGic_AVM_Land!I17=0,"",MaGic_AVM_Land!I17),"")</f>
        <v/>
      </c>
      <c r="J17" s="71" t="str">
        <f>IF(J$2="Y",IF(MaGic_AVM_Land!J17=0,"",MaGic_AVM_Land!J17),"")</f>
        <v/>
      </c>
      <c r="K17" s="71" t="str">
        <f>IF(K$2="Y",IF(MaGic_AVM_Land!K17=0,"",MaGic_AVM_Land!K17),"")</f>
        <v/>
      </c>
      <c r="L17" s="71" t="str">
        <f>IF(L$2="Y",IF(MaGic_AVM_Land!L17=0,"",MaGic_AVM_Land!L17),"")</f>
        <v/>
      </c>
      <c r="M17" s="71" t="str">
        <f>IF(M$2="Y",IF(MaGic_AVM_Land!M17=0,"",MaGic_AVM_Land!M17),"")</f>
        <v/>
      </c>
      <c r="N17" s="71" t="str">
        <f>IF(N$2="Y",IF(MaGic_AVM_Land!N17=0,"",MaGic_AVM_Land!N17),"")</f>
        <v/>
      </c>
      <c r="O17" s="71" t="str">
        <f>IF(O$2="Y",IF(MaGic_AVM_Land!O17=0,"",MaGic_AVM_Land!O17),"")</f>
        <v/>
      </c>
      <c r="P17" s="71" t="str">
        <f>IF(P$2="Y",IF(MaGic_AVM_Land!P17=0,"",MaGic_AVM_Land!P17),"")</f>
        <v/>
      </c>
      <c r="Q17" s="71" t="str">
        <f>IF(Q$2="Y",IF(MaGic_AVM_Land!Q17=0,"",MaGic_AVM_Land!Q17),"")</f>
        <v/>
      </c>
      <c r="R17" s="71" t="str">
        <f>IF(R$2="Y",IF(MaGic_AVM_Land!R17=0,"",MaGic_AVM_Land!R17),"")</f>
        <v/>
      </c>
      <c r="S17" s="71" t="str">
        <f>IF(S$2="Y",IF(MaGic_AVM_Land!S17=0,"",MaGic_AVM_Land!S17),"")</f>
        <v/>
      </c>
      <c r="T17" s="71" t="str">
        <f>IF(T$2="Y",IF(MaGic_AVM_Land!T17=0,"",MaGic_AVM_Land!T17),"")</f>
        <v/>
      </c>
      <c r="U17" s="71" t="str">
        <f>IF(U$2="Y",IF(MaGic_AVM_Land!U17=0,"",MaGic_AVM_Land!U17),"")</f>
        <v/>
      </c>
      <c r="V17" s="71" t="str">
        <f>IF(V$2="Y",IF(MaGic_AVM_Land!V17=0,"",MaGic_AVM_Land!V17),"")</f>
        <v/>
      </c>
      <c r="W17" s="71" t="str">
        <f>IF(W$2="Y",IF(MaGic_AVM_Land!W17=0,"",MaGic_AVM_Land!W17),"")</f>
        <v/>
      </c>
      <c r="X17" s="71" t="str">
        <f>IF(X$2="Y",IF(MaGic_AVM_Land!X17=0,"",MaGic_AVM_Land!X17),"")</f>
        <v/>
      </c>
      <c r="Y17" s="71" t="str">
        <f>IF(Y$2="Y",IF(MaGic_AVM_Land!Y17=0,"",MaGic_AVM_Land!Y17),"")</f>
        <v/>
      </c>
      <c r="Z17" s="71" t="str">
        <f>IF(Z$2="Y",IF(MaGic_AVM_Land!Z17=0,"",MaGic_AVM_Land!Z17),"")</f>
        <v/>
      </c>
      <c r="AA17" s="69" t="str">
        <f t="shared" si="1"/>
        <v/>
      </c>
      <c r="AB17" s="69" t="str" cm="1">
        <f t="array" ref="AB17">_xlfn.UNIQUE(C17:Z17,TRUE,FALSE)</f>
        <v/>
      </c>
    </row>
    <row r="18" spans="1:28">
      <c r="A18" s="70">
        <v>16</v>
      </c>
      <c r="B18" s="70" t="s">
        <v>78</v>
      </c>
      <c r="C18" s="71" t="str">
        <f>IF(C$2="Y",IF(MaGic_AVM_Land!C18=0,"",MaGic_AVM_Land!C18),"")</f>
        <v/>
      </c>
      <c r="D18" s="71" t="str">
        <f>IF(D$2="Y",IF(MaGic_AVM_Land!D18=0,"",MaGic_AVM_Land!D18),"")</f>
        <v/>
      </c>
      <c r="E18" s="71" t="str">
        <f>IF(E$2="Y",IF(MaGic_AVM_Land!E18=0,"",MaGic_AVM_Land!E18),"")</f>
        <v/>
      </c>
      <c r="F18" s="71" t="str">
        <f>IF(F$2="Y",IF(MaGic_AVM_Land!F18=0,"",MaGic_AVM_Land!F18),"")</f>
        <v/>
      </c>
      <c r="G18" s="71" t="str">
        <f>IF(G$2="Y",IF(MaGic_AVM_Land!G18=0,"",MaGic_AVM_Land!G18),"")</f>
        <v/>
      </c>
      <c r="H18" s="71" t="str">
        <f>IF(H$2="Y",IF(MaGic_AVM_Land!H18=0,"",MaGic_AVM_Land!H18),"")</f>
        <v/>
      </c>
      <c r="I18" s="71" t="str">
        <f>IF(I$2="Y",IF(MaGic_AVM_Land!I18=0,"",MaGic_AVM_Land!I18),"")</f>
        <v/>
      </c>
      <c r="J18" s="71" t="str">
        <f>IF(J$2="Y",IF(MaGic_AVM_Land!J18=0,"",MaGic_AVM_Land!J18),"")</f>
        <v/>
      </c>
      <c r="K18" s="71" t="str">
        <f>IF(K$2="Y",IF(MaGic_AVM_Land!K18=0,"",MaGic_AVM_Land!K18),"")</f>
        <v/>
      </c>
      <c r="L18" s="71" t="str">
        <f>IF(L$2="Y",IF(MaGic_AVM_Land!L18=0,"",MaGic_AVM_Land!L18),"")</f>
        <v/>
      </c>
      <c r="M18" s="71" t="str">
        <f>IF(M$2="Y",IF(MaGic_AVM_Land!M18=0,"",MaGic_AVM_Land!M18),"")</f>
        <v/>
      </c>
      <c r="N18" s="71" t="str">
        <f>IF(N$2="Y",IF(MaGic_AVM_Land!N18=0,"",MaGic_AVM_Land!N18),"")</f>
        <v/>
      </c>
      <c r="O18" s="71" t="str">
        <f>IF(O$2="Y",IF(MaGic_AVM_Land!O18=0,"",MaGic_AVM_Land!O18),"")</f>
        <v/>
      </c>
      <c r="P18" s="71" t="str">
        <f>IF(P$2="Y",IF(MaGic_AVM_Land!P18=0,"",MaGic_AVM_Land!P18),"")</f>
        <v/>
      </c>
      <c r="Q18" s="71" t="str">
        <f>IF(Q$2="Y",IF(MaGic_AVM_Land!Q18=0,"",MaGic_AVM_Land!Q18),"")</f>
        <v/>
      </c>
      <c r="R18" s="71" t="str">
        <f>IF(R$2="Y",IF(MaGic_AVM_Land!R18=0,"",MaGic_AVM_Land!R18),"")</f>
        <v/>
      </c>
      <c r="S18" s="71" t="str">
        <f>IF(S$2="Y",IF(MaGic_AVM_Land!S18=0,"",MaGic_AVM_Land!S18),"")</f>
        <v/>
      </c>
      <c r="T18" s="71" t="str">
        <f>IF(T$2="Y",IF(MaGic_AVM_Land!T18=0,"",MaGic_AVM_Land!T18),"")</f>
        <v/>
      </c>
      <c r="U18" s="71" t="str">
        <f>IF(U$2="Y",IF(MaGic_AVM_Land!U18=0,"",MaGic_AVM_Land!U18),"")</f>
        <v/>
      </c>
      <c r="V18" s="71" t="str">
        <f>IF(V$2="Y",IF(MaGic_AVM_Land!V18=0,"",MaGic_AVM_Land!V18),"")</f>
        <v/>
      </c>
      <c r="W18" s="71" t="str">
        <f>IF(W$2="Y",IF(MaGic_AVM_Land!W18=0,"",MaGic_AVM_Land!W18),"")</f>
        <v/>
      </c>
      <c r="X18" s="71" t="str">
        <f>IF(X$2="Y",IF(MaGic_AVM_Land!X18=0,"",MaGic_AVM_Land!X18),"")</f>
        <v/>
      </c>
      <c r="Y18" s="71" t="str">
        <f>IF(Y$2="Y",IF(MaGic_AVM_Land!Y18=0,"",MaGic_AVM_Land!Y18),"")</f>
        <v/>
      </c>
      <c r="Z18" s="71" t="str">
        <f>IF(Z$2="Y",IF(MaGic_AVM_Land!Z18=0,"",MaGic_AVM_Land!Z18),"")</f>
        <v/>
      </c>
      <c r="AA18" s="69" t="str">
        <f t="shared" si="1"/>
        <v/>
      </c>
      <c r="AB18" s="69" t="str" cm="1">
        <f t="array" ref="AB18">_xlfn.UNIQUE(C18:Z18,TRUE,FALSE)</f>
        <v/>
      </c>
    </row>
    <row r="19" spans="1:28">
      <c r="A19" s="70">
        <v>17</v>
      </c>
      <c r="B19" s="70" t="s">
        <v>79</v>
      </c>
      <c r="C19" s="71" t="str">
        <f>IF(C$2="Y",IF(MaGic_AVM_Land!C19=0,"",MaGic_AVM_Land!C19),"")</f>
        <v/>
      </c>
      <c r="D19" s="71" t="str">
        <f>IF(D$2="Y",IF(MaGic_AVM_Land!D19=0,"",MaGic_AVM_Land!D19),"")</f>
        <v/>
      </c>
      <c r="E19" s="71" t="str">
        <f>IF(E$2="Y",IF(MaGic_AVM_Land!E19=0,"",MaGic_AVM_Land!E19),"")</f>
        <v/>
      </c>
      <c r="F19" s="71" t="str">
        <f>IF(F$2="Y",IF(MaGic_AVM_Land!F19=0,"",MaGic_AVM_Land!F19),"")</f>
        <v/>
      </c>
      <c r="G19" s="71" t="str">
        <f>IF(G$2="Y",IF(MaGic_AVM_Land!G19=0,"",MaGic_AVM_Land!G19),"")</f>
        <v/>
      </c>
      <c r="H19" s="71" t="str">
        <f>IF(H$2="Y",IF(MaGic_AVM_Land!H19=0,"",MaGic_AVM_Land!H19),"")</f>
        <v/>
      </c>
      <c r="I19" s="71" t="str">
        <f>IF(I$2="Y",IF(MaGic_AVM_Land!I19=0,"",MaGic_AVM_Land!I19),"")</f>
        <v/>
      </c>
      <c r="J19" s="71" t="str">
        <f>IF(J$2="Y",IF(MaGic_AVM_Land!J19=0,"",MaGic_AVM_Land!J19),"")</f>
        <v/>
      </c>
      <c r="K19" s="71" t="str">
        <f>IF(K$2="Y",IF(MaGic_AVM_Land!K19=0,"",MaGic_AVM_Land!K19),"")</f>
        <v/>
      </c>
      <c r="L19" s="71" t="str">
        <f>IF(L$2="Y",IF(MaGic_AVM_Land!L19=0,"",MaGic_AVM_Land!L19),"")</f>
        <v/>
      </c>
      <c r="M19" s="71" t="str">
        <f>IF(M$2="Y",IF(MaGic_AVM_Land!M19=0,"",MaGic_AVM_Land!M19),"")</f>
        <v/>
      </c>
      <c r="N19" s="71" t="str">
        <f>IF(N$2="Y",IF(MaGic_AVM_Land!N19=0,"",MaGic_AVM_Land!N19),"")</f>
        <v/>
      </c>
      <c r="O19" s="71" t="str">
        <f>IF(O$2="Y",IF(MaGic_AVM_Land!O19=0,"",MaGic_AVM_Land!O19),"")</f>
        <v/>
      </c>
      <c r="P19" s="71" t="str">
        <f>IF(P$2="Y",IF(MaGic_AVM_Land!P19=0,"",MaGic_AVM_Land!P19),"")</f>
        <v/>
      </c>
      <c r="Q19" s="71" t="str">
        <f>IF(Q$2="Y",IF(MaGic_AVM_Land!Q19=0,"",MaGic_AVM_Land!Q19),"")</f>
        <v/>
      </c>
      <c r="R19" s="71" t="str">
        <f>IF(R$2="Y",IF(MaGic_AVM_Land!R19=0,"",MaGic_AVM_Land!R19),"")</f>
        <v/>
      </c>
      <c r="S19" s="71" t="str">
        <f>IF(S$2="Y",IF(MaGic_AVM_Land!S19=0,"",MaGic_AVM_Land!S19),"")</f>
        <v/>
      </c>
      <c r="T19" s="71" t="str">
        <f>IF(T$2="Y",IF(MaGic_AVM_Land!T19=0,"",MaGic_AVM_Land!T19),"")</f>
        <v/>
      </c>
      <c r="U19" s="71" t="str">
        <f>IF(U$2="Y",IF(MaGic_AVM_Land!U19=0,"",MaGic_AVM_Land!U19),"")</f>
        <v/>
      </c>
      <c r="V19" s="71" t="str">
        <f>IF(V$2="Y",IF(MaGic_AVM_Land!V19=0,"",MaGic_AVM_Land!V19),"")</f>
        <v/>
      </c>
      <c r="W19" s="71" t="str">
        <f>IF(W$2="Y",IF(MaGic_AVM_Land!W19=0,"",MaGic_AVM_Land!W19),"")</f>
        <v/>
      </c>
      <c r="X19" s="71" t="str">
        <f>IF(X$2="Y",IF(MaGic_AVM_Land!X19=0,"",MaGic_AVM_Land!X19),"")</f>
        <v/>
      </c>
      <c r="Y19" s="71" t="str">
        <f>IF(Y$2="Y",IF(MaGic_AVM_Land!Y19=0,"",MaGic_AVM_Land!Y19),"")</f>
        <v/>
      </c>
      <c r="Z19" s="71" t="str">
        <f>IF(Z$2="Y",IF(MaGic_AVM_Land!Z19=0,"",MaGic_AVM_Land!Z19),"")</f>
        <v/>
      </c>
      <c r="AA19" s="69" t="str">
        <f t="shared" ref="AA19:AA22" si="2">_xlfn.TEXTJOIN(",",TRUE,AB19:AZ19)</f>
        <v/>
      </c>
      <c r="AB19" s="69" t="str" cm="1">
        <f t="array" ref="AB19">_xlfn.UNIQUE(C19:Z19,TRUE,FALSE)</f>
        <v/>
      </c>
    </row>
    <row r="20" spans="1:28">
      <c r="A20" s="70">
        <v>18</v>
      </c>
      <c r="B20" s="70" t="s">
        <v>80</v>
      </c>
      <c r="C20" s="71" t="str">
        <f>IF(C$2="Y",IF(MaGic_AVM_Land!C20=0,"",MaGic_AVM_Land!C20),"")</f>
        <v/>
      </c>
      <c r="D20" s="71" t="str">
        <f>IF(D$2="Y",IF(MaGic_AVM_Land!D20=0,"",MaGic_AVM_Land!D20),"")</f>
        <v/>
      </c>
      <c r="E20" s="71" t="str">
        <f>IF(E$2="Y",IF(MaGic_AVM_Land!E20=0,"",MaGic_AVM_Land!E20),"")</f>
        <v/>
      </c>
      <c r="F20" s="71" t="str">
        <f>IF(F$2="Y",IF(MaGic_AVM_Land!F20=0,"",MaGic_AVM_Land!F20),"")</f>
        <v/>
      </c>
      <c r="G20" s="71" t="str">
        <f>IF(G$2="Y",IF(MaGic_AVM_Land!G20=0,"",MaGic_AVM_Land!G20),"")</f>
        <v/>
      </c>
      <c r="H20" s="71" t="str">
        <f>IF(H$2="Y",IF(MaGic_AVM_Land!H20=0,"",MaGic_AVM_Land!H20),"")</f>
        <v/>
      </c>
      <c r="I20" s="71" t="str">
        <f>IF(I$2="Y",IF(MaGic_AVM_Land!I20=0,"",MaGic_AVM_Land!I20),"")</f>
        <v/>
      </c>
      <c r="J20" s="71" t="str">
        <f>IF(J$2="Y",IF(MaGic_AVM_Land!J20=0,"",MaGic_AVM_Land!J20),"")</f>
        <v/>
      </c>
      <c r="K20" s="71" t="str">
        <f>IF(K$2="Y",IF(MaGic_AVM_Land!K20=0,"",MaGic_AVM_Land!K20),"")</f>
        <v/>
      </c>
      <c r="L20" s="71" t="str">
        <f>IF(L$2="Y",IF(MaGic_AVM_Land!L20=0,"",MaGic_AVM_Land!L20),"")</f>
        <v/>
      </c>
      <c r="M20" s="71" t="str">
        <f>IF(M$2="Y",IF(MaGic_AVM_Land!M20=0,"",MaGic_AVM_Land!M20),"")</f>
        <v/>
      </c>
      <c r="N20" s="71" t="str">
        <f>IF(N$2="Y",IF(MaGic_AVM_Land!N20=0,"",MaGic_AVM_Land!N20),"")</f>
        <v/>
      </c>
      <c r="O20" s="71" t="str">
        <f>IF(O$2="Y",IF(MaGic_AVM_Land!O20=0,"",MaGic_AVM_Land!O20),"")</f>
        <v/>
      </c>
      <c r="P20" s="71" t="str">
        <f>IF(P$2="Y",IF(MaGic_AVM_Land!P20=0,"",MaGic_AVM_Land!P20),"")</f>
        <v/>
      </c>
      <c r="Q20" s="71" t="str">
        <f>IF(Q$2="Y",IF(MaGic_AVM_Land!Q20=0,"",MaGic_AVM_Land!Q20),"")</f>
        <v/>
      </c>
      <c r="R20" s="71" t="str">
        <f>IF(R$2="Y",IF(MaGic_AVM_Land!R20=0,"",MaGic_AVM_Land!R20),"")</f>
        <v/>
      </c>
      <c r="S20" s="71" t="str">
        <f>IF(S$2="Y",IF(MaGic_AVM_Land!S20=0,"",MaGic_AVM_Land!S20),"")</f>
        <v/>
      </c>
      <c r="T20" s="71" t="str">
        <f>IF(T$2="Y",IF(MaGic_AVM_Land!T20=0,"",MaGic_AVM_Land!T20),"")</f>
        <v/>
      </c>
      <c r="U20" s="71" t="str">
        <f>IF(U$2="Y",IF(MaGic_AVM_Land!U20=0,"",MaGic_AVM_Land!U20),"")</f>
        <v/>
      </c>
      <c r="V20" s="71" t="str">
        <f>IF(V$2="Y",IF(MaGic_AVM_Land!V20=0,"",MaGic_AVM_Land!V20),"")</f>
        <v/>
      </c>
      <c r="W20" s="71" t="str">
        <f>IF(W$2="Y",IF(MaGic_AVM_Land!W20=0,"",MaGic_AVM_Land!W20),"")</f>
        <v/>
      </c>
      <c r="X20" s="71" t="str">
        <f>IF(X$2="Y",IF(MaGic_AVM_Land!X20=0,"",MaGic_AVM_Land!X20),"")</f>
        <v/>
      </c>
      <c r="Y20" s="71" t="str">
        <f>IF(Y$2="Y",IF(MaGic_AVM_Land!Y20=0,"",MaGic_AVM_Land!Y20),"")</f>
        <v/>
      </c>
      <c r="Z20" s="71" t="str">
        <f>IF(Z$2="Y",IF(MaGic_AVM_Land!Z20=0,"",MaGic_AVM_Land!Z20),"")</f>
        <v/>
      </c>
      <c r="AA20" s="69" t="str">
        <f t="shared" si="2"/>
        <v/>
      </c>
      <c r="AB20" s="69" t="str" cm="1">
        <f t="array" ref="AB20">_xlfn.UNIQUE(C20:Z20,TRUE,FALSE)</f>
        <v/>
      </c>
    </row>
    <row r="21" spans="1:28">
      <c r="A21" s="70">
        <v>19</v>
      </c>
      <c r="B21" s="70" t="s">
        <v>81</v>
      </c>
      <c r="C21" s="71" t="str">
        <f>IF(C$2="Y",IF(MaGic_AVM_Land!C21=0,"",MaGic_AVM_Land!C21),"")</f>
        <v/>
      </c>
      <c r="D21" s="71" t="str">
        <f>IF(D$2="Y",IF(MaGic_AVM_Land!D21=0,"",MaGic_AVM_Land!D21),"")</f>
        <v/>
      </c>
      <c r="E21" s="71" t="str">
        <f>IF(E$2="Y",IF(MaGic_AVM_Land!E21=0,"",MaGic_AVM_Land!E21),"")</f>
        <v/>
      </c>
      <c r="F21" s="71" t="str">
        <f>IF(F$2="Y",IF(MaGic_AVM_Land!F21=0,"",MaGic_AVM_Land!F21),"")</f>
        <v/>
      </c>
      <c r="G21" s="71" t="str">
        <f>IF(G$2="Y",IF(MaGic_AVM_Land!G21=0,"",MaGic_AVM_Land!G21),"")</f>
        <v/>
      </c>
      <c r="H21" s="71" t="str">
        <f>IF(H$2="Y",IF(MaGic_AVM_Land!H21=0,"",MaGic_AVM_Land!H21),"")</f>
        <v/>
      </c>
      <c r="I21" s="71" t="str">
        <f>IF(I$2="Y",IF(MaGic_AVM_Land!I21=0,"",MaGic_AVM_Land!I21),"")</f>
        <v/>
      </c>
      <c r="J21" s="71" t="str">
        <f>IF(J$2="Y",IF(MaGic_AVM_Land!J21=0,"",MaGic_AVM_Land!J21),"")</f>
        <v/>
      </c>
      <c r="K21" s="71" t="str">
        <f>IF(K$2="Y",IF(MaGic_AVM_Land!K21=0,"",MaGic_AVM_Land!K21),"")</f>
        <v/>
      </c>
      <c r="L21" s="71" t="str">
        <f>IF(L$2="Y",IF(MaGic_AVM_Land!L21=0,"",MaGic_AVM_Land!L21),"")</f>
        <v/>
      </c>
      <c r="M21" s="71" t="str">
        <f>IF(M$2="Y",IF(MaGic_AVM_Land!M21=0,"",MaGic_AVM_Land!M21),"")</f>
        <v/>
      </c>
      <c r="N21" s="71" t="str">
        <f>IF(N$2="Y",IF(MaGic_AVM_Land!N21=0,"",MaGic_AVM_Land!N21),"")</f>
        <v/>
      </c>
      <c r="O21" s="71" t="str">
        <f>IF(O$2="Y",IF(MaGic_AVM_Land!O21=0,"",MaGic_AVM_Land!O21),"")</f>
        <v/>
      </c>
      <c r="P21" s="71" t="str">
        <f>IF(P$2="Y",IF(MaGic_AVM_Land!P21=0,"",MaGic_AVM_Land!P21),"")</f>
        <v/>
      </c>
      <c r="Q21" s="71" t="str">
        <f>IF(Q$2="Y",IF(MaGic_AVM_Land!Q21=0,"",MaGic_AVM_Land!Q21),"")</f>
        <v/>
      </c>
      <c r="R21" s="71" t="str">
        <f>IF(R$2="Y",IF(MaGic_AVM_Land!R21=0,"",MaGic_AVM_Land!R21),"")</f>
        <v/>
      </c>
      <c r="S21" s="71" t="str">
        <f>IF(S$2="Y",IF(MaGic_AVM_Land!S21=0,"",MaGic_AVM_Land!S21),"")</f>
        <v/>
      </c>
      <c r="T21" s="71" t="str">
        <f>IF(T$2="Y",IF(MaGic_AVM_Land!T21=0,"",MaGic_AVM_Land!T21),"")</f>
        <v/>
      </c>
      <c r="U21" s="71" t="str">
        <f>IF(U$2="Y",IF(MaGic_AVM_Land!U21=0,"",MaGic_AVM_Land!U21),"")</f>
        <v/>
      </c>
      <c r="V21" s="71" t="str">
        <f>IF(V$2="Y",IF(MaGic_AVM_Land!V21=0,"",MaGic_AVM_Land!V21),"")</f>
        <v/>
      </c>
      <c r="W21" s="71" t="str">
        <f>IF(W$2="Y",IF(MaGic_AVM_Land!W21=0,"",MaGic_AVM_Land!W21),"")</f>
        <v/>
      </c>
      <c r="X21" s="71" t="str">
        <f>IF(X$2="Y",IF(MaGic_AVM_Land!X21=0,"",MaGic_AVM_Land!X21),"")</f>
        <v/>
      </c>
      <c r="Y21" s="71" t="str">
        <f>IF(Y$2="Y",IF(MaGic_AVM_Land!Y21=0,"",MaGic_AVM_Land!Y21),"")</f>
        <v/>
      </c>
      <c r="Z21" s="71" t="str">
        <f>IF(Z$2="Y",IF(MaGic_AVM_Land!Z21=0,"",MaGic_AVM_Land!Z21),"")</f>
        <v/>
      </c>
      <c r="AA21" s="69" t="str">
        <f t="shared" si="2"/>
        <v/>
      </c>
      <c r="AB21" s="69" t="str" cm="1">
        <f t="array" ref="AB21">_xlfn.UNIQUE(C21:Z21,TRUE,FALSE)</f>
        <v/>
      </c>
    </row>
    <row r="22" spans="1:28">
      <c r="A22" s="70">
        <v>20</v>
      </c>
      <c r="B22" s="70" t="s">
        <v>82</v>
      </c>
      <c r="C22" s="71" t="str">
        <f>IF(C$2="Y",IF(MaGic_AVM_Land!C22=0,"",MaGic_AVM_Land!C22),"")</f>
        <v/>
      </c>
      <c r="D22" s="71" t="str">
        <f>IF(D$2="Y",IF(MaGic_AVM_Land!D22=0,"",MaGic_AVM_Land!D22),"")</f>
        <v/>
      </c>
      <c r="E22" s="71" t="str">
        <f>IF(E$2="Y",IF(MaGic_AVM_Land!E22=0,"",MaGic_AVM_Land!E22),"")</f>
        <v/>
      </c>
      <c r="F22" s="71" t="str">
        <f>IF(F$2="Y",IF(MaGic_AVM_Land!F22=0,"",MaGic_AVM_Land!F22),"")</f>
        <v/>
      </c>
      <c r="G22" s="71" t="str">
        <f>IF(G$2="Y",IF(MaGic_AVM_Land!G22=0,"",MaGic_AVM_Land!G22),"")</f>
        <v/>
      </c>
      <c r="H22" s="71" t="str">
        <f>IF(H$2="Y",IF(MaGic_AVM_Land!H22=0,"",MaGic_AVM_Land!H22),"")</f>
        <v/>
      </c>
      <c r="I22" s="71" t="str">
        <f>IF(I$2="Y",IF(MaGic_AVM_Land!I22=0,"",MaGic_AVM_Land!I22),"")</f>
        <v/>
      </c>
      <c r="J22" s="71" t="str">
        <f>IF(J$2="Y",IF(MaGic_AVM_Land!J22=0,"",MaGic_AVM_Land!J22),"")</f>
        <v/>
      </c>
      <c r="K22" s="71" t="str">
        <f>IF(K$2="Y",IF(MaGic_AVM_Land!K22=0,"",MaGic_AVM_Land!K22),"")</f>
        <v/>
      </c>
      <c r="L22" s="71" t="str">
        <f>IF(L$2="Y",IF(MaGic_AVM_Land!L22=0,"",MaGic_AVM_Land!L22),"")</f>
        <v/>
      </c>
      <c r="M22" s="71" t="str">
        <f>IF(M$2="Y",IF(MaGic_AVM_Land!M22=0,"",MaGic_AVM_Land!M22),"")</f>
        <v/>
      </c>
      <c r="N22" s="71" t="str">
        <f>IF(N$2="Y",IF(MaGic_AVM_Land!N22=0,"",MaGic_AVM_Land!N22),"")</f>
        <v/>
      </c>
      <c r="O22" s="71" t="str">
        <f>IF(O$2="Y",IF(MaGic_AVM_Land!O22=0,"",MaGic_AVM_Land!O22),"")</f>
        <v/>
      </c>
      <c r="P22" s="71" t="str">
        <f>IF(P$2="Y",IF(MaGic_AVM_Land!P22=0,"",MaGic_AVM_Land!P22),"")</f>
        <v/>
      </c>
      <c r="Q22" s="71" t="str">
        <f>IF(Q$2="Y",IF(MaGic_AVM_Land!Q22=0,"",MaGic_AVM_Land!Q22),"")</f>
        <v/>
      </c>
      <c r="R22" s="71" t="str">
        <f>IF(R$2="Y",IF(MaGic_AVM_Land!R22=0,"",MaGic_AVM_Land!R22),"")</f>
        <v/>
      </c>
      <c r="S22" s="71" t="str">
        <f>IF(S$2="Y",IF(MaGic_AVM_Land!S22=0,"",MaGic_AVM_Land!S22),"")</f>
        <v/>
      </c>
      <c r="T22" s="71" t="str">
        <f>IF(T$2="Y",IF(MaGic_AVM_Land!T22=0,"",MaGic_AVM_Land!T22),"")</f>
        <v/>
      </c>
      <c r="U22" s="71" t="str">
        <f>IF(U$2="Y",IF(MaGic_AVM_Land!U22=0,"",MaGic_AVM_Land!U22),"")</f>
        <v/>
      </c>
      <c r="V22" s="71" t="str">
        <f>IF(V$2="Y",IF(MaGic_AVM_Land!V22=0,"",MaGic_AVM_Land!V22),"")</f>
        <v/>
      </c>
      <c r="W22" s="71" t="str">
        <f>IF(W$2="Y",IF(MaGic_AVM_Land!W22=0,"",MaGic_AVM_Land!W22),"")</f>
        <v/>
      </c>
      <c r="X22" s="71" t="str">
        <f>IF(X$2="Y",IF(MaGic_AVM_Land!X22=0,"",MaGic_AVM_Land!X22),"")</f>
        <v/>
      </c>
      <c r="Y22" s="71" t="str">
        <f>IF(Y$2="Y",IF(MaGic_AVM_Land!Y22=0,"",MaGic_AVM_Land!Y22),"")</f>
        <v/>
      </c>
      <c r="Z22" s="71" t="str">
        <f>IF(Z$2="Y",IF(MaGic_AVM_Land!Z22=0,"",MaGic_AVM_Land!Z22),"")</f>
        <v/>
      </c>
      <c r="AA22" s="69" t="str">
        <f t="shared" si="2"/>
        <v/>
      </c>
      <c r="AB22" s="69" t="str" cm="1">
        <f t="array" ref="AB22">_xlfn.UNIQUE(C22:Z22,TRUE,FALSE)</f>
        <v/>
      </c>
    </row>
    <row r="23" spans="1:28">
      <c r="A23" s="70">
        <v>21</v>
      </c>
      <c r="B23" s="70" t="s">
        <v>83</v>
      </c>
      <c r="C23" s="70" t="str">
        <f>IF(C$2="Y",IF(MaGic_AVM_Land!C23=0,"",MaGic_AVM_Land!C23),"")</f>
        <v/>
      </c>
      <c r="D23" s="70" t="str">
        <f>IF(D$2="Y",IF(MaGic_AVM_Land!D23=0,"",MaGic_AVM_Land!D23),"")</f>
        <v/>
      </c>
      <c r="E23" s="70" t="str">
        <f>IF(E$2="Y",IF(MaGic_AVM_Land!E23=0,"",MaGic_AVM_Land!E23),"")</f>
        <v/>
      </c>
      <c r="F23" s="70" t="str">
        <f>IF(F$2="Y",IF(MaGic_AVM_Land!F23=0,"",MaGic_AVM_Land!F23),"")</f>
        <v/>
      </c>
      <c r="G23" s="70" t="str">
        <f>IF(G$2="Y",IF(MaGic_AVM_Land!G23=0,"",MaGic_AVM_Land!G23),"")</f>
        <v/>
      </c>
      <c r="H23" s="70" t="str">
        <f>IF(H$2="Y",IF(MaGic_AVM_Land!H23=0,"",MaGic_AVM_Land!H23),"")</f>
        <v/>
      </c>
      <c r="I23" s="70" t="str">
        <f>IF(I$2="Y",IF(MaGic_AVM_Land!I23=0,"",MaGic_AVM_Land!I23),"")</f>
        <v/>
      </c>
      <c r="J23" s="70" t="str">
        <f>IF(J$2="Y",IF(MaGic_AVM_Land!J23=0,"",MaGic_AVM_Land!J23),"")</f>
        <v/>
      </c>
      <c r="K23" s="70" t="str">
        <f>IF(K$2="Y",IF(MaGic_AVM_Land!K23=0,"",MaGic_AVM_Land!K23),"")</f>
        <v/>
      </c>
      <c r="L23" s="70" t="str">
        <f>IF(L$2="Y",IF(MaGic_AVM_Land!L23=0,"",MaGic_AVM_Land!L23),"")</f>
        <v/>
      </c>
      <c r="M23" s="70" t="str">
        <f>IF(M$2="Y",IF(MaGic_AVM_Land!M23=0,"",MaGic_AVM_Land!M23),"")</f>
        <v/>
      </c>
      <c r="N23" s="70" t="str">
        <f>IF(N$2="Y",IF(MaGic_AVM_Land!N23=0,"",MaGic_AVM_Land!N23),"")</f>
        <v/>
      </c>
      <c r="O23" s="70" t="str">
        <f>IF(O$2="Y",IF(MaGic_AVM_Land!O23=0,"",MaGic_AVM_Land!O23),"")</f>
        <v/>
      </c>
      <c r="P23" s="70" t="str">
        <f>IF(P$2="Y",IF(MaGic_AVM_Land!P23=0,"",MaGic_AVM_Land!P23),"")</f>
        <v/>
      </c>
      <c r="Q23" s="70" t="str">
        <f>IF(Q$2="Y",IF(MaGic_AVM_Land!Q23=0,"",MaGic_AVM_Land!Q23),"")</f>
        <v/>
      </c>
      <c r="R23" s="70" t="str">
        <f>IF(R$2="Y",IF(MaGic_AVM_Land!R23=0,"",MaGic_AVM_Land!R23),"")</f>
        <v/>
      </c>
      <c r="S23" s="70" t="str">
        <f>IF(S$2="Y",IF(MaGic_AVM_Land!S23=0,"",MaGic_AVM_Land!S23),"")</f>
        <v/>
      </c>
      <c r="T23" s="70" t="str">
        <f>IF(T$2="Y",IF(MaGic_AVM_Land!T23=0,"",MaGic_AVM_Land!T23),"")</f>
        <v/>
      </c>
      <c r="U23" s="70" t="str">
        <f>IF(U$2="Y",IF(MaGic_AVM_Land!U23=0,"",MaGic_AVM_Land!U23),"")</f>
        <v/>
      </c>
      <c r="V23" s="70" t="str">
        <f>IF(V$2="Y",IF(MaGic_AVM_Land!V23=0,"",MaGic_AVM_Land!V23),"")</f>
        <v/>
      </c>
      <c r="W23" s="70" t="str">
        <f>IF(W$2="Y",IF(MaGic_AVM_Land!W23=0,"",MaGic_AVM_Land!W23),"")</f>
        <v/>
      </c>
      <c r="X23" s="70" t="str">
        <f>IF(X$2="Y",IF(MaGic_AVM_Land!X23=0,"",MaGic_AVM_Land!X23),"")</f>
        <v/>
      </c>
      <c r="Y23" s="70" t="str">
        <f>IF(Y$2="Y",IF(MaGic_AVM_Land!Y23=0,"",MaGic_AVM_Land!Y23),"")</f>
        <v/>
      </c>
      <c r="Z23" s="70" t="str">
        <f>IF(Z$2="Y",IF(MaGic_AVM_Land!Z23=0,"",MaGic_AVM_Land!Z23),"")</f>
        <v/>
      </c>
      <c r="AA23" s="69">
        <f>SUM(C23:Z23)</f>
        <v>0</v>
      </c>
      <c r="AB23" s="69" t="str" cm="1">
        <f t="array" ref="AB23">_xlfn.UNIQUE(C23:Z23,TRUE,FALSE)</f>
        <v/>
      </c>
    </row>
    <row r="24" spans="1:28">
      <c r="A24" s="70">
        <v>22</v>
      </c>
      <c r="B24" s="70" t="s">
        <v>84</v>
      </c>
      <c r="C24" s="70" t="str">
        <f>IF(C$2="Y",IF(MaGic_AVM_Land!C24=0,"",MaGic_AVM_Land!C24),"")</f>
        <v/>
      </c>
      <c r="D24" s="70" t="str">
        <f>IF(D$2="Y",IF(MaGic_AVM_Land!D24=0,"",MaGic_AVM_Land!D24),"")</f>
        <v/>
      </c>
      <c r="E24" s="70" t="str">
        <f>IF(E$2="Y",IF(MaGic_AVM_Land!E24=0,"",MaGic_AVM_Land!E24),"")</f>
        <v/>
      </c>
      <c r="F24" s="70" t="str">
        <f>IF(F$2="Y",IF(MaGic_AVM_Land!F24=0,"",MaGic_AVM_Land!F24),"")</f>
        <v/>
      </c>
      <c r="G24" s="70" t="str">
        <f>IF(G$2="Y",IF(MaGic_AVM_Land!G24=0,"",MaGic_AVM_Land!G24),"")</f>
        <v/>
      </c>
      <c r="H24" s="70" t="str">
        <f>IF(H$2="Y",IF(MaGic_AVM_Land!H24=0,"",MaGic_AVM_Land!H24),"")</f>
        <v/>
      </c>
      <c r="I24" s="70" t="str">
        <f>IF(I$2="Y",IF(MaGic_AVM_Land!I24=0,"",MaGic_AVM_Land!I24),"")</f>
        <v/>
      </c>
      <c r="J24" s="70" t="str">
        <f>IF(J$2="Y",IF(MaGic_AVM_Land!J24=0,"",MaGic_AVM_Land!J24),"")</f>
        <v/>
      </c>
      <c r="K24" s="70" t="str">
        <f>IF(K$2="Y",IF(MaGic_AVM_Land!K24=0,"",MaGic_AVM_Land!K24),"")</f>
        <v/>
      </c>
      <c r="L24" s="70" t="str">
        <f>IF(L$2="Y",IF(MaGic_AVM_Land!L24=0,"",MaGic_AVM_Land!L24),"")</f>
        <v/>
      </c>
      <c r="M24" s="70" t="str">
        <f>IF(M$2="Y",IF(MaGic_AVM_Land!M24=0,"",MaGic_AVM_Land!M24),"")</f>
        <v/>
      </c>
      <c r="N24" s="70" t="str">
        <f>IF(N$2="Y",IF(MaGic_AVM_Land!N24=0,"",MaGic_AVM_Land!N24),"")</f>
        <v/>
      </c>
      <c r="O24" s="70" t="str">
        <f>IF(O$2="Y",IF(MaGic_AVM_Land!O24=0,"",MaGic_AVM_Land!O24),"")</f>
        <v/>
      </c>
      <c r="P24" s="70" t="str">
        <f>IF(P$2="Y",IF(MaGic_AVM_Land!P24=0,"",MaGic_AVM_Land!P24),"")</f>
        <v/>
      </c>
      <c r="Q24" s="70" t="str">
        <f>IF(Q$2="Y",IF(MaGic_AVM_Land!Q24=0,"",MaGic_AVM_Land!Q24),"")</f>
        <v/>
      </c>
      <c r="R24" s="70" t="str">
        <f>IF(R$2="Y",IF(MaGic_AVM_Land!R24=0,"",MaGic_AVM_Land!R24),"")</f>
        <v/>
      </c>
      <c r="S24" s="70" t="str">
        <f>IF(S$2="Y",IF(MaGic_AVM_Land!S24=0,"",MaGic_AVM_Land!S24),"")</f>
        <v/>
      </c>
      <c r="T24" s="70" t="str">
        <f>IF(T$2="Y",IF(MaGic_AVM_Land!T24=0,"",MaGic_AVM_Land!T24),"")</f>
        <v/>
      </c>
      <c r="U24" s="70" t="str">
        <f>IF(U$2="Y",IF(MaGic_AVM_Land!U24=0,"",MaGic_AVM_Land!U24),"")</f>
        <v/>
      </c>
      <c r="V24" s="70" t="str">
        <f>IF(V$2="Y",IF(MaGic_AVM_Land!V24=0,"",MaGic_AVM_Land!V24),"")</f>
        <v/>
      </c>
      <c r="W24" s="70" t="str">
        <f>IF(W$2="Y",IF(MaGic_AVM_Land!W24=0,"",MaGic_AVM_Land!W24),"")</f>
        <v/>
      </c>
      <c r="X24" s="70" t="str">
        <f>IF(X$2="Y",IF(MaGic_AVM_Land!X24=0,"",MaGic_AVM_Land!X24),"")</f>
        <v/>
      </c>
      <c r="Y24" s="70" t="str">
        <f>IF(Y$2="Y",IF(MaGic_AVM_Land!Y24=0,"",MaGic_AVM_Land!Y24),"")</f>
        <v/>
      </c>
      <c r="Z24" s="70" t="str">
        <f>IF(Z$2="Y",IF(MaGic_AVM_Land!Z24=0,"",MaGic_AVM_Land!Z24),"")</f>
        <v/>
      </c>
      <c r="AA24" s="69" t="str">
        <f>_xlfn.TEXTJOIN(", ",TRUE,AB24:AZ24)</f>
        <v/>
      </c>
      <c r="AB24" s="69" t="str" cm="1">
        <f t="array" ref="AB24">_xlfn.UNIQUE(C24:Z24,TRUE,FALSE)</f>
        <v/>
      </c>
    </row>
    <row r="25" spans="1:28">
      <c r="A25" s="70"/>
      <c r="B25" s="70" t="s">
        <v>168</v>
      </c>
      <c r="C25" s="70" t="str">
        <f>IF(C$2="Y",IF(MaGic_AVM_Land!C25=0,"",MaGic_AVM_Land!C25),"")</f>
        <v/>
      </c>
      <c r="D25" s="70" t="str">
        <f>IF(D$2="Y",IF(MaGic_AVM_Land!D25=0,"",MaGic_AVM_Land!D25),"")</f>
        <v/>
      </c>
      <c r="E25" s="70" t="str">
        <f>IF(E$2="Y",IF(MaGic_AVM_Land!E25=0,"",MaGic_AVM_Land!E25),"")</f>
        <v/>
      </c>
      <c r="F25" s="70" t="str">
        <f>IF(F$2="Y",IF(MaGic_AVM_Land!F25=0,"",MaGic_AVM_Land!F25),"")</f>
        <v/>
      </c>
      <c r="G25" s="70" t="str">
        <f>IF(G$2="Y",IF(MaGic_AVM_Land!G25=0,"",MaGic_AVM_Land!G25),"")</f>
        <v/>
      </c>
      <c r="H25" s="70" t="str">
        <f>IF(H$2="Y",IF(MaGic_AVM_Land!H25=0,"",MaGic_AVM_Land!H25),"")</f>
        <v/>
      </c>
      <c r="I25" s="70" t="str">
        <f>IF(I$2="Y",IF(MaGic_AVM_Land!I25=0,"",MaGic_AVM_Land!I25),"")</f>
        <v/>
      </c>
      <c r="J25" s="70" t="str">
        <f>IF(J$2="Y",IF(MaGic_AVM_Land!J25=0,"",MaGic_AVM_Land!J25),"")</f>
        <v/>
      </c>
      <c r="K25" s="70" t="str">
        <f>IF(K$2="Y",IF(MaGic_AVM_Land!K25=0,"",MaGic_AVM_Land!K25),"")</f>
        <v/>
      </c>
      <c r="L25" s="70" t="str">
        <f>IF(L$2="Y",IF(MaGic_AVM_Land!L25=0,"",MaGic_AVM_Land!L25),"")</f>
        <v/>
      </c>
      <c r="M25" s="70" t="str">
        <f>IF(M$2="Y",IF(MaGic_AVM_Land!M25=0,"",MaGic_AVM_Land!M25),"")</f>
        <v/>
      </c>
      <c r="N25" s="70" t="str">
        <f>IF(N$2="Y",IF(MaGic_AVM_Land!N25=0,"",MaGic_AVM_Land!N25),"")</f>
        <v/>
      </c>
      <c r="O25" s="70" t="str">
        <f>IF(O$2="Y",IF(MaGic_AVM_Land!O25=0,"",MaGic_AVM_Land!O25),"")</f>
        <v/>
      </c>
      <c r="P25" s="70" t="str">
        <f>IF(P$2="Y",IF(MaGic_AVM_Land!P25=0,"",MaGic_AVM_Land!P25),"")</f>
        <v/>
      </c>
      <c r="Q25" s="70" t="str">
        <f>IF(Q$2="Y",IF(MaGic_AVM_Land!Q25=0,"",MaGic_AVM_Land!Q25),"")</f>
        <v/>
      </c>
      <c r="R25" s="70" t="str">
        <f>IF(R$2="Y",IF(MaGic_AVM_Land!R25=0,"",MaGic_AVM_Land!R25),"")</f>
        <v/>
      </c>
      <c r="S25" s="70" t="str">
        <f>IF(S$2="Y",IF(MaGic_AVM_Land!S25=0,"",MaGic_AVM_Land!S25),"")</f>
        <v/>
      </c>
      <c r="T25" s="70" t="str">
        <f>IF(T$2="Y",IF(MaGic_AVM_Land!T25=0,"",MaGic_AVM_Land!T25),"")</f>
        <v/>
      </c>
      <c r="U25" s="70" t="str">
        <f>IF(U$2="Y",IF(MaGic_AVM_Land!U25=0,"",MaGic_AVM_Land!U25),"")</f>
        <v/>
      </c>
      <c r="V25" s="70" t="str">
        <f>IF(V$2="Y",IF(MaGic_AVM_Land!V25=0,"",MaGic_AVM_Land!V25),"")</f>
        <v/>
      </c>
      <c r="W25" s="70" t="str">
        <f>IF(W$2="Y",IF(MaGic_AVM_Land!W25=0,"",MaGic_AVM_Land!W25),"")</f>
        <v/>
      </c>
      <c r="X25" s="70" t="str">
        <f>IF(X$2="Y",IF(MaGic_AVM_Land!X25=0,"",MaGic_AVM_Land!X25),"")</f>
        <v/>
      </c>
      <c r="Y25" s="70" t="str">
        <f>IF(Y$2="Y",IF(MaGic_AVM_Land!Y25=0,"",MaGic_AVM_Land!Y25),"")</f>
        <v/>
      </c>
      <c r="Z25" s="70" t="str">
        <f>IF(Z$2="Y",IF(MaGic_AVM_Land!Z25=0,"",MaGic_AVM_Land!Z25),"")</f>
        <v/>
      </c>
      <c r="AB25" s="69" t="str" cm="1">
        <f t="array" ref="AB25">_xlfn.UNIQUE(C25:Z25,TRUE,FALSE)</f>
        <v/>
      </c>
    </row>
    <row r="26" spans="1:28" s="68" customFormat="1">
      <c r="A26" s="72">
        <v>24</v>
      </c>
      <c r="B26" s="72" t="s">
        <v>91</v>
      </c>
      <c r="C26" s="72" t="str">
        <f>IF(C$2="Y",IF(MaGic_AVM_Land!C26=0,"",MaGic_AVM_Land!C26),"")</f>
        <v/>
      </c>
      <c r="D26" s="72" t="str">
        <f>IF(D$2="Y",IF(MaGic_AVM_Land!D26=0,"",MaGic_AVM_Land!D26),"")</f>
        <v/>
      </c>
      <c r="E26" s="72" t="str">
        <f>IF(E$2="Y",IF(MaGic_AVM_Land!E26=0,"",MaGic_AVM_Land!E26),"")</f>
        <v/>
      </c>
      <c r="F26" s="72" t="str">
        <f>IF(F$2="Y",IF(MaGic_AVM_Land!F26=0,"",MaGic_AVM_Land!F26),"")</f>
        <v/>
      </c>
      <c r="G26" s="72" t="str">
        <f>IF(G$2="Y",IF(MaGic_AVM_Land!G26=0,"",MaGic_AVM_Land!G26),"")</f>
        <v/>
      </c>
      <c r="H26" s="72" t="str">
        <f>IF(H$2="Y",IF(MaGic_AVM_Land!H26=0,"",MaGic_AVM_Land!H26),"")</f>
        <v/>
      </c>
      <c r="I26" s="72" t="str">
        <f>IF(I$2="Y",IF(MaGic_AVM_Land!I26=0,"",MaGic_AVM_Land!I26),"")</f>
        <v/>
      </c>
      <c r="J26" s="72" t="str">
        <f>IF(J$2="Y",IF(MaGic_AVM_Land!J26=0,"",MaGic_AVM_Land!J26),"")</f>
        <v/>
      </c>
      <c r="K26" s="72" t="str">
        <f>IF(K$2="Y",IF(MaGic_AVM_Land!K26=0,"",MaGic_AVM_Land!K26),"")</f>
        <v/>
      </c>
      <c r="L26" s="72" t="str">
        <f>IF(L$2="Y",IF(MaGic_AVM_Land!L26=0,"",MaGic_AVM_Land!L26),"")</f>
        <v/>
      </c>
      <c r="M26" s="72" t="str">
        <f>IF(M$2="Y",IF(MaGic_AVM_Land!M26=0,"",MaGic_AVM_Land!M26),"")</f>
        <v/>
      </c>
      <c r="N26" s="72" t="str">
        <f>IF(N$2="Y",IF(MaGic_AVM_Land!N26=0,"",MaGic_AVM_Land!N26),"")</f>
        <v/>
      </c>
      <c r="O26" s="72" t="str">
        <f>IF(O$2="Y",IF(MaGic_AVM_Land!O26=0,"",MaGic_AVM_Land!O26),"")</f>
        <v/>
      </c>
      <c r="P26" s="72" t="str">
        <f>IF(P$2="Y",IF(MaGic_AVM_Land!P26=0,"",MaGic_AVM_Land!P26),"")</f>
        <v/>
      </c>
      <c r="Q26" s="72" t="str">
        <f>IF(Q$2="Y",IF(MaGic_AVM_Land!Q26=0,"",MaGic_AVM_Land!Q26),"")</f>
        <v/>
      </c>
      <c r="R26" s="72" t="str">
        <f>IF(R$2="Y",IF(MaGic_AVM_Land!R26=0,"",MaGic_AVM_Land!R26),"")</f>
        <v/>
      </c>
      <c r="S26" s="72" t="str">
        <f>IF(S$2="Y",IF(MaGic_AVM_Land!S26=0,"",MaGic_AVM_Land!S26),"")</f>
        <v/>
      </c>
      <c r="T26" s="72" t="str">
        <f>IF(T$2="Y",IF(MaGic_AVM_Land!T26=0,"",MaGic_AVM_Land!T26),"")</f>
        <v/>
      </c>
      <c r="U26" s="72" t="str">
        <f>IF(U$2="Y",IF(MaGic_AVM_Land!U26=0,"",MaGic_AVM_Land!U26),"")</f>
        <v/>
      </c>
      <c r="V26" s="72" t="str">
        <f>IF(V$2="Y",IF(MaGic_AVM_Land!V26=0,"",MaGic_AVM_Land!V26),"")</f>
        <v/>
      </c>
      <c r="W26" s="72" t="str">
        <f>IF(W$2="Y",IF(MaGic_AVM_Land!W26=0,"",MaGic_AVM_Land!W26),"")</f>
        <v/>
      </c>
      <c r="X26" s="72" t="str">
        <f>IF(X$2="Y",IF(MaGic_AVM_Land!X26=0,"",MaGic_AVM_Land!X26),"")</f>
        <v/>
      </c>
      <c r="Y26" s="72" t="str">
        <f>IF(Y$2="Y",IF(MaGic_AVM_Land!Y26=0,"",MaGic_AVM_Land!Y26),"")</f>
        <v/>
      </c>
      <c r="Z26" s="72" t="str">
        <f>IF(Z$2="Y",IF(MaGic_AVM_Land!Z26=0,"",MaGic_AVM_Land!Z26),"")</f>
        <v/>
      </c>
      <c r="AA26" s="68" t="str">
        <f>_xlfn.TEXTJOIN(",",TRUE,AB26:AZ26)</f>
        <v/>
      </c>
      <c r="AB26" s="68" t="str" cm="1">
        <f t="array" ref="AB26">_xlfn.UNIQUE(C26:Z26,TRUE,FALSE)</f>
        <v/>
      </c>
    </row>
    <row r="27" spans="1:28" s="68" customFormat="1">
      <c r="A27" s="72">
        <v>25</v>
      </c>
      <c r="B27" s="72" t="s">
        <v>94</v>
      </c>
      <c r="C27" s="72" t="str">
        <f>IF(C$2="Y",IF(MaGic_AVM_Land!C27=0,"",MaGic_AVM_Land!C27),"")</f>
        <v/>
      </c>
      <c r="D27" s="72" t="str">
        <f>IF(D$2="Y",IF(MaGic_AVM_Land!D27=0,"",MaGic_AVM_Land!D27),"")</f>
        <v/>
      </c>
      <c r="E27" s="72" t="str">
        <f>IF(E$2="Y",IF(MaGic_AVM_Land!E27=0,"",MaGic_AVM_Land!E27),"")</f>
        <v/>
      </c>
      <c r="F27" s="72" t="str">
        <f>IF(F$2="Y",IF(MaGic_AVM_Land!F27=0,"",MaGic_AVM_Land!F27),"")</f>
        <v/>
      </c>
      <c r="G27" s="72" t="str">
        <f>IF(G$2="Y",IF(MaGic_AVM_Land!G27=0,"",MaGic_AVM_Land!G27),"")</f>
        <v/>
      </c>
      <c r="H27" s="72" t="str">
        <f>IF(H$2="Y",IF(MaGic_AVM_Land!H27=0,"",MaGic_AVM_Land!H27),"")</f>
        <v/>
      </c>
      <c r="I27" s="72" t="str">
        <f>IF(I$2="Y",IF(MaGic_AVM_Land!I27=0,"",MaGic_AVM_Land!I27),"")</f>
        <v/>
      </c>
      <c r="J27" s="72" t="str">
        <f>IF(J$2="Y",IF(MaGic_AVM_Land!J27=0,"",MaGic_AVM_Land!J27),"")</f>
        <v/>
      </c>
      <c r="K27" s="72" t="str">
        <f>IF(K$2="Y",IF(MaGic_AVM_Land!K27=0,"",MaGic_AVM_Land!K27),"")</f>
        <v/>
      </c>
      <c r="L27" s="72" t="str">
        <f>IF(L$2="Y",IF(MaGic_AVM_Land!L27=0,"",MaGic_AVM_Land!L27),"")</f>
        <v/>
      </c>
      <c r="M27" s="72" t="str">
        <f>IF(M$2="Y",IF(MaGic_AVM_Land!M27=0,"",MaGic_AVM_Land!M27),"")</f>
        <v/>
      </c>
      <c r="N27" s="72" t="str">
        <f>IF(N$2="Y",IF(MaGic_AVM_Land!N27=0,"",MaGic_AVM_Land!N27),"")</f>
        <v/>
      </c>
      <c r="O27" s="72" t="str">
        <f>IF(O$2="Y",IF(MaGic_AVM_Land!O27=0,"",MaGic_AVM_Land!O27),"")</f>
        <v/>
      </c>
      <c r="P27" s="72" t="str">
        <f>IF(P$2="Y",IF(MaGic_AVM_Land!P27=0,"",MaGic_AVM_Land!P27),"")</f>
        <v/>
      </c>
      <c r="Q27" s="72" t="str">
        <f>IF(Q$2="Y",IF(MaGic_AVM_Land!Q27=0,"",MaGic_AVM_Land!Q27),"")</f>
        <v/>
      </c>
      <c r="R27" s="72" t="str">
        <f>IF(R$2="Y",IF(MaGic_AVM_Land!R27=0,"",MaGic_AVM_Land!R27),"")</f>
        <v/>
      </c>
      <c r="S27" s="72" t="str">
        <f>IF(S$2="Y",IF(MaGic_AVM_Land!S27=0,"",MaGic_AVM_Land!S27),"")</f>
        <v/>
      </c>
      <c r="T27" s="72" t="str">
        <f>IF(T$2="Y",IF(MaGic_AVM_Land!T27=0,"",MaGic_AVM_Land!T27),"")</f>
        <v/>
      </c>
      <c r="U27" s="72" t="str">
        <f>IF(U$2="Y",IF(MaGic_AVM_Land!U27=0,"",MaGic_AVM_Land!U27),"")</f>
        <v/>
      </c>
      <c r="V27" s="72" t="str">
        <f>IF(V$2="Y",IF(MaGic_AVM_Land!V27=0,"",MaGic_AVM_Land!V27),"")</f>
        <v/>
      </c>
      <c r="W27" s="72" t="str">
        <f>IF(W$2="Y",IF(MaGic_AVM_Land!W27=0,"",MaGic_AVM_Land!W27),"")</f>
        <v/>
      </c>
      <c r="X27" s="72" t="str">
        <f>IF(X$2="Y",IF(MaGic_AVM_Land!X27=0,"",MaGic_AVM_Land!X27),"")</f>
        <v/>
      </c>
      <c r="Y27" s="72" t="str">
        <f>IF(Y$2="Y",IF(MaGic_AVM_Land!Y27=0,"",MaGic_AVM_Land!Y27),"")</f>
        <v/>
      </c>
      <c r="Z27" s="72" t="str">
        <f>IF(Z$2="Y",IF(MaGic_AVM_Land!Z27=0,"",MaGic_AVM_Land!Z27),"")</f>
        <v/>
      </c>
      <c r="AA27" s="68" t="str">
        <f t="shared" ref="AA27:AA29" si="3">_xlfn.TEXTJOIN(",",TRUE,AB27:AZ27)</f>
        <v/>
      </c>
      <c r="AB27" s="68" t="str" cm="1">
        <f t="array" ref="AB27">_xlfn.UNIQUE(C27:Z27,TRUE,FALSE)</f>
        <v/>
      </c>
    </row>
    <row r="28" spans="1:28" s="68" customFormat="1">
      <c r="A28" s="72">
        <v>26</v>
      </c>
      <c r="B28" s="72" t="s">
        <v>97</v>
      </c>
      <c r="C28" s="72" t="str">
        <f>IF(C$2="Y",IF(MaGic_AVM_Land!C28=0,"",MaGic_AVM_Land!C28),"")</f>
        <v/>
      </c>
      <c r="D28" s="72" t="str">
        <f>IF(D$2="Y",IF(MaGic_AVM_Land!D28=0,"",MaGic_AVM_Land!D28),"")</f>
        <v/>
      </c>
      <c r="E28" s="72" t="str">
        <f>IF(E$2="Y",IF(MaGic_AVM_Land!E28=0,"",MaGic_AVM_Land!E28),"")</f>
        <v/>
      </c>
      <c r="F28" s="72" t="str">
        <f>IF(F$2="Y",IF(MaGic_AVM_Land!F28=0,"",MaGic_AVM_Land!F28),"")</f>
        <v/>
      </c>
      <c r="G28" s="72" t="str">
        <f>IF(G$2="Y",IF(MaGic_AVM_Land!G28=0,"",MaGic_AVM_Land!G28),"")</f>
        <v/>
      </c>
      <c r="H28" s="72" t="str">
        <f>IF(H$2="Y",IF(MaGic_AVM_Land!H28=0,"",MaGic_AVM_Land!H28),"")</f>
        <v/>
      </c>
      <c r="I28" s="72" t="str">
        <f>IF(I$2="Y",IF(MaGic_AVM_Land!I28=0,"",MaGic_AVM_Land!I28),"")</f>
        <v/>
      </c>
      <c r="J28" s="72" t="str">
        <f>IF(J$2="Y",IF(MaGic_AVM_Land!J28=0,"",MaGic_AVM_Land!J28),"")</f>
        <v/>
      </c>
      <c r="K28" s="72" t="str">
        <f>IF(K$2="Y",IF(MaGic_AVM_Land!K28=0,"",MaGic_AVM_Land!K28),"")</f>
        <v/>
      </c>
      <c r="L28" s="72" t="str">
        <f>IF(L$2="Y",IF(MaGic_AVM_Land!L28=0,"",MaGic_AVM_Land!L28),"")</f>
        <v/>
      </c>
      <c r="M28" s="72" t="str">
        <f>IF(M$2="Y",IF(MaGic_AVM_Land!M28=0,"",MaGic_AVM_Land!M28),"")</f>
        <v/>
      </c>
      <c r="N28" s="72" t="str">
        <f>IF(N$2="Y",IF(MaGic_AVM_Land!N28=0,"",MaGic_AVM_Land!N28),"")</f>
        <v/>
      </c>
      <c r="O28" s="72" t="str">
        <f>IF(O$2="Y",IF(MaGic_AVM_Land!O28=0,"",MaGic_AVM_Land!O28),"")</f>
        <v/>
      </c>
      <c r="P28" s="72" t="str">
        <f>IF(P$2="Y",IF(MaGic_AVM_Land!P28=0,"",MaGic_AVM_Land!P28),"")</f>
        <v/>
      </c>
      <c r="Q28" s="72" t="str">
        <f>IF(Q$2="Y",IF(MaGic_AVM_Land!Q28=0,"",MaGic_AVM_Land!Q28),"")</f>
        <v/>
      </c>
      <c r="R28" s="72" t="str">
        <f>IF(R$2="Y",IF(MaGic_AVM_Land!R28=0,"",MaGic_AVM_Land!R28),"")</f>
        <v/>
      </c>
      <c r="S28" s="72" t="str">
        <f>IF(S$2="Y",IF(MaGic_AVM_Land!S28=0,"",MaGic_AVM_Land!S28),"")</f>
        <v/>
      </c>
      <c r="T28" s="72" t="str">
        <f>IF(T$2="Y",IF(MaGic_AVM_Land!T28=0,"",MaGic_AVM_Land!T28),"")</f>
        <v/>
      </c>
      <c r="U28" s="72" t="str">
        <f>IF(U$2="Y",IF(MaGic_AVM_Land!U28=0,"",MaGic_AVM_Land!U28),"")</f>
        <v/>
      </c>
      <c r="V28" s="72" t="str">
        <f>IF(V$2="Y",IF(MaGic_AVM_Land!V28=0,"",MaGic_AVM_Land!V28),"")</f>
        <v/>
      </c>
      <c r="W28" s="72" t="str">
        <f>IF(W$2="Y",IF(MaGic_AVM_Land!W28=0,"",MaGic_AVM_Land!W28),"")</f>
        <v/>
      </c>
      <c r="X28" s="72" t="str">
        <f>IF(X$2="Y",IF(MaGic_AVM_Land!X28=0,"",MaGic_AVM_Land!X28),"")</f>
        <v/>
      </c>
      <c r="Y28" s="72" t="str">
        <f>IF(Y$2="Y",IF(MaGic_AVM_Land!Y28=0,"",MaGic_AVM_Land!Y28),"")</f>
        <v/>
      </c>
      <c r="Z28" s="72" t="str">
        <f>IF(Z$2="Y",IF(MaGic_AVM_Land!Z28=0,"",MaGic_AVM_Land!Z28),"")</f>
        <v/>
      </c>
      <c r="AA28" s="68" t="str">
        <f t="shared" si="3"/>
        <v/>
      </c>
      <c r="AB28" s="68" t="str" cm="1">
        <f t="array" ref="AB28">_xlfn.UNIQUE(C28:Z28,TRUE,FALSE)</f>
        <v/>
      </c>
    </row>
    <row r="29" spans="1:28" s="68" customFormat="1">
      <c r="A29" s="72">
        <v>27</v>
      </c>
      <c r="B29" s="72" t="s">
        <v>100</v>
      </c>
      <c r="C29" s="72" t="str">
        <f>IF(C$2="Y",IF(MaGic_AVM_Land!C29=0,"",MaGic_AVM_Land!C29),"")</f>
        <v/>
      </c>
      <c r="D29" s="72" t="str">
        <f>IF(D$2="Y",IF(MaGic_AVM_Land!D29=0,"",MaGic_AVM_Land!D29),"")</f>
        <v/>
      </c>
      <c r="E29" s="72" t="str">
        <f>IF(E$2="Y",IF(MaGic_AVM_Land!E29=0,"",MaGic_AVM_Land!E29),"")</f>
        <v/>
      </c>
      <c r="F29" s="72" t="str">
        <f>IF(F$2="Y",IF(MaGic_AVM_Land!F29=0,"",MaGic_AVM_Land!F29),"")</f>
        <v/>
      </c>
      <c r="G29" s="72" t="str">
        <f>IF(G$2="Y",IF(MaGic_AVM_Land!G29=0,"",MaGic_AVM_Land!G29),"")</f>
        <v/>
      </c>
      <c r="H29" s="72" t="str">
        <f>IF(H$2="Y",IF(MaGic_AVM_Land!H29=0,"",MaGic_AVM_Land!H29),"")</f>
        <v/>
      </c>
      <c r="I29" s="72" t="str">
        <f>IF(I$2="Y",IF(MaGic_AVM_Land!I29=0,"",MaGic_AVM_Land!I29),"")</f>
        <v/>
      </c>
      <c r="J29" s="72" t="str">
        <f>IF(J$2="Y",IF(MaGic_AVM_Land!J29=0,"",MaGic_AVM_Land!J29),"")</f>
        <v/>
      </c>
      <c r="K29" s="72" t="str">
        <f>IF(K$2="Y",IF(MaGic_AVM_Land!K29=0,"",MaGic_AVM_Land!K29),"")</f>
        <v/>
      </c>
      <c r="L29" s="72" t="str">
        <f>IF(L$2="Y",IF(MaGic_AVM_Land!L29=0,"",MaGic_AVM_Land!L29),"")</f>
        <v/>
      </c>
      <c r="M29" s="72" t="str">
        <f>IF(M$2="Y",IF(MaGic_AVM_Land!M29=0,"",MaGic_AVM_Land!M29),"")</f>
        <v/>
      </c>
      <c r="N29" s="72" t="str">
        <f>IF(N$2="Y",IF(MaGic_AVM_Land!N29=0,"",MaGic_AVM_Land!N29),"")</f>
        <v/>
      </c>
      <c r="O29" s="72" t="str">
        <f>IF(O$2="Y",IF(MaGic_AVM_Land!O29=0,"",MaGic_AVM_Land!O29),"")</f>
        <v/>
      </c>
      <c r="P29" s="72" t="str">
        <f>IF(P$2="Y",IF(MaGic_AVM_Land!P29=0,"",MaGic_AVM_Land!P29),"")</f>
        <v/>
      </c>
      <c r="Q29" s="72" t="str">
        <f>IF(Q$2="Y",IF(MaGic_AVM_Land!Q29=0,"",MaGic_AVM_Land!Q29),"")</f>
        <v/>
      </c>
      <c r="R29" s="72" t="str">
        <f>IF(R$2="Y",IF(MaGic_AVM_Land!R29=0,"",MaGic_AVM_Land!R29),"")</f>
        <v/>
      </c>
      <c r="S29" s="72" t="str">
        <f>IF(S$2="Y",IF(MaGic_AVM_Land!S29=0,"",MaGic_AVM_Land!S29),"")</f>
        <v/>
      </c>
      <c r="T29" s="72" t="str">
        <f>IF(T$2="Y",IF(MaGic_AVM_Land!T29=0,"",MaGic_AVM_Land!T29),"")</f>
        <v/>
      </c>
      <c r="U29" s="72" t="str">
        <f>IF(U$2="Y",IF(MaGic_AVM_Land!U29=0,"",MaGic_AVM_Land!U29),"")</f>
        <v/>
      </c>
      <c r="V29" s="72" t="str">
        <f>IF(V$2="Y",IF(MaGic_AVM_Land!V29=0,"",MaGic_AVM_Land!V29),"")</f>
        <v/>
      </c>
      <c r="W29" s="72" t="str">
        <f>IF(W$2="Y",IF(MaGic_AVM_Land!W29=0,"",MaGic_AVM_Land!W29),"")</f>
        <v/>
      </c>
      <c r="X29" s="72" t="str">
        <f>IF(X$2="Y",IF(MaGic_AVM_Land!X29=0,"",MaGic_AVM_Land!X29),"")</f>
        <v/>
      </c>
      <c r="Y29" s="72" t="str">
        <f>IF(Y$2="Y",IF(MaGic_AVM_Land!Y29=0,"",MaGic_AVM_Land!Y29),"")</f>
        <v/>
      </c>
      <c r="Z29" s="72" t="str">
        <f>IF(Z$2="Y",IF(MaGic_AVM_Land!Z29=0,"",MaGic_AVM_Land!Z29),"")</f>
        <v/>
      </c>
      <c r="AA29" s="68" t="str">
        <f t="shared" si="3"/>
        <v/>
      </c>
      <c r="AB29" s="68" t="str" cm="1">
        <f t="array" ref="AB29">_xlfn.UNIQUE(C29:Z29,TRUE,FALSE)</f>
        <v/>
      </c>
    </row>
    <row r="30" spans="1:28">
      <c r="A30" s="70">
        <v>28</v>
      </c>
      <c r="B30" s="70" t="s">
        <v>175</v>
      </c>
      <c r="C30" s="70" t="str">
        <f>IF(C$2="Y",IF(MaGic_AVM_Land!C30=0,"",MaGic_AVM_Land!C30),"")</f>
        <v/>
      </c>
      <c r="D30" s="70" t="str">
        <f>IF(D$2="Y",IF(MaGic_AVM_Land!D30=0,"",MaGic_AVM_Land!D30),"")</f>
        <v/>
      </c>
      <c r="E30" s="70" t="str">
        <f>IF(E$2="Y",IF(MaGic_AVM_Land!E30=0,"",MaGic_AVM_Land!E30),"")</f>
        <v/>
      </c>
      <c r="F30" s="70" t="str">
        <f>IF(F$2="Y",IF(MaGic_AVM_Land!F30=0,"",MaGic_AVM_Land!F30),"")</f>
        <v/>
      </c>
      <c r="G30" s="70" t="str">
        <f>IF(G$2="Y",IF(MaGic_AVM_Land!G30=0,"",MaGic_AVM_Land!G30),"")</f>
        <v/>
      </c>
      <c r="H30" s="70" t="str">
        <f>IF(H$2="Y",IF(MaGic_AVM_Land!H30=0,"",MaGic_AVM_Land!H30),"")</f>
        <v/>
      </c>
      <c r="I30" s="70" t="str">
        <f>IF(I$2="Y",IF(MaGic_AVM_Land!I30=0,"",MaGic_AVM_Land!I30),"")</f>
        <v/>
      </c>
      <c r="J30" s="70" t="str">
        <f>IF(J$2="Y",IF(MaGic_AVM_Land!J30=0,"",MaGic_AVM_Land!J30),"")</f>
        <v/>
      </c>
      <c r="K30" s="70" t="str">
        <f>IF(K$2="Y",IF(MaGic_AVM_Land!K30=0,"",MaGic_AVM_Land!K30),"")</f>
        <v/>
      </c>
      <c r="L30" s="70" t="str">
        <f>IF(L$2="Y",IF(MaGic_AVM_Land!L30=0,"",MaGic_AVM_Land!L30),"")</f>
        <v/>
      </c>
      <c r="M30" s="70" t="str">
        <f>IF(M$2="Y",IF(MaGic_AVM_Land!M30=0,"",MaGic_AVM_Land!M30),"")</f>
        <v/>
      </c>
      <c r="N30" s="70" t="str">
        <f>IF(N$2="Y",IF(MaGic_AVM_Land!N30=0,"",MaGic_AVM_Land!N30),"")</f>
        <v/>
      </c>
      <c r="O30" s="70" t="str">
        <f>IF(O$2="Y",IF(MaGic_AVM_Land!O30=0,"",MaGic_AVM_Land!O30),"")</f>
        <v/>
      </c>
      <c r="P30" s="70" t="str">
        <f>IF(P$2="Y",IF(MaGic_AVM_Land!P30=0,"",MaGic_AVM_Land!P30),"")</f>
        <v/>
      </c>
      <c r="Q30" s="70" t="str">
        <f>IF(Q$2="Y",IF(MaGic_AVM_Land!Q30=0,"",MaGic_AVM_Land!Q30),"")</f>
        <v/>
      </c>
      <c r="R30" s="70" t="str">
        <f>IF(R$2="Y",IF(MaGic_AVM_Land!R30=0,"",MaGic_AVM_Land!R30),"")</f>
        <v/>
      </c>
      <c r="S30" s="70" t="str">
        <f>IF(S$2="Y",IF(MaGic_AVM_Land!S30=0,"",MaGic_AVM_Land!S30),"")</f>
        <v/>
      </c>
      <c r="T30" s="70" t="str">
        <f>IF(T$2="Y",IF(MaGic_AVM_Land!T30=0,"",MaGic_AVM_Land!T30),"")</f>
        <v/>
      </c>
      <c r="U30" s="70" t="str">
        <f>IF(U$2="Y",IF(MaGic_AVM_Land!U30=0,"",MaGic_AVM_Land!U30),"")</f>
        <v/>
      </c>
      <c r="V30" s="70" t="str">
        <f>IF(V$2="Y",IF(MaGic_AVM_Land!V30=0,"",MaGic_AVM_Land!V30),"")</f>
        <v/>
      </c>
      <c r="W30" s="70" t="str">
        <f>IF(W$2="Y",IF(MaGic_AVM_Land!W30=0,"",MaGic_AVM_Land!W30),"")</f>
        <v/>
      </c>
      <c r="X30" s="70" t="str">
        <f>IF(X$2="Y",IF(MaGic_AVM_Land!X30=0,"",MaGic_AVM_Land!X30),"")</f>
        <v/>
      </c>
      <c r="Y30" s="70" t="str">
        <f>IF(Y$2="Y",IF(MaGic_AVM_Land!Y30=0,"",MaGic_AVM_Land!Y30),"")</f>
        <v/>
      </c>
      <c r="Z30" s="70" t="str">
        <f>IF(Z$2="Y",IF(MaGic_AVM_Land!Z30=0,"",MaGic_AVM_Land!Z30),"")</f>
        <v/>
      </c>
      <c r="AB30" s="69" t="str" cm="1">
        <f t="array" ref="AB30">_xlfn.UNIQUE(C30:Z30,TRUE,FALSE)</f>
        <v/>
      </c>
    </row>
    <row r="31" spans="1:28">
      <c r="A31" s="70">
        <v>29</v>
      </c>
      <c r="B31" s="70" t="s">
        <v>1103</v>
      </c>
      <c r="C31" s="70" t="str">
        <f>IF(C$2="Y",IF(MaGic_AVM_Land!C31=0,"",MaGic_AVM_Land!C31),"")</f>
        <v/>
      </c>
      <c r="D31" s="70" t="str">
        <f>IF(D$2="Y",IF(MaGic_AVM_Land!D31=0,"",MaGic_AVM_Land!D31),"")</f>
        <v/>
      </c>
      <c r="E31" s="70" t="str">
        <f>IF(E$2="Y",IF(MaGic_AVM_Land!E31=0,"",MaGic_AVM_Land!E31),"")</f>
        <v/>
      </c>
      <c r="F31" s="70" t="str">
        <f>IF(F$2="Y",IF(MaGic_AVM_Land!F31=0,"",MaGic_AVM_Land!F31),"")</f>
        <v/>
      </c>
      <c r="G31" s="70" t="str">
        <f>IF(G$2="Y",IF(MaGic_AVM_Land!G31=0,"",MaGic_AVM_Land!G31),"")</f>
        <v/>
      </c>
      <c r="H31" s="70" t="str">
        <f>IF(H$2="Y",IF(MaGic_AVM_Land!H31=0,"",MaGic_AVM_Land!H31),"")</f>
        <v/>
      </c>
      <c r="I31" s="70" t="str">
        <f>IF(I$2="Y",IF(MaGic_AVM_Land!I31=0,"",MaGic_AVM_Land!I31),"")</f>
        <v/>
      </c>
      <c r="J31" s="70" t="str">
        <f>IF(J$2="Y",IF(MaGic_AVM_Land!J31=0,"",MaGic_AVM_Land!J31),"")</f>
        <v/>
      </c>
      <c r="K31" s="70" t="str">
        <f>IF(K$2="Y",IF(MaGic_AVM_Land!K31=0,"",MaGic_AVM_Land!K31),"")</f>
        <v/>
      </c>
      <c r="L31" s="70" t="str">
        <f>IF(L$2="Y",IF(MaGic_AVM_Land!L31=0,"",MaGic_AVM_Land!L31),"")</f>
        <v/>
      </c>
      <c r="M31" s="70" t="str">
        <f>IF(M$2="Y",IF(MaGic_AVM_Land!M31=0,"",MaGic_AVM_Land!M31),"")</f>
        <v/>
      </c>
      <c r="N31" s="70" t="str">
        <f>IF(N$2="Y",IF(MaGic_AVM_Land!N31=0,"",MaGic_AVM_Land!N31),"")</f>
        <v/>
      </c>
      <c r="O31" s="70" t="str">
        <f>IF(O$2="Y",IF(MaGic_AVM_Land!O31=0,"",MaGic_AVM_Land!O31),"")</f>
        <v/>
      </c>
      <c r="P31" s="70" t="str">
        <f>IF(P$2="Y",IF(MaGic_AVM_Land!P31=0,"",MaGic_AVM_Land!P31),"")</f>
        <v/>
      </c>
      <c r="Q31" s="70" t="str">
        <f>IF(Q$2="Y",IF(MaGic_AVM_Land!Q31=0,"",MaGic_AVM_Land!Q31),"")</f>
        <v/>
      </c>
      <c r="R31" s="70" t="str">
        <f>IF(R$2="Y",IF(MaGic_AVM_Land!R31=0,"",MaGic_AVM_Land!R31),"")</f>
        <v/>
      </c>
      <c r="S31" s="70" t="str">
        <f>IF(S$2="Y",IF(MaGic_AVM_Land!S31=0,"",MaGic_AVM_Land!S31),"")</f>
        <v/>
      </c>
      <c r="T31" s="70" t="str">
        <f>IF(T$2="Y",IF(MaGic_AVM_Land!T31=0,"",MaGic_AVM_Land!T31),"")</f>
        <v/>
      </c>
      <c r="U31" s="70" t="str">
        <f>IF(U$2="Y",IF(MaGic_AVM_Land!U31=0,"",MaGic_AVM_Land!U31),"")</f>
        <v/>
      </c>
      <c r="V31" s="70" t="str">
        <f>IF(V$2="Y",IF(MaGic_AVM_Land!V31=0,"",MaGic_AVM_Land!V31),"")</f>
        <v/>
      </c>
      <c r="W31" s="70" t="str">
        <f>IF(W$2="Y",IF(MaGic_AVM_Land!W31=0,"",MaGic_AVM_Land!W31),"")</f>
        <v/>
      </c>
      <c r="X31" s="70" t="str">
        <f>IF(X$2="Y",IF(MaGic_AVM_Land!X31=0,"",MaGic_AVM_Land!X31),"")</f>
        <v/>
      </c>
      <c r="Y31" s="70" t="str">
        <f>IF(Y$2="Y",IF(MaGic_AVM_Land!Y31=0,"",MaGic_AVM_Land!Y31),"")</f>
        <v/>
      </c>
      <c r="Z31" s="70" t="str">
        <f>IF(Z$2="Y",IF(MaGic_AVM_Land!Z31=0,"",MaGic_AVM_Land!Z31),"")</f>
        <v/>
      </c>
      <c r="AB31" s="69" t="str" cm="1">
        <f t="array" ref="AB31">_xlfn.UNIQUE(C31:Z31,TRUE,FALSE)</f>
        <v/>
      </c>
    </row>
    <row r="32" spans="1:28">
      <c r="A32" s="70">
        <v>30</v>
      </c>
      <c r="B32" s="70" t="s">
        <v>1104</v>
      </c>
      <c r="C32" s="70" t="str">
        <f>IF(C$2="Y",IF(MaGic_AVM_Land!C32=0,"",MaGic_AVM_Land!C32),"")</f>
        <v/>
      </c>
      <c r="D32" s="70" t="str">
        <f>IF(D$2="Y",IF(MaGic_AVM_Land!D32=0,"",MaGic_AVM_Land!D32),"")</f>
        <v/>
      </c>
      <c r="E32" s="70" t="str">
        <f>IF(E$2="Y",IF(MaGic_AVM_Land!E32=0,"",MaGic_AVM_Land!E32),"")</f>
        <v/>
      </c>
      <c r="F32" s="70" t="str">
        <f>IF(F$2="Y",IF(MaGic_AVM_Land!F32=0,"",MaGic_AVM_Land!F32),"")</f>
        <v/>
      </c>
      <c r="G32" s="70" t="str">
        <f>IF(G$2="Y",IF(MaGic_AVM_Land!G32=0,"",MaGic_AVM_Land!G32),"")</f>
        <v/>
      </c>
      <c r="H32" s="70" t="str">
        <f>IF(H$2="Y",IF(MaGic_AVM_Land!H32=0,"",MaGic_AVM_Land!H32),"")</f>
        <v/>
      </c>
      <c r="I32" s="70" t="str">
        <f>IF(I$2="Y",IF(MaGic_AVM_Land!I32=0,"",MaGic_AVM_Land!I32),"")</f>
        <v/>
      </c>
      <c r="J32" s="70" t="str">
        <f>IF(J$2="Y",IF(MaGic_AVM_Land!J32=0,"",MaGic_AVM_Land!J32),"")</f>
        <v/>
      </c>
      <c r="K32" s="70" t="str">
        <f>IF(K$2="Y",IF(MaGic_AVM_Land!K32=0,"",MaGic_AVM_Land!K32),"")</f>
        <v/>
      </c>
      <c r="L32" s="70" t="str">
        <f>IF(L$2="Y",IF(MaGic_AVM_Land!L32=0,"",MaGic_AVM_Land!L32),"")</f>
        <v/>
      </c>
      <c r="M32" s="70" t="str">
        <f>IF(M$2="Y",IF(MaGic_AVM_Land!M32=0,"",MaGic_AVM_Land!M32),"")</f>
        <v/>
      </c>
      <c r="N32" s="70" t="str">
        <f>IF(N$2="Y",IF(MaGic_AVM_Land!N32=0,"",MaGic_AVM_Land!N32),"")</f>
        <v/>
      </c>
      <c r="O32" s="70" t="str">
        <f>IF(O$2="Y",IF(MaGic_AVM_Land!O32=0,"",MaGic_AVM_Land!O32),"")</f>
        <v/>
      </c>
      <c r="P32" s="70" t="str">
        <f>IF(P$2="Y",IF(MaGic_AVM_Land!P32=0,"",MaGic_AVM_Land!P32),"")</f>
        <v/>
      </c>
      <c r="Q32" s="70" t="str">
        <f>IF(Q$2="Y",IF(MaGic_AVM_Land!Q32=0,"",MaGic_AVM_Land!Q32),"")</f>
        <v/>
      </c>
      <c r="R32" s="70" t="str">
        <f>IF(R$2="Y",IF(MaGic_AVM_Land!R32=0,"",MaGic_AVM_Land!R32),"")</f>
        <v/>
      </c>
      <c r="S32" s="70" t="str">
        <f>IF(S$2="Y",IF(MaGic_AVM_Land!S32=0,"",MaGic_AVM_Land!S32),"")</f>
        <v/>
      </c>
      <c r="T32" s="70" t="str">
        <f>IF(T$2="Y",IF(MaGic_AVM_Land!T32=0,"",MaGic_AVM_Land!T32),"")</f>
        <v/>
      </c>
      <c r="U32" s="70" t="str">
        <f>IF(U$2="Y",IF(MaGic_AVM_Land!U32=0,"",MaGic_AVM_Land!U32),"")</f>
        <v/>
      </c>
      <c r="V32" s="70" t="str">
        <f>IF(V$2="Y",IF(MaGic_AVM_Land!V32=0,"",MaGic_AVM_Land!V32),"")</f>
        <v/>
      </c>
      <c r="W32" s="70" t="str">
        <f>IF(W$2="Y",IF(MaGic_AVM_Land!W32=0,"",MaGic_AVM_Land!W32),"")</f>
        <v/>
      </c>
      <c r="X32" s="70" t="str">
        <f>IF(X$2="Y",IF(MaGic_AVM_Land!X32=0,"",MaGic_AVM_Land!X32),"")</f>
        <v/>
      </c>
      <c r="Y32" s="70" t="str">
        <f>IF(Y$2="Y",IF(MaGic_AVM_Land!Y32=0,"",MaGic_AVM_Land!Y32),"")</f>
        <v/>
      </c>
      <c r="Z32" s="70" t="str">
        <f>IF(Z$2="Y",IF(MaGic_AVM_Land!Z32=0,"",MaGic_AVM_Land!Z32),"")</f>
        <v/>
      </c>
      <c r="AB32" s="69" t="str" cm="1">
        <f t="array" ref="AB32">_xlfn.UNIQUE(C32:Z32,TRUE,FALSE)</f>
        <v/>
      </c>
    </row>
    <row r="33" spans="1:28">
      <c r="A33" s="70">
        <v>31</v>
      </c>
      <c r="B33" s="70" t="s">
        <v>1105</v>
      </c>
      <c r="C33" s="70" t="str">
        <f>IF(C$2="Y",IF(MaGic_AVM_Land!C33=0,"",MaGic_AVM_Land!C33),"")</f>
        <v/>
      </c>
      <c r="D33" s="70" t="str">
        <f>IF(D$2="Y",IF(MaGic_AVM_Land!D33=0,"",MaGic_AVM_Land!D33),"")</f>
        <v/>
      </c>
      <c r="E33" s="70" t="str">
        <f>IF(E$2="Y",IF(MaGic_AVM_Land!E33=0,"",MaGic_AVM_Land!E33),"")</f>
        <v/>
      </c>
      <c r="F33" s="70" t="str">
        <f>IF(F$2="Y",IF(MaGic_AVM_Land!F33=0,"",MaGic_AVM_Land!F33),"")</f>
        <v/>
      </c>
      <c r="G33" s="70" t="str">
        <f>IF(G$2="Y",IF(MaGic_AVM_Land!G33=0,"",MaGic_AVM_Land!G33),"")</f>
        <v/>
      </c>
      <c r="H33" s="70" t="str">
        <f>IF(H$2="Y",IF(MaGic_AVM_Land!H33=0,"",MaGic_AVM_Land!H33),"")</f>
        <v/>
      </c>
      <c r="I33" s="70" t="str">
        <f>IF(I$2="Y",IF(MaGic_AVM_Land!I33=0,"",MaGic_AVM_Land!I33),"")</f>
        <v/>
      </c>
      <c r="J33" s="70" t="str">
        <f>IF(J$2="Y",IF(MaGic_AVM_Land!J33=0,"",MaGic_AVM_Land!J33),"")</f>
        <v/>
      </c>
      <c r="K33" s="70" t="str">
        <f>IF(K$2="Y",IF(MaGic_AVM_Land!K33=0,"",MaGic_AVM_Land!K33),"")</f>
        <v/>
      </c>
      <c r="L33" s="70" t="str">
        <f>IF(L$2="Y",IF(MaGic_AVM_Land!L33=0,"",MaGic_AVM_Land!L33),"")</f>
        <v/>
      </c>
      <c r="M33" s="70" t="str">
        <f>IF(M$2="Y",IF(MaGic_AVM_Land!M33=0,"",MaGic_AVM_Land!M33),"")</f>
        <v/>
      </c>
      <c r="N33" s="70" t="str">
        <f>IF(N$2="Y",IF(MaGic_AVM_Land!N33=0,"",MaGic_AVM_Land!N33),"")</f>
        <v/>
      </c>
      <c r="O33" s="70" t="str">
        <f>IF(O$2="Y",IF(MaGic_AVM_Land!O33=0,"",MaGic_AVM_Land!O33),"")</f>
        <v/>
      </c>
      <c r="P33" s="70" t="str">
        <f>IF(P$2="Y",IF(MaGic_AVM_Land!P33=0,"",MaGic_AVM_Land!P33),"")</f>
        <v/>
      </c>
      <c r="Q33" s="70" t="str">
        <f>IF(Q$2="Y",IF(MaGic_AVM_Land!Q33=0,"",MaGic_AVM_Land!Q33),"")</f>
        <v/>
      </c>
      <c r="R33" s="70" t="str">
        <f>IF(R$2="Y",IF(MaGic_AVM_Land!R33=0,"",MaGic_AVM_Land!R33),"")</f>
        <v/>
      </c>
      <c r="S33" s="70" t="str">
        <f>IF(S$2="Y",IF(MaGic_AVM_Land!S33=0,"",MaGic_AVM_Land!S33),"")</f>
        <v/>
      </c>
      <c r="T33" s="70" t="str">
        <f>IF(T$2="Y",IF(MaGic_AVM_Land!T33=0,"",MaGic_AVM_Land!T33),"")</f>
        <v/>
      </c>
      <c r="U33" s="70" t="str">
        <f>IF(U$2="Y",IF(MaGic_AVM_Land!U33=0,"",MaGic_AVM_Land!U33),"")</f>
        <v/>
      </c>
      <c r="V33" s="70" t="str">
        <f>IF(V$2="Y",IF(MaGic_AVM_Land!V33=0,"",MaGic_AVM_Land!V33),"")</f>
        <v/>
      </c>
      <c r="W33" s="70" t="str">
        <f>IF(W$2="Y",IF(MaGic_AVM_Land!W33=0,"",MaGic_AVM_Land!W33),"")</f>
        <v/>
      </c>
      <c r="X33" s="70" t="str">
        <f>IF(X$2="Y",IF(MaGic_AVM_Land!X33=0,"",MaGic_AVM_Land!X33),"")</f>
        <v/>
      </c>
      <c r="Y33" s="70" t="str">
        <f>IF(Y$2="Y",IF(MaGic_AVM_Land!Y33=0,"",MaGic_AVM_Land!Y33),"")</f>
        <v/>
      </c>
      <c r="Z33" s="70" t="str">
        <f>IF(Z$2="Y",IF(MaGic_AVM_Land!Z33=0,"",MaGic_AVM_Land!Z33),"")</f>
        <v/>
      </c>
      <c r="AB33" s="69" t="str" cm="1">
        <f t="array" ref="AB33">_xlfn.UNIQUE(C33:Z33,TRUE,FALSE)</f>
        <v/>
      </c>
    </row>
    <row r="34" spans="1:28">
      <c r="A34" s="70"/>
      <c r="B34" s="70" t="s">
        <v>110</v>
      </c>
      <c r="C34" s="70" t="str">
        <f>IF(C$2="Y",IF(MaGic_AVM_Land!C34=0,"",MaGic_AVM_Land!C34),"")</f>
        <v/>
      </c>
      <c r="D34" s="70" t="str">
        <f>IF(D$2="Y",IF(MaGic_AVM_Land!D34=0,"",MaGic_AVM_Land!D34),"")</f>
        <v/>
      </c>
      <c r="E34" s="70" t="str">
        <f>IF(E$2="Y",IF(MaGic_AVM_Land!E34=0,"",MaGic_AVM_Land!E34),"")</f>
        <v/>
      </c>
      <c r="F34" s="70" t="str">
        <f>IF(F$2="Y",IF(MaGic_AVM_Land!F34=0,"",MaGic_AVM_Land!F34),"")</f>
        <v/>
      </c>
      <c r="G34" s="70" t="str">
        <f>IF(G$2="Y",IF(MaGic_AVM_Land!G34=0,"",MaGic_AVM_Land!G34),"")</f>
        <v/>
      </c>
      <c r="H34" s="70" t="str">
        <f>IF(H$2="Y",IF(MaGic_AVM_Land!H34=0,"",MaGic_AVM_Land!H34),"")</f>
        <v/>
      </c>
      <c r="I34" s="70" t="str">
        <f>IF(I$2="Y",IF(MaGic_AVM_Land!I34=0,"",MaGic_AVM_Land!I34),"")</f>
        <v/>
      </c>
      <c r="J34" s="70" t="str">
        <f>IF(J$2="Y",IF(MaGic_AVM_Land!J34=0,"",MaGic_AVM_Land!J34),"")</f>
        <v/>
      </c>
      <c r="K34" s="70" t="str">
        <f>IF(K$2="Y",IF(MaGic_AVM_Land!K34=0,"",MaGic_AVM_Land!K34),"")</f>
        <v/>
      </c>
      <c r="L34" s="70" t="str">
        <f>IF(L$2="Y",IF(MaGic_AVM_Land!L34=0,"",MaGic_AVM_Land!L34),"")</f>
        <v/>
      </c>
      <c r="M34" s="70" t="str">
        <f>IF(M$2="Y",IF(MaGic_AVM_Land!M34=0,"",MaGic_AVM_Land!M34),"")</f>
        <v/>
      </c>
      <c r="N34" s="70" t="str">
        <f>IF(N$2="Y",IF(MaGic_AVM_Land!N34=0,"",MaGic_AVM_Land!N34),"")</f>
        <v/>
      </c>
      <c r="O34" s="70" t="str">
        <f>IF(O$2="Y",IF(MaGic_AVM_Land!O34=0,"",MaGic_AVM_Land!O34),"")</f>
        <v/>
      </c>
      <c r="P34" s="70" t="str">
        <f>IF(P$2="Y",IF(MaGic_AVM_Land!P34=0,"",MaGic_AVM_Land!P34),"")</f>
        <v/>
      </c>
      <c r="Q34" s="70" t="str">
        <f>IF(Q$2="Y",IF(MaGic_AVM_Land!Q34=0,"",MaGic_AVM_Land!Q34),"")</f>
        <v/>
      </c>
      <c r="R34" s="70" t="str">
        <f>IF(R$2="Y",IF(MaGic_AVM_Land!R34=0,"",MaGic_AVM_Land!R34),"")</f>
        <v/>
      </c>
      <c r="S34" s="70" t="str">
        <f>IF(S$2="Y",IF(MaGic_AVM_Land!S34=0,"",MaGic_AVM_Land!S34),"")</f>
        <v/>
      </c>
      <c r="T34" s="70" t="str">
        <f>IF(T$2="Y",IF(MaGic_AVM_Land!T34=0,"",MaGic_AVM_Land!T34),"")</f>
        <v/>
      </c>
      <c r="U34" s="70" t="str">
        <f>IF(U$2="Y",IF(MaGic_AVM_Land!U34=0,"",MaGic_AVM_Land!U34),"")</f>
        <v/>
      </c>
      <c r="V34" s="70" t="str">
        <f>IF(V$2="Y",IF(MaGic_AVM_Land!V34=0,"",MaGic_AVM_Land!V34),"")</f>
        <v/>
      </c>
      <c r="W34" s="70" t="str">
        <f>IF(W$2="Y",IF(MaGic_AVM_Land!W34=0,"",MaGic_AVM_Land!W34),"")</f>
        <v/>
      </c>
      <c r="X34" s="70" t="str">
        <f>IF(X$2="Y",IF(MaGic_AVM_Land!X34=0,"",MaGic_AVM_Land!X34),"")</f>
        <v/>
      </c>
      <c r="Y34" s="70" t="str">
        <f>IF(Y$2="Y",IF(MaGic_AVM_Land!Y34=0,"",MaGic_AVM_Land!Y34),"")</f>
        <v/>
      </c>
      <c r="Z34" s="70" t="str">
        <f>IF(Z$2="Y",IF(MaGic_AVM_Land!Z34=0,"",MaGic_AVM_Land!Z34),"")</f>
        <v/>
      </c>
      <c r="AB34" s="69" t="str" cm="1">
        <f t="array" ref="AB34">_xlfn.UNIQUE(C34:Z34,TRUE,FALSE)</f>
        <v/>
      </c>
    </row>
    <row r="35" spans="1:28">
      <c r="A35" s="70">
        <v>1</v>
      </c>
      <c r="B35" s="70" t="s">
        <v>1106</v>
      </c>
      <c r="C35" s="70" t="str">
        <f>IF(C$2="Y",IF(MaGic_AVM_Land!C35=0,"",MaGic_AVM_Land!C35),"")</f>
        <v/>
      </c>
      <c r="D35" s="70" t="str">
        <f>IF(D$2="Y",IF(MaGic_AVM_Land!D35=0,"",MaGic_AVM_Land!D35),"")</f>
        <v/>
      </c>
      <c r="E35" s="70" t="str">
        <f>IF(E$2="Y",IF(MaGic_AVM_Land!E35=0,"",MaGic_AVM_Land!E35),"")</f>
        <v/>
      </c>
      <c r="F35" s="70" t="str">
        <f>IF(F$2="Y",IF(MaGic_AVM_Land!F35=0,"",MaGic_AVM_Land!F35),"")</f>
        <v/>
      </c>
      <c r="G35" s="70" t="str">
        <f>IF(G$2="Y",IF(MaGic_AVM_Land!G35=0,"",MaGic_AVM_Land!G35),"")</f>
        <v/>
      </c>
      <c r="H35" s="70" t="str">
        <f>IF(H$2="Y",IF(MaGic_AVM_Land!H35=0,"",MaGic_AVM_Land!H35),"")</f>
        <v/>
      </c>
      <c r="I35" s="70" t="str">
        <f>IF(I$2="Y",IF(MaGic_AVM_Land!I35=0,"",MaGic_AVM_Land!I35),"")</f>
        <v/>
      </c>
      <c r="J35" s="70" t="str">
        <f>IF(J$2="Y",IF(MaGic_AVM_Land!J35=0,"",MaGic_AVM_Land!J35),"")</f>
        <v/>
      </c>
      <c r="K35" s="70" t="str">
        <f>IF(K$2="Y",IF(MaGic_AVM_Land!K35=0,"",MaGic_AVM_Land!K35),"")</f>
        <v/>
      </c>
      <c r="L35" s="70" t="str">
        <f>IF(L$2="Y",IF(MaGic_AVM_Land!L35=0,"",MaGic_AVM_Land!L35),"")</f>
        <v/>
      </c>
      <c r="M35" s="70" t="str">
        <f>IF(M$2="Y",IF(MaGic_AVM_Land!M35=0,"",MaGic_AVM_Land!M35),"")</f>
        <v/>
      </c>
      <c r="N35" s="70" t="str">
        <f>IF(N$2="Y",IF(MaGic_AVM_Land!N35=0,"",MaGic_AVM_Land!N35),"")</f>
        <v/>
      </c>
      <c r="O35" s="70" t="str">
        <f>IF(O$2="Y",IF(MaGic_AVM_Land!O35=0,"",MaGic_AVM_Land!O35),"")</f>
        <v/>
      </c>
      <c r="P35" s="70" t="str">
        <f>IF(P$2="Y",IF(MaGic_AVM_Land!P35=0,"",MaGic_AVM_Land!P35),"")</f>
        <v/>
      </c>
      <c r="Q35" s="70" t="str">
        <f>IF(Q$2="Y",IF(MaGic_AVM_Land!Q35=0,"",MaGic_AVM_Land!Q35),"")</f>
        <v/>
      </c>
      <c r="R35" s="70" t="str">
        <f>IF(R$2="Y",IF(MaGic_AVM_Land!R35=0,"",MaGic_AVM_Land!R35),"")</f>
        <v/>
      </c>
      <c r="S35" s="70" t="str">
        <f>IF(S$2="Y",IF(MaGic_AVM_Land!S35=0,"",MaGic_AVM_Land!S35),"")</f>
        <v/>
      </c>
      <c r="T35" s="70" t="str">
        <f>IF(T$2="Y",IF(MaGic_AVM_Land!T35=0,"",MaGic_AVM_Land!T35),"")</f>
        <v/>
      </c>
      <c r="U35" s="70" t="str">
        <f>IF(U$2="Y",IF(MaGic_AVM_Land!U35=0,"",MaGic_AVM_Land!U35),"")</f>
        <v/>
      </c>
      <c r="V35" s="70" t="str">
        <f>IF(V$2="Y",IF(MaGic_AVM_Land!V35=0,"",MaGic_AVM_Land!V35),"")</f>
        <v/>
      </c>
      <c r="W35" s="70" t="str">
        <f>IF(W$2="Y",IF(MaGic_AVM_Land!W35=0,"",MaGic_AVM_Land!W35),"")</f>
        <v/>
      </c>
      <c r="X35" s="70" t="str">
        <f>IF(X$2="Y",IF(MaGic_AVM_Land!X35=0,"",MaGic_AVM_Land!X35),"")</f>
        <v/>
      </c>
      <c r="Y35" s="70" t="str">
        <f>IF(Y$2="Y",IF(MaGic_AVM_Land!Y35=0,"",MaGic_AVM_Land!Y35),"")</f>
        <v/>
      </c>
      <c r="Z35" s="70" t="str">
        <f>IF(Z$2="Y",IF(MaGic_AVM_Land!Z35=0,"",MaGic_AVM_Land!Z35),"")</f>
        <v/>
      </c>
      <c r="AB35" s="69" t="str" cm="1">
        <f t="array" ref="AB35">_xlfn.UNIQUE(C35:Z35,TRUE,FALSE)</f>
        <v/>
      </c>
    </row>
    <row r="36" spans="1:28">
      <c r="A36" s="70">
        <v>2</v>
      </c>
      <c r="B36" s="70" t="s">
        <v>112</v>
      </c>
      <c r="C36" s="70" t="str">
        <f>IF(C$2="Y",IF(MaGic_AVM_Land!C36=0,"",MaGic_AVM_Land!C36),"")</f>
        <v/>
      </c>
      <c r="D36" s="70" t="str">
        <f>IF(D$2="Y",IF(MaGic_AVM_Land!D36=0,"",MaGic_AVM_Land!D36),"")</f>
        <v/>
      </c>
      <c r="E36" s="70" t="str">
        <f>IF(E$2="Y",IF(MaGic_AVM_Land!E36=0,"",MaGic_AVM_Land!E36),"")</f>
        <v/>
      </c>
      <c r="F36" s="70" t="str">
        <f>IF(F$2="Y",IF(MaGic_AVM_Land!F36=0,"",MaGic_AVM_Land!F36),"")</f>
        <v/>
      </c>
      <c r="G36" s="70" t="str">
        <f>IF(G$2="Y",IF(MaGic_AVM_Land!G36=0,"",MaGic_AVM_Land!G36),"")</f>
        <v/>
      </c>
      <c r="H36" s="70" t="str">
        <f>IF(H$2="Y",IF(MaGic_AVM_Land!H36=0,"",MaGic_AVM_Land!H36),"")</f>
        <v/>
      </c>
      <c r="I36" s="70" t="str">
        <f>IF(I$2="Y",IF(MaGic_AVM_Land!I36=0,"",MaGic_AVM_Land!I36),"")</f>
        <v/>
      </c>
      <c r="J36" s="70" t="str">
        <f>IF(J$2="Y",IF(MaGic_AVM_Land!J36=0,"",MaGic_AVM_Land!J36),"")</f>
        <v/>
      </c>
      <c r="K36" s="70" t="str">
        <f>IF(K$2="Y",IF(MaGic_AVM_Land!K36=0,"",MaGic_AVM_Land!K36),"")</f>
        <v/>
      </c>
      <c r="L36" s="70" t="str">
        <f>IF(L$2="Y",IF(MaGic_AVM_Land!L36=0,"",MaGic_AVM_Land!L36),"")</f>
        <v/>
      </c>
      <c r="M36" s="70" t="str">
        <f>IF(M$2="Y",IF(MaGic_AVM_Land!M36=0,"",MaGic_AVM_Land!M36),"")</f>
        <v/>
      </c>
      <c r="N36" s="70" t="str">
        <f>IF(N$2="Y",IF(MaGic_AVM_Land!N36=0,"",MaGic_AVM_Land!N36),"")</f>
        <v/>
      </c>
      <c r="O36" s="70" t="str">
        <f>IF(O$2="Y",IF(MaGic_AVM_Land!O36=0,"",MaGic_AVM_Land!O36),"")</f>
        <v/>
      </c>
      <c r="P36" s="70" t="str">
        <f>IF(P$2="Y",IF(MaGic_AVM_Land!P36=0,"",MaGic_AVM_Land!P36),"")</f>
        <v/>
      </c>
      <c r="Q36" s="70" t="str">
        <f>IF(Q$2="Y",IF(MaGic_AVM_Land!Q36=0,"",MaGic_AVM_Land!Q36),"")</f>
        <v/>
      </c>
      <c r="R36" s="70" t="str">
        <f>IF(R$2="Y",IF(MaGic_AVM_Land!R36=0,"",MaGic_AVM_Land!R36),"")</f>
        <v/>
      </c>
      <c r="S36" s="70" t="str">
        <f>IF(S$2="Y",IF(MaGic_AVM_Land!S36=0,"",MaGic_AVM_Land!S36),"")</f>
        <v/>
      </c>
      <c r="T36" s="70" t="str">
        <f>IF(T$2="Y",IF(MaGic_AVM_Land!T36=0,"",MaGic_AVM_Land!T36),"")</f>
        <v/>
      </c>
      <c r="U36" s="70" t="str">
        <f>IF(U$2="Y",IF(MaGic_AVM_Land!U36=0,"",MaGic_AVM_Land!U36),"")</f>
        <v/>
      </c>
      <c r="V36" s="70" t="str">
        <f>IF(V$2="Y",IF(MaGic_AVM_Land!V36=0,"",MaGic_AVM_Land!V36),"")</f>
        <v/>
      </c>
      <c r="W36" s="70" t="str">
        <f>IF(W$2="Y",IF(MaGic_AVM_Land!W36=0,"",MaGic_AVM_Land!W36),"")</f>
        <v/>
      </c>
      <c r="X36" s="70" t="str">
        <f>IF(X$2="Y",IF(MaGic_AVM_Land!X36=0,"",MaGic_AVM_Land!X36),"")</f>
        <v/>
      </c>
      <c r="Y36" s="70" t="str">
        <f>IF(Y$2="Y",IF(MaGic_AVM_Land!Y36=0,"",MaGic_AVM_Land!Y36),"")</f>
        <v/>
      </c>
      <c r="Z36" s="70" t="str">
        <f>IF(Z$2="Y",IF(MaGic_AVM_Land!Z36=0,"",MaGic_AVM_Land!Z36),"")</f>
        <v/>
      </c>
      <c r="AB36" s="69" t="str" cm="1">
        <f t="array" ref="AB36">_xlfn.UNIQUE(C36:Z36,TRUE,FALSE)</f>
        <v/>
      </c>
    </row>
    <row r="37" spans="1:28">
      <c r="A37" s="70">
        <v>3</v>
      </c>
      <c r="B37" s="70" t="s">
        <v>113</v>
      </c>
      <c r="C37" s="70" t="str">
        <f>IF(C$2="Y",IF(MaGic_AVM_Land!C37=0,"",MaGic_AVM_Land!C37),"")</f>
        <v/>
      </c>
      <c r="D37" s="70" t="str">
        <f>IF(D$2="Y",IF(MaGic_AVM_Land!D37=0,"",MaGic_AVM_Land!D37),"")</f>
        <v/>
      </c>
      <c r="E37" s="70" t="str">
        <f>IF(E$2="Y",IF(MaGic_AVM_Land!E37=0,"",MaGic_AVM_Land!E37),"")</f>
        <v/>
      </c>
      <c r="F37" s="70" t="str">
        <f>IF(F$2="Y",IF(MaGic_AVM_Land!F37=0,"",MaGic_AVM_Land!F37),"")</f>
        <v/>
      </c>
      <c r="G37" s="70" t="str">
        <f>IF(G$2="Y",IF(MaGic_AVM_Land!G37=0,"",MaGic_AVM_Land!G37),"")</f>
        <v/>
      </c>
      <c r="H37" s="70" t="str">
        <f>IF(H$2="Y",IF(MaGic_AVM_Land!H37=0,"",MaGic_AVM_Land!H37),"")</f>
        <v/>
      </c>
      <c r="I37" s="70" t="str">
        <f>IF(I$2="Y",IF(MaGic_AVM_Land!I37=0,"",MaGic_AVM_Land!I37),"")</f>
        <v/>
      </c>
      <c r="J37" s="70" t="str">
        <f>IF(J$2="Y",IF(MaGic_AVM_Land!J37=0,"",MaGic_AVM_Land!J37),"")</f>
        <v/>
      </c>
      <c r="K37" s="70" t="str">
        <f>IF(K$2="Y",IF(MaGic_AVM_Land!K37=0,"",MaGic_AVM_Land!K37),"")</f>
        <v/>
      </c>
      <c r="L37" s="70" t="str">
        <f>IF(L$2="Y",IF(MaGic_AVM_Land!L37=0,"",MaGic_AVM_Land!L37),"")</f>
        <v/>
      </c>
      <c r="M37" s="70" t="str">
        <f>IF(M$2="Y",IF(MaGic_AVM_Land!M37=0,"",MaGic_AVM_Land!M37),"")</f>
        <v/>
      </c>
      <c r="N37" s="70" t="str">
        <f>IF(N$2="Y",IF(MaGic_AVM_Land!N37=0,"",MaGic_AVM_Land!N37),"")</f>
        <v/>
      </c>
      <c r="O37" s="70" t="str">
        <f>IF(O$2="Y",IF(MaGic_AVM_Land!O37=0,"",MaGic_AVM_Land!O37),"")</f>
        <v/>
      </c>
      <c r="P37" s="70" t="str">
        <f>IF(P$2="Y",IF(MaGic_AVM_Land!P37=0,"",MaGic_AVM_Land!P37),"")</f>
        <v/>
      </c>
      <c r="Q37" s="70" t="str">
        <f>IF(Q$2="Y",IF(MaGic_AVM_Land!Q37=0,"",MaGic_AVM_Land!Q37),"")</f>
        <v/>
      </c>
      <c r="R37" s="70" t="str">
        <f>IF(R$2="Y",IF(MaGic_AVM_Land!R37=0,"",MaGic_AVM_Land!R37),"")</f>
        <v/>
      </c>
      <c r="S37" s="70" t="str">
        <f>IF(S$2="Y",IF(MaGic_AVM_Land!S37=0,"",MaGic_AVM_Land!S37),"")</f>
        <v/>
      </c>
      <c r="T37" s="70" t="str">
        <f>IF(T$2="Y",IF(MaGic_AVM_Land!T37=0,"",MaGic_AVM_Land!T37),"")</f>
        <v/>
      </c>
      <c r="U37" s="70" t="str">
        <f>IF(U$2="Y",IF(MaGic_AVM_Land!U37=0,"",MaGic_AVM_Land!U37),"")</f>
        <v/>
      </c>
      <c r="V37" s="70" t="str">
        <f>IF(V$2="Y",IF(MaGic_AVM_Land!V37=0,"",MaGic_AVM_Land!V37),"")</f>
        <v/>
      </c>
      <c r="W37" s="70" t="str">
        <f>IF(W$2="Y",IF(MaGic_AVM_Land!W37=0,"",MaGic_AVM_Land!W37),"")</f>
        <v/>
      </c>
      <c r="X37" s="70" t="str">
        <f>IF(X$2="Y",IF(MaGic_AVM_Land!X37=0,"",MaGic_AVM_Land!X37),"")</f>
        <v/>
      </c>
      <c r="Y37" s="70" t="str">
        <f>IF(Y$2="Y",IF(MaGic_AVM_Land!Y37=0,"",MaGic_AVM_Land!Y37),"")</f>
        <v/>
      </c>
      <c r="Z37" s="70" t="str">
        <f>IF(Z$2="Y",IF(MaGic_AVM_Land!Z37=0,"",MaGic_AVM_Land!Z37),"")</f>
        <v/>
      </c>
      <c r="AB37" s="69" t="str" cm="1">
        <f t="array" ref="AB37">_xlfn.UNIQUE(C37:Z37,TRUE,FALSE)</f>
        <v/>
      </c>
    </row>
    <row r="38" spans="1:28">
      <c r="A38" s="70">
        <v>4</v>
      </c>
      <c r="B38" s="70" t="s">
        <v>114</v>
      </c>
      <c r="C38" s="70"/>
      <c r="D38" s="70"/>
      <c r="E38" s="70"/>
      <c r="F38" s="70"/>
      <c r="G38" s="70"/>
      <c r="H38" s="70"/>
      <c r="I38" s="70"/>
      <c r="J38" s="70"/>
      <c r="K38" s="70"/>
      <c r="L38" s="70"/>
      <c r="M38" s="70"/>
      <c r="N38" s="70"/>
      <c r="O38" s="70"/>
      <c r="P38" s="70"/>
      <c r="Q38" s="70"/>
      <c r="R38" s="70"/>
      <c r="S38" s="70"/>
      <c r="T38" s="70"/>
      <c r="U38" s="70"/>
      <c r="V38" s="70"/>
      <c r="W38" s="70"/>
      <c r="X38" s="70"/>
      <c r="Y38" s="70"/>
      <c r="Z38" s="70"/>
      <c r="AB38" s="69" cm="1">
        <f t="array" ref="AB38">_xlfn.UNIQUE(C38:Z38,TRUE,FALSE)</f>
        <v>0</v>
      </c>
    </row>
    <row r="39" spans="1:28">
      <c r="A39" s="70">
        <v>5</v>
      </c>
      <c r="B39" s="70" t="s">
        <v>115</v>
      </c>
      <c r="C39" s="70"/>
      <c r="D39" s="70"/>
      <c r="E39" s="70"/>
      <c r="F39" s="70"/>
      <c r="G39" s="70"/>
      <c r="H39" s="70"/>
      <c r="I39" s="70"/>
      <c r="J39" s="70"/>
      <c r="K39" s="70"/>
      <c r="L39" s="70"/>
      <c r="M39" s="70"/>
      <c r="N39" s="70"/>
      <c r="O39" s="70"/>
      <c r="P39" s="70"/>
      <c r="Q39" s="70"/>
      <c r="R39" s="70"/>
      <c r="S39" s="70"/>
      <c r="T39" s="70"/>
      <c r="U39" s="70"/>
      <c r="V39" s="70"/>
      <c r="W39" s="70"/>
      <c r="X39" s="70"/>
      <c r="Y39" s="70"/>
      <c r="Z39" s="70"/>
      <c r="AB39" s="69" cm="1">
        <f t="array" ref="AB39">_xlfn.UNIQUE(C39:Z39,TRUE,FALSE)</f>
        <v>0</v>
      </c>
    </row>
    <row r="40" spans="1:28">
      <c r="A40" s="70">
        <v>6</v>
      </c>
      <c r="B40" s="70" t="s">
        <v>116</v>
      </c>
      <c r="C40" s="70"/>
      <c r="D40" s="70"/>
      <c r="E40" s="70"/>
      <c r="F40" s="70"/>
      <c r="G40" s="70"/>
      <c r="H40" s="70"/>
      <c r="I40" s="70"/>
      <c r="J40" s="70"/>
      <c r="K40" s="70"/>
      <c r="L40" s="70"/>
      <c r="M40" s="70"/>
      <c r="N40" s="70"/>
      <c r="O40" s="70"/>
      <c r="P40" s="70"/>
      <c r="Q40" s="70"/>
      <c r="R40" s="70"/>
      <c r="S40" s="70"/>
      <c r="T40" s="70"/>
      <c r="U40" s="70"/>
      <c r="V40" s="70"/>
      <c r="W40" s="70"/>
      <c r="X40" s="70"/>
      <c r="Y40" s="70"/>
      <c r="Z40" s="70"/>
      <c r="AB40" s="69" cm="1">
        <f t="array" ref="AB40">_xlfn.UNIQUE(C40:Z40,TRUE,FALSE)</f>
        <v>0</v>
      </c>
    </row>
    <row r="41" spans="1:28">
      <c r="A41" s="70"/>
      <c r="B41" s="70" t="s">
        <v>117</v>
      </c>
      <c r="C41" s="70"/>
      <c r="D41" s="70"/>
      <c r="E41" s="70"/>
      <c r="F41" s="70"/>
      <c r="G41" s="70"/>
      <c r="H41" s="70"/>
      <c r="I41" s="70"/>
      <c r="J41" s="70"/>
      <c r="K41" s="70"/>
      <c r="L41" s="70"/>
      <c r="M41" s="70"/>
      <c r="N41" s="70"/>
      <c r="O41" s="70"/>
      <c r="P41" s="70"/>
      <c r="Q41" s="70"/>
      <c r="R41" s="70"/>
      <c r="S41" s="70"/>
      <c r="T41" s="70"/>
      <c r="U41" s="70"/>
      <c r="V41" s="70"/>
      <c r="W41" s="70"/>
      <c r="X41" s="70"/>
      <c r="Y41" s="70"/>
      <c r="Z41" s="70"/>
      <c r="AB41" s="69" cm="1">
        <f t="array" ref="AB41">_xlfn.UNIQUE(C41:Z41,TRUE,FALSE)</f>
        <v>0</v>
      </c>
    </row>
    <row r="42" spans="1:28">
      <c r="A42" s="70">
        <v>1</v>
      </c>
      <c r="B42" s="70" t="s">
        <v>118</v>
      </c>
      <c r="C42" s="70"/>
      <c r="D42" s="70"/>
      <c r="E42" s="70"/>
      <c r="F42" s="70"/>
      <c r="G42" s="70"/>
      <c r="H42" s="70"/>
      <c r="I42" s="70"/>
      <c r="J42" s="70"/>
      <c r="K42" s="70"/>
      <c r="L42" s="70"/>
      <c r="M42" s="70"/>
      <c r="N42" s="70"/>
      <c r="O42" s="70"/>
      <c r="P42" s="70"/>
      <c r="Q42" s="70"/>
      <c r="R42" s="70"/>
      <c r="S42" s="70"/>
      <c r="T42" s="70"/>
      <c r="U42" s="70"/>
      <c r="V42" s="70"/>
      <c r="W42" s="70"/>
      <c r="X42" s="70"/>
      <c r="Y42" s="70"/>
      <c r="Z42" s="70"/>
      <c r="AB42" s="69" cm="1">
        <f t="array" ref="AB42">_xlfn.UNIQUE(C42:Z42,TRUE,FALSE)</f>
        <v>0</v>
      </c>
    </row>
    <row r="43" spans="1:28">
      <c r="A43" s="70">
        <v>2</v>
      </c>
      <c r="B43" s="70" t="s">
        <v>119</v>
      </c>
      <c r="C43" s="70"/>
      <c r="D43" s="70"/>
      <c r="E43" s="70"/>
      <c r="F43" s="70"/>
      <c r="G43" s="70"/>
      <c r="H43" s="70"/>
      <c r="I43" s="70"/>
      <c r="J43" s="70"/>
      <c r="K43" s="70"/>
      <c r="L43" s="70"/>
      <c r="M43" s="70"/>
      <c r="N43" s="70"/>
      <c r="O43" s="70"/>
      <c r="P43" s="70"/>
      <c r="Q43" s="70"/>
      <c r="R43" s="70"/>
      <c r="S43" s="70"/>
      <c r="T43" s="70"/>
      <c r="U43" s="70"/>
      <c r="V43" s="70"/>
      <c r="W43" s="70"/>
      <c r="X43" s="70"/>
      <c r="Y43" s="70"/>
      <c r="Z43" s="70"/>
      <c r="AB43" s="69" cm="1">
        <f t="array" ref="AB43">_xlfn.UNIQUE(C43:Z43,TRUE,FALSE)</f>
        <v>0</v>
      </c>
    </row>
    <row r="44" spans="1:28">
      <c r="A44" s="70">
        <v>3</v>
      </c>
      <c r="B44" s="70" t="s">
        <v>120</v>
      </c>
      <c r="C44" s="70"/>
      <c r="D44" s="70"/>
      <c r="E44" s="70"/>
      <c r="F44" s="70"/>
      <c r="G44" s="70"/>
      <c r="H44" s="70"/>
      <c r="I44" s="70"/>
      <c r="J44" s="70"/>
      <c r="K44" s="70"/>
      <c r="L44" s="70"/>
      <c r="M44" s="70"/>
      <c r="N44" s="70"/>
      <c r="O44" s="70"/>
      <c r="P44" s="70"/>
      <c r="Q44" s="70"/>
      <c r="R44" s="70"/>
      <c r="S44" s="70"/>
      <c r="T44" s="70"/>
      <c r="U44" s="70"/>
      <c r="V44" s="70"/>
      <c r="W44" s="70"/>
      <c r="X44" s="70"/>
      <c r="Y44" s="70"/>
      <c r="Z44" s="70"/>
      <c r="AB44" s="69" cm="1">
        <f t="array" ref="AB44">_xlfn.UNIQUE(C44:Z44,TRUE,FALSE)</f>
        <v>0</v>
      </c>
    </row>
    <row r="45" spans="1:28">
      <c r="A45" s="70">
        <v>4</v>
      </c>
      <c r="B45" s="70" t="s">
        <v>121</v>
      </c>
      <c r="C45" s="70"/>
      <c r="D45" s="70"/>
      <c r="E45" s="70"/>
      <c r="F45" s="70"/>
      <c r="G45" s="70"/>
      <c r="H45" s="70"/>
      <c r="I45" s="70"/>
      <c r="J45" s="70"/>
      <c r="K45" s="70"/>
      <c r="L45" s="70"/>
      <c r="M45" s="70"/>
      <c r="N45" s="70"/>
      <c r="O45" s="70"/>
      <c r="P45" s="70"/>
      <c r="Q45" s="70"/>
      <c r="R45" s="70"/>
      <c r="S45" s="70"/>
      <c r="T45" s="70"/>
      <c r="U45" s="70"/>
      <c r="V45" s="70"/>
      <c r="W45" s="70"/>
      <c r="X45" s="70"/>
      <c r="Y45" s="70"/>
      <c r="Z45" s="70"/>
      <c r="AB45" s="69" cm="1">
        <f t="array" ref="AB45">_xlfn.UNIQUE(C45:Z45,TRUE,FALSE)</f>
        <v>0</v>
      </c>
    </row>
    <row r="46" spans="1:28" ht="48" customHeight="1"/>
    <row r="47" spans="1:28" hidden="1"/>
    <row r="48" spans="1:2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spans="3:27" hidden="1"/>
    <row r="98" spans="3:27" hidden="1"/>
    <row r="99" spans="3:27" hidden="1"/>
    <row r="100" spans="3:27" hidden="1"/>
    <row r="101" spans="3:27" ht="170.25" customHeight="1">
      <c r="C101" s="19" t="str">
        <f>IF(C23="","",CONCATENATE(C23," Ares of land in ",IF(C20="","",CONCATENATE($B$20,C20,", ")),IF(C21="","",CONCATENATE($B$21,C21,", ")),IF(C22="","",CONCATENATE($B$22,C22,", ")),IF(C17="","",CONCATENATE($B$17,C17,", ")),IF(C18="","",CONCATENATE($B$18,C18,", ")),IF(C19="","",CONCATENATE($B$19,C19,", ")),IF(C14="","",CONCATENATE($B$14,C14,", ")),IF(C15="","",CONCATENATE($B$15,C15,", ")),IF(C16="","",CONCATENATE($B$16,C16))))</f>
        <v/>
      </c>
      <c r="D101" s="19" t="str">
        <f>IF(D23="","",CONCATENATE(D23," Ares of land in ",IF(D20="","",CONCATENATE($B$20,D20,", ")),IF(D21="","",CONCATENATE($B$21,D21,", ")),IF(D22="","",CONCATENATE($B$22,D22,", ")),IF(D17="","",CONCATENATE($B$17,D17,", ")),IF(D18="","",CONCATENATE($B$18,D18,", ")),IF(D19="","",CONCATENATE($B$19,D19,", ")),IF(D14="","",CONCATENATE($B$14,D14,", ")),IF(D15="","",CONCATENATE($B$15,D15,", ")),IF(D16="","",CONCATENATE($B$16,D16))))</f>
        <v/>
      </c>
      <c r="E101" s="19" t="str">
        <f t="shared" ref="E101:Z101" si="4">IF(E23="","",CONCATENATE(E23," Ares of land in ",IF(E20="","",CONCATENATE($B$20,E20,", ")),IF(E21="","",CONCATENATE($B$21,E21,", ")),IF(E22="","",CONCATENATE($B$22,E22,", ")),IF(E17="","",CONCATENATE($B$17,E17,", ")),IF(E18="","",CONCATENATE($B$18,E18,", ")),IF(E19="","",CONCATENATE($B$19,E19,", ")),IF(E14="","",CONCATENATE($B$14,E14,", ")),IF(E15="","",CONCATENATE($B$15,E15,", ")),IF(E16="","",CONCATENATE($B$16,E16))))</f>
        <v/>
      </c>
      <c r="F101" s="19" t="str">
        <f t="shared" si="4"/>
        <v/>
      </c>
      <c r="G101" s="19" t="str">
        <f t="shared" si="4"/>
        <v/>
      </c>
      <c r="H101" s="19" t="str">
        <f t="shared" si="4"/>
        <v/>
      </c>
      <c r="I101" s="19" t="str">
        <f t="shared" si="4"/>
        <v/>
      </c>
      <c r="J101" s="19" t="str">
        <f t="shared" si="4"/>
        <v/>
      </c>
      <c r="K101" s="19" t="str">
        <f t="shared" si="4"/>
        <v/>
      </c>
      <c r="L101" s="19" t="str">
        <f t="shared" si="4"/>
        <v/>
      </c>
      <c r="M101" s="19" t="str">
        <f t="shared" si="4"/>
        <v/>
      </c>
      <c r="N101" s="19" t="str">
        <f t="shared" si="4"/>
        <v/>
      </c>
      <c r="O101" s="19" t="str">
        <f t="shared" si="4"/>
        <v/>
      </c>
      <c r="P101" s="19" t="str">
        <f t="shared" si="4"/>
        <v/>
      </c>
      <c r="Q101" s="19" t="str">
        <f t="shared" si="4"/>
        <v/>
      </c>
      <c r="R101" s="19" t="str">
        <f t="shared" si="4"/>
        <v/>
      </c>
      <c r="S101" s="19" t="str">
        <f t="shared" si="4"/>
        <v/>
      </c>
      <c r="T101" s="19" t="str">
        <f t="shared" si="4"/>
        <v/>
      </c>
      <c r="U101" s="19" t="str">
        <f t="shared" si="4"/>
        <v/>
      </c>
      <c r="V101" s="19" t="str">
        <f t="shared" si="4"/>
        <v/>
      </c>
      <c r="W101" s="19" t="str">
        <f t="shared" si="4"/>
        <v/>
      </c>
      <c r="X101" s="19" t="str">
        <f t="shared" si="4"/>
        <v/>
      </c>
      <c r="Y101" s="19" t="str">
        <f t="shared" si="4"/>
        <v/>
      </c>
      <c r="Z101" s="19" t="str">
        <f t="shared" si="4"/>
        <v/>
      </c>
      <c r="AA101" s="19" t="str">
        <f>_xlfn.TEXTJOIN(" and ",TRUE,C101:Z101)</f>
        <v/>
      </c>
    </row>
    <row r="102" spans="3:27">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v>0</v>
      </c>
      <c r="AA102" s="19" t="s">
        <v>212</v>
      </c>
    </row>
    <row r="103" spans="3:27">
      <c r="Z103" s="19">
        <v>1</v>
      </c>
      <c r="AA103" s="19" t="str">
        <f>CONCATENATE(AA101," located in ",AA11,", ",AA10,", ",AA8,". ")</f>
        <v>located in  Village,  Taluk,  District.</v>
      </c>
    </row>
    <row r="104" spans="3:27" ht="146.25" customHeight="1">
      <c r="Z104" s="69">
        <v>2</v>
      </c>
      <c r="AA104" s="19" t="str">
        <f>CONCATENATE("A total of ",AA23," ares of land, comprising ",AA101," located in ",AA11,", ",AA10,", ",AA8,". ")</f>
        <v>A total of 0 ares of land, comprising  located in  Village,  Taluk,  District.</v>
      </c>
    </row>
    <row r="105" spans="3:27" ht="84.65" customHeight="1">
      <c r="Y105" s="477" t="s">
        <v>1107</v>
      </c>
      <c r="Z105" s="477"/>
      <c r="AA105" s="467" t="str">
        <f>IF(AA2&gt;2,AA104,VLOOKUP(AA2,Z102:AA104,2,FALSE))</f>
        <v>NA</v>
      </c>
    </row>
    <row r="106" spans="3:27">
      <c r="Y106" s="477"/>
      <c r="Z106" s="477"/>
      <c r="AA106" s="467"/>
    </row>
    <row r="107" spans="3:27">
      <c r="Y107" s="477" t="s">
        <v>1109</v>
      </c>
      <c r="Z107" s="477"/>
      <c r="AA107" s="467" t="s">
        <v>1110</v>
      </c>
    </row>
    <row r="108" spans="3:27">
      <c r="D108" s="69">
        <v>0</v>
      </c>
      <c r="Y108" s="477"/>
      <c r="Z108" s="477"/>
      <c r="AA108" s="467"/>
    </row>
    <row r="109" spans="3:27">
      <c r="Y109" s="477"/>
      <c r="Z109" s="477"/>
      <c r="AA109" s="467"/>
    </row>
    <row r="110" spans="3:27">
      <c r="Y110" s="477"/>
      <c r="Z110" s="477"/>
      <c r="AA110" s="467"/>
    </row>
    <row r="111" spans="3:27">
      <c r="Y111" s="477"/>
      <c r="Z111" s="477"/>
      <c r="AA111" s="467"/>
    </row>
    <row r="112" spans="3:27">
      <c r="Y112" s="477"/>
      <c r="Z112" s="477"/>
      <c r="AA112" s="467"/>
    </row>
    <row r="113" spans="25:27">
      <c r="Y113" s="477"/>
      <c r="Z113" s="477"/>
      <c r="AA113" s="467"/>
    </row>
  </sheetData>
  <mergeCells count="4">
    <mergeCell ref="AA105:AA106"/>
    <mergeCell ref="AA107:AA113"/>
    <mergeCell ref="Y105:Z106"/>
    <mergeCell ref="Y107:Z113"/>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8"/>
  <dimension ref="A2:AB113"/>
  <sheetViews>
    <sheetView topLeftCell="O7" workbookViewId="0"/>
  </sheetViews>
  <sheetFormatPr defaultColWidth="9.26953125" defaultRowHeight="14.5"/>
  <cols>
    <col min="1" max="1" width="3" style="69" customWidth="1"/>
    <col min="2" max="2" width="23.26953125" style="69" customWidth="1"/>
    <col min="3" max="3" width="11.54296875" style="69" customWidth="1"/>
    <col min="4" max="4" width="14" style="69" customWidth="1"/>
    <col min="5" max="5" width="11.54296875" style="69" customWidth="1"/>
    <col min="6" max="26" width="9.26953125" style="69"/>
    <col min="27" max="27" width="52.7265625" style="69" customWidth="1"/>
    <col min="28" max="28" width="15.54296875" style="69" customWidth="1"/>
    <col min="29" max="29" width="25.26953125" style="69" customWidth="1"/>
    <col min="30" max="31" width="29.26953125" style="69" customWidth="1"/>
    <col min="32" max="16384" width="9.26953125" style="69"/>
  </cols>
  <sheetData>
    <row r="2" spans="1:28">
      <c r="A2" s="70"/>
      <c r="B2" s="70"/>
      <c r="C2" s="70" t="str">
        <f>IF(MaGic_AVM_Land!C2="Development Permit","Y","N")</f>
        <v>N</v>
      </c>
      <c r="D2" s="70" t="str">
        <f>IF(MaGic_AVM_Land!D2="Development Permit","Y","N")</f>
        <v>N</v>
      </c>
      <c r="E2" s="70" t="str">
        <f>IF(MaGic_AVM_Land!E2="Development Permit","Y","N")</f>
        <v>N</v>
      </c>
      <c r="F2" s="70" t="str">
        <f>IF(MaGic_AVM_Land!F2="Development Permit","Y","N")</f>
        <v>N</v>
      </c>
      <c r="G2" s="70" t="str">
        <f>IF(MaGic_AVM_Land!G2="Development Permit","Y","N")</f>
        <v>N</v>
      </c>
      <c r="H2" s="70" t="str">
        <f>IF(MaGic_AVM_Land!H2="Development Permit","Y","N")</f>
        <v>N</v>
      </c>
      <c r="I2" s="70" t="str">
        <f>IF(MaGic_AVM_Land!I2="Development Permit","Y","N")</f>
        <v>N</v>
      </c>
      <c r="J2" s="70" t="str">
        <f>IF(MaGic_AVM_Land!J2="Development Permit","Y","N")</f>
        <v>N</v>
      </c>
      <c r="K2" s="70" t="str">
        <f>IF(MaGic_AVM_Land!K2="Development Permit","Y","N")</f>
        <v>N</v>
      </c>
      <c r="L2" s="70" t="str">
        <f>IF(MaGic_AVM_Land!L2="Development Permit","Y","N")</f>
        <v>N</v>
      </c>
      <c r="M2" s="70" t="str">
        <f>IF(MaGic_AVM_Land!M2="Development Permit","Y","N")</f>
        <v>N</v>
      </c>
      <c r="N2" s="70" t="str">
        <f>IF(MaGic_AVM_Land!N2="Development Permit","Y","N")</f>
        <v>N</v>
      </c>
      <c r="O2" s="70" t="str">
        <f>IF(MaGic_AVM_Land!O2="Development Permit","Y","N")</f>
        <v>N</v>
      </c>
      <c r="P2" s="70" t="str">
        <f>IF(MaGic_AVM_Land!P2="Development Permit","Y","N")</f>
        <v>N</v>
      </c>
      <c r="Q2" s="70" t="str">
        <f>IF(MaGic_AVM_Land!Q2="Development Permit","Y","N")</f>
        <v>N</v>
      </c>
      <c r="R2" s="70" t="str">
        <f>IF(MaGic_AVM_Land!R2="Development Permit","Y","N")</f>
        <v>N</v>
      </c>
      <c r="S2" s="70" t="str">
        <f>IF(MaGic_AVM_Land!S2="Development Permit","Y","N")</f>
        <v>N</v>
      </c>
      <c r="T2" s="70" t="str">
        <f>IF(MaGic_AVM_Land!T2="Development Permit","Y","N")</f>
        <v>N</v>
      </c>
      <c r="U2" s="70" t="str">
        <f>IF(MaGic_AVM_Land!U2="Development Permit","Y","N")</f>
        <v>N</v>
      </c>
      <c r="V2" s="70" t="str">
        <f>IF(MaGic_AVM_Land!V2="Development Permit","Y","N")</f>
        <v>N</v>
      </c>
      <c r="W2" s="70" t="str">
        <f>IF(MaGic_AVM_Land!W2="Development Permit","Y","N")</f>
        <v>N</v>
      </c>
      <c r="X2" s="70" t="str">
        <f>IF(MaGic_AVM_Land!X2="Development Permit","Y","N")</f>
        <v>N</v>
      </c>
      <c r="Y2" s="70" t="str">
        <f>IF(MaGic_AVM_Land!Y2="Development Permit","Y","N")</f>
        <v>N</v>
      </c>
      <c r="Z2" s="70" t="str">
        <f>IF(MaGic_AVM_Land!Z2="Development Permit","Y","N")</f>
        <v>N</v>
      </c>
      <c r="AA2" s="69">
        <f>COUNTIF(C2:Z2,"Y")</f>
        <v>0</v>
      </c>
      <c r="AB2" s="69" t="str" cm="1">
        <f t="array" ref="AB2">_xlfn.UNIQUE(C2:Z2,TRUE,FALSE)</f>
        <v>N</v>
      </c>
    </row>
    <row r="3" spans="1:28">
      <c r="A3" s="70">
        <v>1</v>
      </c>
      <c r="B3" s="70" t="s">
        <v>48</v>
      </c>
      <c r="C3" s="70" t="str">
        <f>IF(C$2="Y",IF(MaGic_AVM_Land!C3=0,"",MaGic_AVM_Land!C3),"")</f>
        <v/>
      </c>
      <c r="D3" s="70" t="str">
        <f>IF(D$2="Y",IF(MaGic_AVM_Land!D3=0,"",MaGic_AVM_Land!D3),"")</f>
        <v/>
      </c>
      <c r="E3" s="70" t="str">
        <f>IF(E$2="Y",IF(MaGic_AVM_Land!E3=0,"",MaGic_AVM_Land!E3),"")</f>
        <v/>
      </c>
      <c r="F3" s="70" t="str">
        <f>IF(F$2="Y",IF(MaGic_AVM_Land!F3=0,"",MaGic_AVM_Land!F3),"")</f>
        <v/>
      </c>
      <c r="G3" s="70" t="str">
        <f>IF(G$2="Y",IF(MaGic_AVM_Land!G3=0,"",MaGic_AVM_Land!G3),"")</f>
        <v/>
      </c>
      <c r="H3" s="70" t="str">
        <f>IF(H$2="Y",IF(MaGic_AVM_Land!H3=0,"",MaGic_AVM_Land!H3),"")</f>
        <v/>
      </c>
      <c r="I3" s="70" t="str">
        <f>IF(I$2="Y",IF(MaGic_AVM_Land!I3=0,"",MaGic_AVM_Land!I3),"")</f>
        <v/>
      </c>
      <c r="J3" s="70" t="str">
        <f>IF(J$2="Y",IF(MaGic_AVM_Land!J3=0,"",MaGic_AVM_Land!J3),"")</f>
        <v/>
      </c>
      <c r="K3" s="70" t="str">
        <f>IF(K$2="Y",IF(MaGic_AVM_Land!K3=0,"",MaGic_AVM_Land!K3),"")</f>
        <v/>
      </c>
      <c r="L3" s="70" t="str">
        <f>IF(L$2="Y",IF(MaGic_AVM_Land!L3=0,"",MaGic_AVM_Land!L3),"")</f>
        <v/>
      </c>
      <c r="M3" s="70" t="str">
        <f>IF(M$2="Y",IF(MaGic_AVM_Land!M3=0,"",MaGic_AVM_Land!M3),"")</f>
        <v/>
      </c>
      <c r="N3" s="70" t="str">
        <f>IF(N$2="Y",IF(MaGic_AVM_Land!N3=0,"",MaGic_AVM_Land!N3),"")</f>
        <v/>
      </c>
      <c r="O3" s="70" t="str">
        <f>IF(O$2="Y",IF(MaGic_AVM_Land!O3=0,"",MaGic_AVM_Land!O3),"")</f>
        <v/>
      </c>
      <c r="P3" s="70" t="str">
        <f>IF(P$2="Y",IF(MaGic_AVM_Land!P3=0,"",MaGic_AVM_Land!P3),"")</f>
        <v/>
      </c>
      <c r="Q3" s="70" t="str">
        <f>IF(Q$2="Y",IF(MaGic_AVM_Land!Q3=0,"",MaGic_AVM_Land!Q3),"")</f>
        <v/>
      </c>
      <c r="R3" s="70" t="str">
        <f>IF(R$2="Y",IF(MaGic_AVM_Land!R3=0,"",MaGic_AVM_Land!R3),"")</f>
        <v/>
      </c>
      <c r="S3" s="70" t="str">
        <f>IF(S$2="Y",IF(MaGic_AVM_Land!S3=0,"",MaGic_AVM_Land!S3),"")</f>
        <v/>
      </c>
      <c r="T3" s="70" t="str">
        <f>IF(T$2="Y",IF(MaGic_AVM_Land!T3=0,"",MaGic_AVM_Land!T3),"")</f>
        <v/>
      </c>
      <c r="U3" s="70" t="str">
        <f>IF(U$2="Y",IF(MaGic_AVM_Land!U3=0,"",MaGic_AVM_Land!U3),"")</f>
        <v/>
      </c>
      <c r="V3" s="70" t="str">
        <f>IF(V$2="Y",IF(MaGic_AVM_Land!V3=0,"",MaGic_AVM_Land!V3),"")</f>
        <v/>
      </c>
      <c r="W3" s="70" t="str">
        <f>IF(W$2="Y",IF(MaGic_AVM_Land!W3=0,"",MaGic_AVM_Land!W3),"")</f>
        <v/>
      </c>
      <c r="X3" s="70" t="str">
        <f>IF(X$2="Y",IF(MaGic_AVM_Land!X3=0,"",MaGic_AVM_Land!X3),"")</f>
        <v/>
      </c>
      <c r="Y3" s="70" t="str">
        <f>IF(Y$2="Y",IF(MaGic_AVM_Land!Y3=0,"",MaGic_AVM_Land!Y3),"")</f>
        <v/>
      </c>
      <c r="Z3" s="70" t="str">
        <f>IF(Z$2="Y",IF(MaGic_AVM_Land!Z3=0,"",MaGic_AVM_Land!Z3),"")</f>
        <v/>
      </c>
      <c r="AA3" s="69" t="str">
        <f t="shared" ref="AA3:AA7" si="0">_xlfn.TEXTJOIN(", ",TRUE,AB3:AZ3)</f>
        <v/>
      </c>
      <c r="AB3" s="69" t="str" cm="1">
        <f t="array" ref="AB3">_xlfn.UNIQUE(C3:Z3,TRUE,FALSE)</f>
        <v/>
      </c>
    </row>
    <row r="4" spans="1:28">
      <c r="A4" s="70">
        <v>2</v>
      </c>
      <c r="B4" s="70" t="s">
        <v>51</v>
      </c>
      <c r="C4" s="70" t="str">
        <f>IF(C$2="Y",IF(MaGic_AVM_Land!C4=0,"",MaGic_AVM_Land!C4),"")</f>
        <v/>
      </c>
      <c r="D4" s="70" t="str">
        <f>IF(D$2="Y",IF(MaGic_AVM_Land!D4=0,"",MaGic_AVM_Land!D4),"")</f>
        <v/>
      </c>
      <c r="E4" s="70" t="str">
        <f>IF(E$2="Y",IF(MaGic_AVM_Land!E4=0,"",MaGic_AVM_Land!E4),"")</f>
        <v/>
      </c>
      <c r="F4" s="70" t="str">
        <f>IF(F$2="Y",IF(MaGic_AVM_Land!F4=0,"",MaGic_AVM_Land!F4),"")</f>
        <v/>
      </c>
      <c r="G4" s="70" t="str">
        <f>IF(G$2="Y",IF(MaGic_AVM_Land!G4=0,"",MaGic_AVM_Land!G4),"")</f>
        <v/>
      </c>
      <c r="H4" s="70" t="str">
        <f>IF(H$2="Y",IF(MaGic_AVM_Land!H4=0,"",MaGic_AVM_Land!H4),"")</f>
        <v/>
      </c>
      <c r="I4" s="70" t="str">
        <f>IF(I$2="Y",IF(MaGic_AVM_Land!I4=0,"",MaGic_AVM_Land!I4),"")</f>
        <v/>
      </c>
      <c r="J4" s="70" t="str">
        <f>IF(J$2="Y",IF(MaGic_AVM_Land!J4=0,"",MaGic_AVM_Land!J4),"")</f>
        <v/>
      </c>
      <c r="K4" s="70" t="str">
        <f>IF(K$2="Y",IF(MaGic_AVM_Land!K4=0,"",MaGic_AVM_Land!K4),"")</f>
        <v/>
      </c>
      <c r="L4" s="70" t="str">
        <f>IF(L$2="Y",IF(MaGic_AVM_Land!L4=0,"",MaGic_AVM_Land!L4),"")</f>
        <v/>
      </c>
      <c r="M4" s="70" t="str">
        <f>IF(M$2="Y",IF(MaGic_AVM_Land!M4=0,"",MaGic_AVM_Land!M4),"")</f>
        <v/>
      </c>
      <c r="N4" s="70" t="str">
        <f>IF(N$2="Y",IF(MaGic_AVM_Land!N4=0,"",MaGic_AVM_Land!N4),"")</f>
        <v/>
      </c>
      <c r="O4" s="70" t="str">
        <f>IF(O$2="Y",IF(MaGic_AVM_Land!O4=0,"",MaGic_AVM_Land!O4),"")</f>
        <v/>
      </c>
      <c r="P4" s="70" t="str">
        <f>IF(P$2="Y",IF(MaGic_AVM_Land!P4=0,"",MaGic_AVM_Land!P4),"")</f>
        <v/>
      </c>
      <c r="Q4" s="70" t="str">
        <f>IF(Q$2="Y",IF(MaGic_AVM_Land!Q4=0,"",MaGic_AVM_Land!Q4),"")</f>
        <v/>
      </c>
      <c r="R4" s="70" t="str">
        <f>IF(R$2="Y",IF(MaGic_AVM_Land!R4=0,"",MaGic_AVM_Land!R4),"")</f>
        <v/>
      </c>
      <c r="S4" s="70" t="str">
        <f>IF(S$2="Y",IF(MaGic_AVM_Land!S4=0,"",MaGic_AVM_Land!S4),"")</f>
        <v/>
      </c>
      <c r="T4" s="70" t="str">
        <f>IF(T$2="Y",IF(MaGic_AVM_Land!T4=0,"",MaGic_AVM_Land!T4),"")</f>
        <v/>
      </c>
      <c r="U4" s="70" t="str">
        <f>IF(U$2="Y",IF(MaGic_AVM_Land!U4=0,"",MaGic_AVM_Land!U4),"")</f>
        <v/>
      </c>
      <c r="V4" s="70" t="str">
        <f>IF(V$2="Y",IF(MaGic_AVM_Land!V4=0,"",MaGic_AVM_Land!V4),"")</f>
        <v/>
      </c>
      <c r="W4" s="70" t="str">
        <f>IF(W$2="Y",IF(MaGic_AVM_Land!W4=0,"",MaGic_AVM_Land!W4),"")</f>
        <v/>
      </c>
      <c r="X4" s="70" t="str">
        <f>IF(X$2="Y",IF(MaGic_AVM_Land!X4=0,"",MaGic_AVM_Land!X4),"")</f>
        <v/>
      </c>
      <c r="Y4" s="70" t="str">
        <f>IF(Y$2="Y",IF(MaGic_AVM_Land!Y4=0,"",MaGic_AVM_Land!Y4),"")</f>
        <v/>
      </c>
      <c r="Z4" s="70" t="str">
        <f>IF(Z$2="Y",IF(MaGic_AVM_Land!Z4=0,"",MaGic_AVM_Land!Z4),"")</f>
        <v/>
      </c>
      <c r="AA4" s="69" t="str">
        <f t="shared" si="0"/>
        <v/>
      </c>
      <c r="AB4" s="69" t="str" cm="1">
        <f t="array" ref="AB4">_xlfn.UNIQUE(C4:Z4,TRUE,FALSE)</f>
        <v/>
      </c>
    </row>
    <row r="5" spans="1:28">
      <c r="A5" s="70">
        <v>3</v>
      </c>
      <c r="B5" s="70" t="s">
        <v>52</v>
      </c>
      <c r="C5" s="70" t="str">
        <f>IF(C$2="Y",IF(MaGic_AVM_Land!C5=0,"",MaGic_AVM_Land!C5),"")</f>
        <v/>
      </c>
      <c r="D5" s="70" t="str">
        <f>IF(D$2="Y",IF(MaGic_AVM_Land!D5=0,"",MaGic_AVM_Land!D5),"")</f>
        <v/>
      </c>
      <c r="E5" s="70" t="str">
        <f>IF(E$2="Y",IF(MaGic_AVM_Land!E5=0,"",MaGic_AVM_Land!E5),"")</f>
        <v/>
      </c>
      <c r="F5" s="70" t="str">
        <f>IF(F$2="Y",IF(MaGic_AVM_Land!F5=0,"",MaGic_AVM_Land!F5),"")</f>
        <v/>
      </c>
      <c r="G5" s="70" t="str">
        <f>IF(G$2="Y",IF(MaGic_AVM_Land!G5=0,"",MaGic_AVM_Land!G5),"")</f>
        <v/>
      </c>
      <c r="H5" s="70" t="str">
        <f>IF(H$2="Y",IF(MaGic_AVM_Land!H5=0,"",MaGic_AVM_Land!H5),"")</f>
        <v/>
      </c>
      <c r="I5" s="70" t="str">
        <f>IF(I$2="Y",IF(MaGic_AVM_Land!I5=0,"",MaGic_AVM_Land!I5),"")</f>
        <v/>
      </c>
      <c r="J5" s="70" t="str">
        <f>IF(J$2="Y",IF(MaGic_AVM_Land!J5=0,"",MaGic_AVM_Land!J5),"")</f>
        <v/>
      </c>
      <c r="K5" s="70" t="str">
        <f>IF(K$2="Y",IF(MaGic_AVM_Land!K5=0,"",MaGic_AVM_Land!K5),"")</f>
        <v/>
      </c>
      <c r="L5" s="70" t="str">
        <f>IF(L$2="Y",IF(MaGic_AVM_Land!L5=0,"",MaGic_AVM_Land!L5),"")</f>
        <v/>
      </c>
      <c r="M5" s="70" t="str">
        <f>IF(M$2="Y",IF(MaGic_AVM_Land!M5=0,"",MaGic_AVM_Land!M5),"")</f>
        <v/>
      </c>
      <c r="N5" s="70" t="str">
        <f>IF(N$2="Y",IF(MaGic_AVM_Land!N5=0,"",MaGic_AVM_Land!N5),"")</f>
        <v/>
      </c>
      <c r="O5" s="70" t="str">
        <f>IF(O$2="Y",IF(MaGic_AVM_Land!O5=0,"",MaGic_AVM_Land!O5),"")</f>
        <v/>
      </c>
      <c r="P5" s="70" t="str">
        <f>IF(P$2="Y",IF(MaGic_AVM_Land!P5=0,"",MaGic_AVM_Land!P5),"")</f>
        <v/>
      </c>
      <c r="Q5" s="70" t="str">
        <f>IF(Q$2="Y",IF(MaGic_AVM_Land!Q5=0,"",MaGic_AVM_Land!Q5),"")</f>
        <v/>
      </c>
      <c r="R5" s="70" t="str">
        <f>IF(R$2="Y",IF(MaGic_AVM_Land!R5=0,"",MaGic_AVM_Land!R5),"")</f>
        <v/>
      </c>
      <c r="S5" s="70" t="str">
        <f>IF(S$2="Y",IF(MaGic_AVM_Land!S5=0,"",MaGic_AVM_Land!S5),"")</f>
        <v/>
      </c>
      <c r="T5" s="70" t="str">
        <f>IF(T$2="Y",IF(MaGic_AVM_Land!T5=0,"",MaGic_AVM_Land!T5),"")</f>
        <v/>
      </c>
      <c r="U5" s="70" t="str">
        <f>IF(U$2="Y",IF(MaGic_AVM_Land!U5=0,"",MaGic_AVM_Land!U5),"")</f>
        <v/>
      </c>
      <c r="V5" s="70" t="str">
        <f>IF(V$2="Y",IF(MaGic_AVM_Land!V5=0,"",MaGic_AVM_Land!V5),"")</f>
        <v/>
      </c>
      <c r="W5" s="70" t="str">
        <f>IF(W$2="Y",IF(MaGic_AVM_Land!W5=0,"",MaGic_AVM_Land!W5),"")</f>
        <v/>
      </c>
      <c r="X5" s="70" t="str">
        <f>IF(X$2="Y",IF(MaGic_AVM_Land!X5=0,"",MaGic_AVM_Land!X5),"")</f>
        <v/>
      </c>
      <c r="Y5" s="70" t="str">
        <f>IF(Y$2="Y",IF(MaGic_AVM_Land!Y5=0,"",MaGic_AVM_Land!Y5),"")</f>
        <v/>
      </c>
      <c r="Z5" s="70" t="str">
        <f>IF(Z$2="Y",IF(MaGic_AVM_Land!Z5=0,"",MaGic_AVM_Land!Z5),"")</f>
        <v/>
      </c>
      <c r="AA5" s="69" t="str">
        <f t="shared" si="0"/>
        <v/>
      </c>
      <c r="AB5" s="69" t="str" cm="1">
        <f t="array" ref="AB5">_xlfn.UNIQUE(C5:Z5,TRUE,FALSE)</f>
        <v/>
      </c>
    </row>
    <row r="6" spans="1:28">
      <c r="A6" s="70">
        <v>4</v>
      </c>
      <c r="B6" s="70" t="s">
        <v>1101</v>
      </c>
      <c r="C6" s="70" t="str">
        <f>IF(C$2="Y",IF(MaGic_AVM_Land!C6=0,"",MaGic_AVM_Land!C6),"")</f>
        <v/>
      </c>
      <c r="D6" s="70" t="str">
        <f>IF(D$2="Y",IF(MaGic_AVM_Land!D6=0,"",MaGic_AVM_Land!D6),"")</f>
        <v/>
      </c>
      <c r="E6" s="70" t="str">
        <f>IF(E$2="Y",IF(MaGic_AVM_Land!E6=0,"",MaGic_AVM_Land!E6),"")</f>
        <v/>
      </c>
      <c r="F6" s="70" t="str">
        <f>IF(F$2="Y",IF(MaGic_AVM_Land!F6=0,"",MaGic_AVM_Land!F6),"")</f>
        <v/>
      </c>
      <c r="G6" s="70" t="str">
        <f>IF(G$2="Y",IF(MaGic_AVM_Land!G6=0,"",MaGic_AVM_Land!G6),"")</f>
        <v/>
      </c>
      <c r="H6" s="70" t="str">
        <f>IF(H$2="Y",IF(MaGic_AVM_Land!H6=0,"",MaGic_AVM_Land!H6),"")</f>
        <v/>
      </c>
      <c r="I6" s="70" t="str">
        <f>IF(I$2="Y",IF(MaGic_AVM_Land!I6=0,"",MaGic_AVM_Land!I6),"")</f>
        <v/>
      </c>
      <c r="J6" s="70" t="str">
        <f>IF(J$2="Y",IF(MaGic_AVM_Land!J6=0,"",MaGic_AVM_Land!J6),"")</f>
        <v/>
      </c>
      <c r="K6" s="70" t="str">
        <f>IF(K$2="Y",IF(MaGic_AVM_Land!K6=0,"",MaGic_AVM_Land!K6),"")</f>
        <v/>
      </c>
      <c r="L6" s="70" t="str">
        <f>IF(L$2="Y",IF(MaGic_AVM_Land!L6=0,"",MaGic_AVM_Land!L6),"")</f>
        <v/>
      </c>
      <c r="M6" s="70" t="str">
        <f>IF(M$2="Y",IF(MaGic_AVM_Land!M6=0,"",MaGic_AVM_Land!M6),"")</f>
        <v/>
      </c>
      <c r="N6" s="70" t="str">
        <f>IF(N$2="Y",IF(MaGic_AVM_Land!N6=0,"",MaGic_AVM_Land!N6),"")</f>
        <v/>
      </c>
      <c r="O6" s="70" t="str">
        <f>IF(O$2="Y",IF(MaGic_AVM_Land!O6=0,"",MaGic_AVM_Land!O6),"")</f>
        <v/>
      </c>
      <c r="P6" s="70" t="str">
        <f>IF(P$2="Y",IF(MaGic_AVM_Land!P6=0,"",MaGic_AVM_Land!P6),"")</f>
        <v/>
      </c>
      <c r="Q6" s="70" t="str">
        <f>IF(Q$2="Y",IF(MaGic_AVM_Land!Q6=0,"",MaGic_AVM_Land!Q6),"")</f>
        <v/>
      </c>
      <c r="R6" s="70" t="str">
        <f>IF(R$2="Y",IF(MaGic_AVM_Land!R6=0,"",MaGic_AVM_Land!R6),"")</f>
        <v/>
      </c>
      <c r="S6" s="70" t="str">
        <f>IF(S$2="Y",IF(MaGic_AVM_Land!S6=0,"",MaGic_AVM_Land!S6),"")</f>
        <v/>
      </c>
      <c r="T6" s="70" t="str">
        <f>IF(T$2="Y",IF(MaGic_AVM_Land!T6=0,"",MaGic_AVM_Land!T6),"")</f>
        <v/>
      </c>
      <c r="U6" s="70" t="str">
        <f>IF(U$2="Y",IF(MaGic_AVM_Land!U6=0,"",MaGic_AVM_Land!U6),"")</f>
        <v/>
      </c>
      <c r="V6" s="70" t="str">
        <f>IF(V$2="Y",IF(MaGic_AVM_Land!V6=0,"",MaGic_AVM_Land!V6),"")</f>
        <v/>
      </c>
      <c r="W6" s="70" t="str">
        <f>IF(W$2="Y",IF(MaGic_AVM_Land!W6=0,"",MaGic_AVM_Land!W6),"")</f>
        <v/>
      </c>
      <c r="X6" s="70" t="str">
        <f>IF(X$2="Y",IF(MaGic_AVM_Land!X6=0,"",MaGic_AVM_Land!X6),"")</f>
        <v/>
      </c>
      <c r="Y6" s="70" t="str">
        <f>IF(Y$2="Y",IF(MaGic_AVM_Land!Y6=0,"",MaGic_AVM_Land!Y6),"")</f>
        <v/>
      </c>
      <c r="Z6" s="70" t="str">
        <f>IF(Z$2="Y",IF(MaGic_AVM_Land!Z6=0,"",MaGic_AVM_Land!Z6),"")</f>
        <v/>
      </c>
      <c r="AA6" s="69" t="str">
        <f t="shared" si="0"/>
        <v/>
      </c>
      <c r="AB6" s="69" t="str" cm="1">
        <f t="array" ref="AB6">_xlfn.UNIQUE(C6:Z6,TRUE,FALSE)</f>
        <v/>
      </c>
    </row>
    <row r="7" spans="1:28">
      <c r="A7" s="70">
        <v>2</v>
      </c>
      <c r="B7" s="70" t="s">
        <v>1102</v>
      </c>
      <c r="C7" s="70" t="str">
        <f>IF(C$2="Y",IF(MaGic_AVM_Land!C7=0,"",MaGic_AVM_Land!C7),"")</f>
        <v/>
      </c>
      <c r="D7" s="70" t="str">
        <f>IF(D$2="Y",IF(MaGic_AVM_Land!D7=0,"",MaGic_AVM_Land!D7),"")</f>
        <v/>
      </c>
      <c r="E7" s="70" t="str">
        <f>IF(E$2="Y",IF(MaGic_AVM_Land!E7=0,"",MaGic_AVM_Land!E7),"")</f>
        <v/>
      </c>
      <c r="F7" s="70" t="str">
        <f>IF(F$2="Y",IF(MaGic_AVM_Land!F7=0,"",MaGic_AVM_Land!F7),"")</f>
        <v/>
      </c>
      <c r="G7" s="70" t="str">
        <f>IF(G$2="Y",IF(MaGic_AVM_Land!G7=0,"",MaGic_AVM_Land!G7),"")</f>
        <v/>
      </c>
      <c r="H7" s="70" t="str">
        <f>IF(H$2="Y",IF(MaGic_AVM_Land!H7=0,"",MaGic_AVM_Land!H7),"")</f>
        <v/>
      </c>
      <c r="I7" s="70" t="str">
        <f>IF(I$2="Y",IF(MaGic_AVM_Land!I7=0,"",MaGic_AVM_Land!I7),"")</f>
        <v/>
      </c>
      <c r="J7" s="70" t="str">
        <f>IF(J$2="Y",IF(MaGic_AVM_Land!J7=0,"",MaGic_AVM_Land!J7),"")</f>
        <v/>
      </c>
      <c r="K7" s="70" t="str">
        <f>IF(K$2="Y",IF(MaGic_AVM_Land!K7=0,"",MaGic_AVM_Land!K7),"")</f>
        <v/>
      </c>
      <c r="L7" s="70" t="str">
        <f>IF(L$2="Y",IF(MaGic_AVM_Land!L7=0,"",MaGic_AVM_Land!L7),"")</f>
        <v/>
      </c>
      <c r="M7" s="70" t="str">
        <f>IF(M$2="Y",IF(MaGic_AVM_Land!M7=0,"",MaGic_AVM_Land!M7),"")</f>
        <v/>
      </c>
      <c r="N7" s="70" t="str">
        <f>IF(N$2="Y",IF(MaGic_AVM_Land!N7=0,"",MaGic_AVM_Land!N7),"")</f>
        <v/>
      </c>
      <c r="O7" s="70" t="str">
        <f>IF(O$2="Y",IF(MaGic_AVM_Land!O7=0,"",MaGic_AVM_Land!O7),"")</f>
        <v/>
      </c>
      <c r="P7" s="70" t="str">
        <f>IF(P$2="Y",IF(MaGic_AVM_Land!P7=0,"",MaGic_AVM_Land!P7),"")</f>
        <v/>
      </c>
      <c r="Q7" s="70" t="str">
        <f>IF(Q$2="Y",IF(MaGic_AVM_Land!Q7=0,"",MaGic_AVM_Land!Q7),"")</f>
        <v/>
      </c>
      <c r="R7" s="70" t="str">
        <f>IF(R$2="Y",IF(MaGic_AVM_Land!R7=0,"",MaGic_AVM_Land!R7),"")</f>
        <v/>
      </c>
      <c r="S7" s="70" t="str">
        <f>IF(S$2="Y",IF(MaGic_AVM_Land!S7=0,"",MaGic_AVM_Land!S7),"")</f>
        <v/>
      </c>
      <c r="T7" s="70" t="str">
        <f>IF(T$2="Y",IF(MaGic_AVM_Land!T7=0,"",MaGic_AVM_Land!T7),"")</f>
        <v/>
      </c>
      <c r="U7" s="70" t="str">
        <f>IF(U$2="Y",IF(MaGic_AVM_Land!U7=0,"",MaGic_AVM_Land!U7),"")</f>
        <v/>
      </c>
      <c r="V7" s="70" t="str">
        <f>IF(V$2="Y",IF(MaGic_AVM_Land!V7=0,"",MaGic_AVM_Land!V7),"")</f>
        <v/>
      </c>
      <c r="W7" s="70" t="str">
        <f>IF(W$2="Y",IF(MaGic_AVM_Land!W7=0,"",MaGic_AVM_Land!W7),"")</f>
        <v/>
      </c>
      <c r="X7" s="70" t="str">
        <f>IF(X$2="Y",IF(MaGic_AVM_Land!X7=0,"",MaGic_AVM_Land!X7),"")</f>
        <v/>
      </c>
      <c r="Y7" s="70" t="str">
        <f>IF(Y$2="Y",IF(MaGic_AVM_Land!Y7=0,"",MaGic_AVM_Land!Y7),"")</f>
        <v/>
      </c>
      <c r="Z7" s="70" t="str">
        <f>IF(Z$2="Y",IF(MaGic_AVM_Land!Z7=0,"",MaGic_AVM_Land!Z7),"")</f>
        <v/>
      </c>
      <c r="AA7" s="69" t="str">
        <f t="shared" si="0"/>
        <v/>
      </c>
      <c r="AB7" s="69" t="str" cm="1">
        <f t="array" ref="AB7">_xlfn.UNIQUE(C7:Z7,TRUE,FALSE)</f>
        <v/>
      </c>
    </row>
    <row r="8" spans="1:28">
      <c r="A8" s="70">
        <v>6</v>
      </c>
      <c r="B8" s="70" t="s">
        <v>31</v>
      </c>
      <c r="C8" s="70" t="str">
        <f>IF(C$2="Y",IF(MaGic_AVM_Land!C8=0,"",MaGic_AVM_Land!C8),"")</f>
        <v/>
      </c>
      <c r="D8" s="70" t="str">
        <f>IF(D$2="Y",IF(MaGic_AVM_Land!D8=0,"",MaGic_AVM_Land!D8),"")</f>
        <v/>
      </c>
      <c r="E8" s="70" t="str">
        <f>IF(E$2="Y",IF(MaGic_AVM_Land!E8=0,"",MaGic_AVM_Land!E8),"")</f>
        <v/>
      </c>
      <c r="F8" s="70" t="str">
        <f>IF(F$2="Y",IF(MaGic_AVM_Land!F8=0,"",MaGic_AVM_Land!F8),"")</f>
        <v/>
      </c>
      <c r="G8" s="70" t="str">
        <f>IF(G$2="Y",IF(MaGic_AVM_Land!G8=0,"",MaGic_AVM_Land!G8),"")</f>
        <v/>
      </c>
      <c r="H8" s="70" t="str">
        <f>IF(H$2="Y",IF(MaGic_AVM_Land!H8=0,"",MaGic_AVM_Land!H8),"")</f>
        <v/>
      </c>
      <c r="I8" s="70" t="str">
        <f>IF(I$2="Y",IF(MaGic_AVM_Land!I8=0,"",MaGic_AVM_Land!I8),"")</f>
        <v/>
      </c>
      <c r="J8" s="70" t="str">
        <f>IF(J$2="Y",IF(MaGic_AVM_Land!J8=0,"",MaGic_AVM_Land!J8),"")</f>
        <v/>
      </c>
      <c r="K8" s="70" t="str">
        <f>IF(K$2="Y",IF(MaGic_AVM_Land!K8=0,"",MaGic_AVM_Land!K8),"")</f>
        <v/>
      </c>
      <c r="L8" s="70" t="str">
        <f>IF(L$2="Y",IF(MaGic_AVM_Land!L8=0,"",MaGic_AVM_Land!L8),"")</f>
        <v/>
      </c>
      <c r="M8" s="70" t="str">
        <f>IF(M$2="Y",IF(MaGic_AVM_Land!M8=0,"",MaGic_AVM_Land!M8),"")</f>
        <v/>
      </c>
      <c r="N8" s="70" t="str">
        <f>IF(N$2="Y",IF(MaGic_AVM_Land!N8=0,"",MaGic_AVM_Land!N8),"")</f>
        <v/>
      </c>
      <c r="O8" s="70" t="str">
        <f>IF(O$2="Y",IF(MaGic_AVM_Land!O8=0,"",MaGic_AVM_Land!O8),"")</f>
        <v/>
      </c>
      <c r="P8" s="70" t="str">
        <f>IF(P$2="Y",IF(MaGic_AVM_Land!P8=0,"",MaGic_AVM_Land!P8),"")</f>
        <v/>
      </c>
      <c r="Q8" s="70" t="str">
        <f>IF(Q$2="Y",IF(MaGic_AVM_Land!Q8=0,"",MaGic_AVM_Land!Q8),"")</f>
        <v/>
      </c>
      <c r="R8" s="70" t="str">
        <f>IF(R$2="Y",IF(MaGic_AVM_Land!R8=0,"",MaGic_AVM_Land!R8),"")</f>
        <v/>
      </c>
      <c r="S8" s="70" t="str">
        <f>IF(S$2="Y",IF(MaGic_AVM_Land!S8=0,"",MaGic_AVM_Land!S8),"")</f>
        <v/>
      </c>
      <c r="T8" s="70" t="str">
        <f>IF(T$2="Y",IF(MaGic_AVM_Land!T8=0,"",MaGic_AVM_Land!T8),"")</f>
        <v/>
      </c>
      <c r="U8" s="70" t="str">
        <f>IF(U$2="Y",IF(MaGic_AVM_Land!U8=0,"",MaGic_AVM_Land!U8),"")</f>
        <v/>
      </c>
      <c r="V8" s="70" t="str">
        <f>IF(V$2="Y",IF(MaGic_AVM_Land!V8=0,"",MaGic_AVM_Land!V8),"")</f>
        <v/>
      </c>
      <c r="W8" s="70" t="str">
        <f>IF(W$2="Y",IF(MaGic_AVM_Land!W8=0,"",MaGic_AVM_Land!W8),"")</f>
        <v/>
      </c>
      <c r="X8" s="70" t="str">
        <f>IF(X$2="Y",IF(MaGic_AVM_Land!X8=0,"",MaGic_AVM_Land!X8),"")</f>
        <v/>
      </c>
      <c r="Y8" s="70" t="str">
        <f>IF(Y$2="Y",IF(MaGic_AVM_Land!Y8=0,"",MaGic_AVM_Land!Y8),"")</f>
        <v/>
      </c>
      <c r="Z8" s="70" t="str">
        <f>IF(Z$2="Y",IF(MaGic_AVM_Land!Z8=0,"",MaGic_AVM_Land!Z8),"")</f>
        <v/>
      </c>
      <c r="AA8" s="69" t="str">
        <f>CONCATENATE(IF(AB8="",AC8,AB8)," District")</f>
        <v>District</v>
      </c>
      <c r="AB8" s="69" t="str" cm="1">
        <f t="array" ref="AB8">_xlfn.UNIQUE(C8:Z8,TRUE,FALSE)</f>
        <v/>
      </c>
    </row>
    <row r="9" spans="1:28">
      <c r="A9" s="70">
        <v>7</v>
      </c>
      <c r="B9" s="70" t="s">
        <v>59</v>
      </c>
      <c r="C9" s="70" t="str">
        <f>IF(C$2="Y",IF(MaGic_AVM_Land!C9=0,"",MaGic_AVM_Land!C9),"")</f>
        <v/>
      </c>
      <c r="D9" s="70" t="str">
        <f>IF(D$2="Y",IF(MaGic_AVM_Land!D9=0,"",MaGic_AVM_Land!D9),"")</f>
        <v/>
      </c>
      <c r="E9" s="70" t="str">
        <f>IF(E$2="Y",IF(MaGic_AVM_Land!E9=0,"",MaGic_AVM_Land!E9),"")</f>
        <v/>
      </c>
      <c r="F9" s="70" t="str">
        <f>IF(F$2="Y",IF(MaGic_AVM_Land!F9=0,"",MaGic_AVM_Land!F9),"")</f>
        <v/>
      </c>
      <c r="G9" s="70" t="str">
        <f>IF(G$2="Y",IF(MaGic_AVM_Land!G9=0,"",MaGic_AVM_Land!G9),"")</f>
        <v/>
      </c>
      <c r="H9" s="70" t="str">
        <f>IF(H$2="Y",IF(MaGic_AVM_Land!H9=0,"",MaGic_AVM_Land!H9),"")</f>
        <v/>
      </c>
      <c r="I9" s="70" t="str">
        <f>IF(I$2="Y",IF(MaGic_AVM_Land!I9=0,"",MaGic_AVM_Land!I9),"")</f>
        <v/>
      </c>
      <c r="J9" s="70" t="str">
        <f>IF(J$2="Y",IF(MaGic_AVM_Land!J9=0,"",MaGic_AVM_Land!J9),"")</f>
        <v/>
      </c>
      <c r="K9" s="70" t="str">
        <f>IF(K$2="Y",IF(MaGic_AVM_Land!K9=0,"",MaGic_AVM_Land!K9),"")</f>
        <v/>
      </c>
      <c r="L9" s="70" t="str">
        <f>IF(L$2="Y",IF(MaGic_AVM_Land!L9=0,"",MaGic_AVM_Land!L9),"")</f>
        <v/>
      </c>
      <c r="M9" s="70" t="str">
        <f>IF(M$2="Y",IF(MaGic_AVM_Land!M9=0,"",MaGic_AVM_Land!M9),"")</f>
        <v/>
      </c>
      <c r="N9" s="70" t="str">
        <f>IF(N$2="Y",IF(MaGic_AVM_Land!N9=0,"",MaGic_AVM_Land!N9),"")</f>
        <v/>
      </c>
      <c r="O9" s="70" t="str">
        <f>IF(O$2="Y",IF(MaGic_AVM_Land!O9=0,"",MaGic_AVM_Land!O9),"")</f>
        <v/>
      </c>
      <c r="P9" s="70" t="str">
        <f>IF(P$2="Y",IF(MaGic_AVM_Land!P9=0,"",MaGic_AVM_Land!P9),"")</f>
        <v/>
      </c>
      <c r="Q9" s="70" t="str">
        <f>IF(Q$2="Y",IF(MaGic_AVM_Land!Q9=0,"",MaGic_AVM_Land!Q9),"")</f>
        <v/>
      </c>
      <c r="R9" s="70" t="str">
        <f>IF(R$2="Y",IF(MaGic_AVM_Land!R9=0,"",MaGic_AVM_Land!R9),"")</f>
        <v/>
      </c>
      <c r="S9" s="70" t="str">
        <f>IF(S$2="Y",IF(MaGic_AVM_Land!S9=0,"",MaGic_AVM_Land!S9),"")</f>
        <v/>
      </c>
      <c r="T9" s="70" t="str">
        <f>IF(T$2="Y",IF(MaGic_AVM_Land!T9=0,"",MaGic_AVM_Land!T9),"")</f>
        <v/>
      </c>
      <c r="U9" s="70" t="str">
        <f>IF(U$2="Y",IF(MaGic_AVM_Land!U9=0,"",MaGic_AVM_Land!U9),"")</f>
        <v/>
      </c>
      <c r="V9" s="70" t="str">
        <f>IF(V$2="Y",IF(MaGic_AVM_Land!V9=0,"",MaGic_AVM_Land!V9),"")</f>
        <v/>
      </c>
      <c r="W9" s="70" t="str">
        <f>IF(W$2="Y",IF(MaGic_AVM_Land!W9=0,"",MaGic_AVM_Land!W9),"")</f>
        <v/>
      </c>
      <c r="X9" s="70" t="str">
        <f>IF(X$2="Y",IF(MaGic_AVM_Land!X9=0,"",MaGic_AVM_Land!X9),"")</f>
        <v/>
      </c>
      <c r="Y9" s="70" t="str">
        <f>IF(Y$2="Y",IF(MaGic_AVM_Land!Y9=0,"",MaGic_AVM_Land!Y9),"")</f>
        <v/>
      </c>
      <c r="Z9" s="70" t="str">
        <f>IF(Z$2="Y",IF(MaGic_AVM_Land!Z9=0,"",MaGic_AVM_Land!Z9),"")</f>
        <v/>
      </c>
      <c r="AA9" s="69" t="str">
        <f>CONCATENATE(IF(AB9="",AC9,AB9)," SRO")</f>
        <v>SRO</v>
      </c>
      <c r="AB9" s="69" t="str" cm="1">
        <f t="array" ref="AB9">_xlfn.UNIQUE(C9:Z9,TRUE,FALSE)</f>
        <v/>
      </c>
    </row>
    <row r="10" spans="1:28">
      <c r="A10" s="70">
        <v>8</v>
      </c>
      <c r="B10" s="70" t="s">
        <v>61</v>
      </c>
      <c r="C10" s="70" t="str">
        <f>IF(C$2="Y",IF(MaGic_AVM_Land!C10=0,"",MaGic_AVM_Land!C10),"")</f>
        <v/>
      </c>
      <c r="D10" s="70" t="str">
        <f>IF(D$2="Y",IF(MaGic_AVM_Land!D10=0,"",MaGic_AVM_Land!D10),"")</f>
        <v/>
      </c>
      <c r="E10" s="70" t="str">
        <f>IF(E$2="Y",IF(MaGic_AVM_Land!E10=0,"",MaGic_AVM_Land!E10),"")</f>
        <v/>
      </c>
      <c r="F10" s="70" t="str">
        <f>IF(F$2="Y",IF(MaGic_AVM_Land!F10=0,"",MaGic_AVM_Land!F10),"")</f>
        <v/>
      </c>
      <c r="G10" s="70" t="str">
        <f>IF(G$2="Y",IF(MaGic_AVM_Land!G10=0,"",MaGic_AVM_Land!G10),"")</f>
        <v/>
      </c>
      <c r="H10" s="70" t="str">
        <f>IF(H$2="Y",IF(MaGic_AVM_Land!H10=0,"",MaGic_AVM_Land!H10),"")</f>
        <v/>
      </c>
      <c r="I10" s="70" t="str">
        <f>IF(I$2="Y",IF(MaGic_AVM_Land!I10=0,"",MaGic_AVM_Land!I10),"")</f>
        <v/>
      </c>
      <c r="J10" s="70" t="str">
        <f>IF(J$2="Y",IF(MaGic_AVM_Land!J10=0,"",MaGic_AVM_Land!J10),"")</f>
        <v/>
      </c>
      <c r="K10" s="70" t="str">
        <f>IF(K$2="Y",IF(MaGic_AVM_Land!K10=0,"",MaGic_AVM_Land!K10),"")</f>
        <v/>
      </c>
      <c r="L10" s="70" t="str">
        <f>IF(L$2="Y",IF(MaGic_AVM_Land!L10=0,"",MaGic_AVM_Land!L10),"")</f>
        <v/>
      </c>
      <c r="M10" s="70" t="str">
        <f>IF(M$2="Y",IF(MaGic_AVM_Land!M10=0,"",MaGic_AVM_Land!M10),"")</f>
        <v/>
      </c>
      <c r="N10" s="70" t="str">
        <f>IF(N$2="Y",IF(MaGic_AVM_Land!N10=0,"",MaGic_AVM_Land!N10),"")</f>
        <v/>
      </c>
      <c r="O10" s="70" t="str">
        <f>IF(O$2="Y",IF(MaGic_AVM_Land!O10=0,"",MaGic_AVM_Land!O10),"")</f>
        <v/>
      </c>
      <c r="P10" s="70" t="str">
        <f>IF(P$2="Y",IF(MaGic_AVM_Land!P10=0,"",MaGic_AVM_Land!P10),"")</f>
        <v/>
      </c>
      <c r="Q10" s="70" t="str">
        <f>IF(Q$2="Y",IF(MaGic_AVM_Land!Q10=0,"",MaGic_AVM_Land!Q10),"")</f>
        <v/>
      </c>
      <c r="R10" s="70" t="str">
        <f>IF(R$2="Y",IF(MaGic_AVM_Land!R10=0,"",MaGic_AVM_Land!R10),"")</f>
        <v/>
      </c>
      <c r="S10" s="70" t="str">
        <f>IF(S$2="Y",IF(MaGic_AVM_Land!S10=0,"",MaGic_AVM_Land!S10),"")</f>
        <v/>
      </c>
      <c r="T10" s="70" t="str">
        <f>IF(T$2="Y",IF(MaGic_AVM_Land!T10=0,"",MaGic_AVM_Land!T10),"")</f>
        <v/>
      </c>
      <c r="U10" s="70" t="str">
        <f>IF(U$2="Y",IF(MaGic_AVM_Land!U10=0,"",MaGic_AVM_Land!U10),"")</f>
        <v/>
      </c>
      <c r="V10" s="70" t="str">
        <f>IF(V$2="Y",IF(MaGic_AVM_Land!V10=0,"",MaGic_AVM_Land!V10),"")</f>
        <v/>
      </c>
      <c r="W10" s="70" t="str">
        <f>IF(W$2="Y",IF(MaGic_AVM_Land!W10=0,"",MaGic_AVM_Land!W10),"")</f>
        <v/>
      </c>
      <c r="X10" s="70" t="str">
        <f>IF(X$2="Y",IF(MaGic_AVM_Land!X10=0,"",MaGic_AVM_Land!X10),"")</f>
        <v/>
      </c>
      <c r="Y10" s="70" t="str">
        <f>IF(Y$2="Y",IF(MaGic_AVM_Land!Y10=0,"",MaGic_AVM_Land!Y10),"")</f>
        <v/>
      </c>
      <c r="Z10" s="70" t="str">
        <f>IF(Z$2="Y",IF(MaGic_AVM_Land!Z10=0,"",MaGic_AVM_Land!Z10),"")</f>
        <v/>
      </c>
      <c r="AA10" s="69" t="str">
        <f>CONCATENATE(IF(AB10="",AC10,AB10)," Taluk")</f>
        <v>Taluk</v>
      </c>
      <c r="AB10" s="69" t="str" cm="1">
        <f t="array" ref="AB10">_xlfn.UNIQUE(C10:Z10,TRUE,FALSE)</f>
        <v/>
      </c>
    </row>
    <row r="11" spans="1:28">
      <c r="A11" s="70">
        <v>9</v>
      </c>
      <c r="B11" s="70" t="s">
        <v>63</v>
      </c>
      <c r="C11" s="70" t="str">
        <f>IF(C$2="Y",IF(MaGic_AVM_Land!C11=0,"",MaGic_AVM_Land!C11),"")</f>
        <v/>
      </c>
      <c r="D11" s="70" t="str">
        <f>IF(D$2="Y",IF(MaGic_AVM_Land!D11=0,"",MaGic_AVM_Land!D11),"")</f>
        <v/>
      </c>
      <c r="E11" s="70" t="str">
        <f>IF(E$2="Y",IF(MaGic_AVM_Land!E11=0,"",MaGic_AVM_Land!E11),"")</f>
        <v/>
      </c>
      <c r="F11" s="70" t="str">
        <f>IF(F$2="Y",IF(MaGic_AVM_Land!F11=0,"",MaGic_AVM_Land!F11),"")</f>
        <v/>
      </c>
      <c r="G11" s="70" t="str">
        <f>IF(G$2="Y",IF(MaGic_AVM_Land!G11=0,"",MaGic_AVM_Land!G11),"")</f>
        <v/>
      </c>
      <c r="H11" s="70" t="str">
        <f>IF(H$2="Y",IF(MaGic_AVM_Land!H11=0,"",MaGic_AVM_Land!H11),"")</f>
        <v/>
      </c>
      <c r="I11" s="70" t="str">
        <f>IF(I$2="Y",IF(MaGic_AVM_Land!I11=0,"",MaGic_AVM_Land!I11),"")</f>
        <v/>
      </c>
      <c r="J11" s="70" t="str">
        <f>IF(J$2="Y",IF(MaGic_AVM_Land!J11=0,"",MaGic_AVM_Land!J11),"")</f>
        <v/>
      </c>
      <c r="K11" s="70" t="str">
        <f>IF(K$2="Y",IF(MaGic_AVM_Land!K11=0,"",MaGic_AVM_Land!K11),"")</f>
        <v/>
      </c>
      <c r="L11" s="70" t="str">
        <f>IF(L$2="Y",IF(MaGic_AVM_Land!L11=0,"",MaGic_AVM_Land!L11),"")</f>
        <v/>
      </c>
      <c r="M11" s="70" t="str">
        <f>IF(M$2="Y",IF(MaGic_AVM_Land!M11=0,"",MaGic_AVM_Land!M11),"")</f>
        <v/>
      </c>
      <c r="N11" s="70" t="str">
        <f>IF(N$2="Y",IF(MaGic_AVM_Land!N11=0,"",MaGic_AVM_Land!N11),"")</f>
        <v/>
      </c>
      <c r="O11" s="70" t="str">
        <f>IF(O$2="Y",IF(MaGic_AVM_Land!O11=0,"",MaGic_AVM_Land!O11),"")</f>
        <v/>
      </c>
      <c r="P11" s="70" t="str">
        <f>IF(P$2="Y",IF(MaGic_AVM_Land!P11=0,"",MaGic_AVM_Land!P11),"")</f>
        <v/>
      </c>
      <c r="Q11" s="70" t="str">
        <f>IF(Q$2="Y",IF(MaGic_AVM_Land!Q11=0,"",MaGic_AVM_Land!Q11),"")</f>
        <v/>
      </c>
      <c r="R11" s="70" t="str">
        <f>IF(R$2="Y",IF(MaGic_AVM_Land!R11=0,"",MaGic_AVM_Land!R11),"")</f>
        <v/>
      </c>
      <c r="S11" s="70" t="str">
        <f>IF(S$2="Y",IF(MaGic_AVM_Land!S11=0,"",MaGic_AVM_Land!S11),"")</f>
        <v/>
      </c>
      <c r="T11" s="70" t="str">
        <f>IF(T$2="Y",IF(MaGic_AVM_Land!T11=0,"",MaGic_AVM_Land!T11),"")</f>
        <v/>
      </c>
      <c r="U11" s="70" t="str">
        <f>IF(U$2="Y",IF(MaGic_AVM_Land!U11=0,"",MaGic_AVM_Land!U11),"")</f>
        <v/>
      </c>
      <c r="V11" s="70" t="str">
        <f>IF(V$2="Y",IF(MaGic_AVM_Land!V11=0,"",MaGic_AVM_Land!V11),"")</f>
        <v/>
      </c>
      <c r="W11" s="70" t="str">
        <f>IF(W$2="Y",IF(MaGic_AVM_Land!W11=0,"",MaGic_AVM_Land!W11),"")</f>
        <v/>
      </c>
      <c r="X11" s="70" t="str">
        <f>IF(X$2="Y",IF(MaGic_AVM_Land!X11=0,"",MaGic_AVM_Land!X11),"")</f>
        <v/>
      </c>
      <c r="Y11" s="70" t="str">
        <f>IF(Y$2="Y",IF(MaGic_AVM_Land!Y11=0,"",MaGic_AVM_Land!Y11),"")</f>
        <v/>
      </c>
      <c r="Z11" s="70" t="str">
        <f>IF(Z$2="Y",IF(MaGic_AVM_Land!Z11=0,"",MaGic_AVM_Land!Z11),"")</f>
        <v/>
      </c>
      <c r="AA11" s="69" t="str">
        <f>CONCATENATE(IF(AB11="",AC11,AB11)," Village")</f>
        <v>Village</v>
      </c>
      <c r="AB11" s="69" t="str" cm="1">
        <f t="array" ref="AB11">_xlfn.UNIQUE(C11:Z11,TRUE,FALSE)</f>
        <v/>
      </c>
    </row>
    <row r="12" spans="1:28">
      <c r="A12" s="70">
        <v>10</v>
      </c>
      <c r="B12" s="70" t="s">
        <v>65</v>
      </c>
      <c r="C12" s="70" t="str">
        <f>IF(C$2="Y",IF(MaGic_AVM_Land!C12=0,"",MaGic_AVM_Land!C12),"")</f>
        <v/>
      </c>
      <c r="D12" s="70" t="str">
        <f>IF(D$2="Y",IF(MaGic_AVM_Land!D12=0,"",MaGic_AVM_Land!D12),"")</f>
        <v/>
      </c>
      <c r="E12" s="70" t="str">
        <f>IF(E$2="Y",IF(MaGic_AVM_Land!E12=0,"",MaGic_AVM_Land!E12),"")</f>
        <v/>
      </c>
      <c r="F12" s="70" t="str">
        <f>IF(F$2="Y",IF(MaGic_AVM_Land!F12=0,"",MaGic_AVM_Land!F12),"")</f>
        <v/>
      </c>
      <c r="G12" s="70" t="str">
        <f>IF(G$2="Y",IF(MaGic_AVM_Land!G12=0,"",MaGic_AVM_Land!G12),"")</f>
        <v/>
      </c>
      <c r="H12" s="70" t="str">
        <f>IF(H$2="Y",IF(MaGic_AVM_Land!H12=0,"",MaGic_AVM_Land!H12),"")</f>
        <v/>
      </c>
      <c r="I12" s="70" t="str">
        <f>IF(I$2="Y",IF(MaGic_AVM_Land!I12=0,"",MaGic_AVM_Land!I12),"")</f>
        <v/>
      </c>
      <c r="J12" s="70" t="str">
        <f>IF(J$2="Y",IF(MaGic_AVM_Land!J12=0,"",MaGic_AVM_Land!J12),"")</f>
        <v/>
      </c>
      <c r="K12" s="70" t="str">
        <f>IF(K$2="Y",IF(MaGic_AVM_Land!K12=0,"",MaGic_AVM_Land!K12),"")</f>
        <v/>
      </c>
      <c r="L12" s="70" t="str">
        <f>IF(L$2="Y",IF(MaGic_AVM_Land!L12=0,"",MaGic_AVM_Land!L12),"")</f>
        <v/>
      </c>
      <c r="M12" s="70" t="str">
        <f>IF(M$2="Y",IF(MaGic_AVM_Land!M12=0,"",MaGic_AVM_Land!M12),"")</f>
        <v/>
      </c>
      <c r="N12" s="70" t="str">
        <f>IF(N$2="Y",IF(MaGic_AVM_Land!N12=0,"",MaGic_AVM_Land!N12),"")</f>
        <v/>
      </c>
      <c r="O12" s="70" t="str">
        <f>IF(O$2="Y",IF(MaGic_AVM_Land!O12=0,"",MaGic_AVM_Land!O12),"")</f>
        <v/>
      </c>
      <c r="P12" s="70" t="str">
        <f>IF(P$2="Y",IF(MaGic_AVM_Land!P12=0,"",MaGic_AVM_Land!P12),"")</f>
        <v/>
      </c>
      <c r="Q12" s="70" t="str">
        <f>IF(Q$2="Y",IF(MaGic_AVM_Land!Q12=0,"",MaGic_AVM_Land!Q12),"")</f>
        <v/>
      </c>
      <c r="R12" s="70" t="str">
        <f>IF(R$2="Y",IF(MaGic_AVM_Land!R12=0,"",MaGic_AVM_Land!R12),"")</f>
        <v/>
      </c>
      <c r="S12" s="70" t="str">
        <f>IF(S$2="Y",IF(MaGic_AVM_Land!S12=0,"",MaGic_AVM_Land!S12),"")</f>
        <v/>
      </c>
      <c r="T12" s="70" t="str">
        <f>IF(T$2="Y",IF(MaGic_AVM_Land!T12=0,"",MaGic_AVM_Land!T12),"")</f>
        <v/>
      </c>
      <c r="U12" s="70" t="str">
        <f>IF(U$2="Y",IF(MaGic_AVM_Land!U12=0,"",MaGic_AVM_Land!U12),"")</f>
        <v/>
      </c>
      <c r="V12" s="70" t="str">
        <f>IF(V$2="Y",IF(MaGic_AVM_Land!V12=0,"",MaGic_AVM_Land!V12),"")</f>
        <v/>
      </c>
      <c r="W12" s="70" t="str">
        <f>IF(W$2="Y",IF(MaGic_AVM_Land!W12=0,"",MaGic_AVM_Land!W12),"")</f>
        <v/>
      </c>
      <c r="X12" s="70" t="str">
        <f>IF(X$2="Y",IF(MaGic_AVM_Land!X12=0,"",MaGic_AVM_Land!X12),"")</f>
        <v/>
      </c>
      <c r="Y12" s="70" t="str">
        <f>IF(Y$2="Y",IF(MaGic_AVM_Land!Y12=0,"",MaGic_AVM_Land!Y12),"")</f>
        <v/>
      </c>
      <c r="Z12" s="70" t="str">
        <f>IF(Z$2="Y",IF(MaGic_AVM_Land!Z12=0,"",MaGic_AVM_Land!Z12),"")</f>
        <v/>
      </c>
      <c r="AA12" s="69" t="str">
        <f>CONCATENATE(IF(AB12="",AC12,AB12))</f>
        <v/>
      </c>
      <c r="AB12" s="69" t="str" cm="1">
        <f t="array" ref="AB12">_xlfn.UNIQUE(C12:Z12,TRUE,FALSE)</f>
        <v/>
      </c>
    </row>
    <row r="13" spans="1:28">
      <c r="A13" s="70">
        <v>11</v>
      </c>
      <c r="B13" s="70" t="s">
        <v>67</v>
      </c>
      <c r="C13" s="71" t="str">
        <f>IF(C$2="Y",IF(MaGic_AVM_Land!C13=0,"",MaGic_AVM_Land!C13),"")</f>
        <v/>
      </c>
      <c r="D13" s="71" t="str">
        <f>IF(D$2="Y",IF(MaGic_AVM_Land!D13=0,"",MaGic_AVM_Land!D13),"")</f>
        <v/>
      </c>
      <c r="E13" s="71" t="str">
        <f>IF(E$2="Y",IF(MaGic_AVM_Land!E13=0,"",MaGic_AVM_Land!E13),"")</f>
        <v/>
      </c>
      <c r="F13" s="71" t="str">
        <f>IF(F$2="Y",IF(MaGic_AVM_Land!F13=0,"",MaGic_AVM_Land!F13),"")</f>
        <v/>
      </c>
      <c r="G13" s="71" t="str">
        <f>IF(G$2="Y",IF(MaGic_AVM_Land!G13=0,"",MaGic_AVM_Land!G13),"")</f>
        <v/>
      </c>
      <c r="H13" s="71" t="str">
        <f>IF(H$2="Y",IF(MaGic_AVM_Land!H13=0,"",MaGic_AVM_Land!H13),"")</f>
        <v/>
      </c>
      <c r="I13" s="71" t="str">
        <f>IF(I$2="Y",IF(MaGic_AVM_Land!I13=0,"",MaGic_AVM_Land!I13),"")</f>
        <v/>
      </c>
      <c r="J13" s="71" t="str">
        <f>IF(J$2="Y",IF(MaGic_AVM_Land!J13=0,"",MaGic_AVM_Land!J13),"")</f>
        <v/>
      </c>
      <c r="K13" s="71" t="str">
        <f>IF(K$2="Y",IF(MaGic_AVM_Land!K13=0,"",MaGic_AVM_Land!K13),"")</f>
        <v/>
      </c>
      <c r="L13" s="71" t="str">
        <f>IF(L$2="Y",IF(MaGic_AVM_Land!L13=0,"",MaGic_AVM_Land!L13),"")</f>
        <v/>
      </c>
      <c r="M13" s="71" t="str">
        <f>IF(M$2="Y",IF(MaGic_AVM_Land!M13=0,"",MaGic_AVM_Land!M13),"")</f>
        <v/>
      </c>
      <c r="N13" s="71" t="str">
        <f>IF(N$2="Y",IF(MaGic_AVM_Land!N13=0,"",MaGic_AVM_Land!N13),"")</f>
        <v/>
      </c>
      <c r="O13" s="71" t="str">
        <f>IF(O$2="Y",IF(MaGic_AVM_Land!O13=0,"",MaGic_AVM_Land!O13),"")</f>
        <v/>
      </c>
      <c r="P13" s="71" t="str">
        <f>IF(P$2="Y",IF(MaGic_AVM_Land!P13=0,"",MaGic_AVM_Land!P13),"")</f>
        <v/>
      </c>
      <c r="Q13" s="71" t="str">
        <f>IF(Q$2="Y",IF(MaGic_AVM_Land!Q13=0,"",MaGic_AVM_Land!Q13),"")</f>
        <v/>
      </c>
      <c r="R13" s="71" t="str">
        <f>IF(R$2="Y",IF(MaGic_AVM_Land!R13=0,"",MaGic_AVM_Land!R13),"")</f>
        <v/>
      </c>
      <c r="S13" s="71" t="str">
        <f>IF(S$2="Y",IF(MaGic_AVM_Land!S13=0,"",MaGic_AVM_Land!S13),"")</f>
        <v/>
      </c>
      <c r="T13" s="71" t="str">
        <f>IF(T$2="Y",IF(MaGic_AVM_Land!T13=0,"",MaGic_AVM_Land!T13),"")</f>
        <v/>
      </c>
      <c r="U13" s="71" t="str">
        <f>IF(U$2="Y",IF(MaGic_AVM_Land!U13=0,"",MaGic_AVM_Land!U13),"")</f>
        <v/>
      </c>
      <c r="V13" s="71" t="str">
        <f>IF(V$2="Y",IF(MaGic_AVM_Land!V13=0,"",MaGic_AVM_Land!V13),"")</f>
        <v/>
      </c>
      <c r="W13" s="71" t="str">
        <f>IF(W$2="Y",IF(MaGic_AVM_Land!W13=0,"",MaGic_AVM_Land!W13),"")</f>
        <v/>
      </c>
      <c r="X13" s="71" t="str">
        <f>IF(X$2="Y",IF(MaGic_AVM_Land!X13=0,"",MaGic_AVM_Land!X13),"")</f>
        <v/>
      </c>
      <c r="Y13" s="71" t="str">
        <f>IF(Y$2="Y",IF(MaGic_AVM_Land!Y13=0,"",MaGic_AVM_Land!Y13),"")</f>
        <v/>
      </c>
      <c r="Z13" s="71" t="str">
        <f>IF(Z$2="Y",IF(MaGic_AVM_Land!Z13=0,"",MaGic_AVM_Land!Z13),"")</f>
        <v/>
      </c>
      <c r="AA13" s="69" t="str">
        <f>CONCATENATE(IF(AB13="",AC13,AB13)," ",AA12)</f>
        <v/>
      </c>
      <c r="AB13" s="69" t="str" cm="1">
        <f t="array" ref="AB13">_xlfn.UNIQUE(C13:Z13,TRUE,FALSE)</f>
        <v/>
      </c>
    </row>
    <row r="14" spans="1:28">
      <c r="A14" s="70">
        <v>12</v>
      </c>
      <c r="B14" s="70" t="s">
        <v>69</v>
      </c>
      <c r="C14" s="71" t="str">
        <f>IF(C$2="Y",IF(MaGic_AVM_Land!C14=0,"",MaGic_AVM_Land!C14),"")</f>
        <v/>
      </c>
      <c r="D14" s="71" t="str">
        <f>IF(D$2="Y",IF(MaGic_AVM_Land!D14=0,"",MaGic_AVM_Land!D14),"")</f>
        <v/>
      </c>
      <c r="E14" s="71" t="str">
        <f>IF(E$2="Y",IF(MaGic_AVM_Land!E14=0,"",MaGic_AVM_Land!E14),"")</f>
        <v/>
      </c>
      <c r="F14" s="71" t="str">
        <f>IF(F$2="Y",IF(MaGic_AVM_Land!F14=0,"",MaGic_AVM_Land!F14),"")</f>
        <v/>
      </c>
      <c r="G14" s="71" t="str">
        <f>IF(G$2="Y",IF(MaGic_AVM_Land!G14=0,"",MaGic_AVM_Land!G14),"")</f>
        <v/>
      </c>
      <c r="H14" s="71" t="str">
        <f>IF(H$2="Y",IF(MaGic_AVM_Land!H14=0,"",MaGic_AVM_Land!H14),"")</f>
        <v/>
      </c>
      <c r="I14" s="71" t="str">
        <f>IF(I$2="Y",IF(MaGic_AVM_Land!I14=0,"",MaGic_AVM_Land!I14),"")</f>
        <v/>
      </c>
      <c r="J14" s="71" t="str">
        <f>IF(J$2="Y",IF(MaGic_AVM_Land!J14=0,"",MaGic_AVM_Land!J14),"")</f>
        <v/>
      </c>
      <c r="K14" s="71" t="str">
        <f>IF(K$2="Y",IF(MaGic_AVM_Land!K14=0,"",MaGic_AVM_Land!K14),"")</f>
        <v/>
      </c>
      <c r="L14" s="71" t="str">
        <f>IF(L$2="Y",IF(MaGic_AVM_Land!L14=0,"",MaGic_AVM_Land!L14),"")</f>
        <v/>
      </c>
      <c r="M14" s="71" t="str">
        <f>IF(M$2="Y",IF(MaGic_AVM_Land!M14=0,"",MaGic_AVM_Land!M14),"")</f>
        <v/>
      </c>
      <c r="N14" s="71" t="str">
        <f>IF(N$2="Y",IF(MaGic_AVM_Land!N14=0,"",MaGic_AVM_Land!N14),"")</f>
        <v/>
      </c>
      <c r="O14" s="71" t="str">
        <f>IF(O$2="Y",IF(MaGic_AVM_Land!O14=0,"",MaGic_AVM_Land!O14),"")</f>
        <v/>
      </c>
      <c r="P14" s="71" t="str">
        <f>IF(P$2="Y",IF(MaGic_AVM_Land!P14=0,"",MaGic_AVM_Land!P14),"")</f>
        <v/>
      </c>
      <c r="Q14" s="71" t="str">
        <f>IF(Q$2="Y",IF(MaGic_AVM_Land!Q14=0,"",MaGic_AVM_Land!Q14),"")</f>
        <v/>
      </c>
      <c r="R14" s="71" t="str">
        <f>IF(R$2="Y",IF(MaGic_AVM_Land!R14=0,"",MaGic_AVM_Land!R14),"")</f>
        <v/>
      </c>
      <c r="S14" s="71" t="str">
        <f>IF(S$2="Y",IF(MaGic_AVM_Land!S14=0,"",MaGic_AVM_Land!S14),"")</f>
        <v/>
      </c>
      <c r="T14" s="71" t="str">
        <f>IF(T$2="Y",IF(MaGic_AVM_Land!T14=0,"",MaGic_AVM_Land!T14),"")</f>
        <v/>
      </c>
      <c r="U14" s="71" t="str">
        <f>IF(U$2="Y",IF(MaGic_AVM_Land!U14=0,"",MaGic_AVM_Land!U14),"")</f>
        <v/>
      </c>
      <c r="V14" s="71" t="str">
        <f>IF(V$2="Y",IF(MaGic_AVM_Land!V14=0,"",MaGic_AVM_Land!V14),"")</f>
        <v/>
      </c>
      <c r="W14" s="71" t="str">
        <f>IF(W$2="Y",IF(MaGic_AVM_Land!W14=0,"",MaGic_AVM_Land!W14),"")</f>
        <v/>
      </c>
      <c r="X14" s="71" t="str">
        <f>IF(X$2="Y",IF(MaGic_AVM_Land!X14=0,"",MaGic_AVM_Land!X14),"")</f>
        <v/>
      </c>
      <c r="Y14" s="71" t="str">
        <f>IF(Y$2="Y",IF(MaGic_AVM_Land!Y14=0,"",MaGic_AVM_Land!Y14),"")</f>
        <v/>
      </c>
      <c r="Z14" s="71" t="str">
        <f>IF(Z$2="Y",IF(MaGic_AVM_Land!Z14=0,"",MaGic_AVM_Land!Z14),"")</f>
        <v/>
      </c>
      <c r="AA14" s="69" t="str">
        <f t="shared" ref="AA14:AA18" si="1">_xlfn.TEXTJOIN(",",TRUE,AB14:AZ14)</f>
        <v/>
      </c>
      <c r="AB14" s="69" t="str" cm="1">
        <f t="array" ref="AB14">_xlfn.UNIQUE(C14:Z14,TRUE,FALSE)</f>
        <v/>
      </c>
    </row>
    <row r="15" spans="1:28">
      <c r="A15" s="70">
        <v>13</v>
      </c>
      <c r="B15" s="70" t="s">
        <v>70</v>
      </c>
      <c r="C15" s="71" t="str">
        <f>IF(C$2="Y",IF(MaGic_AVM_Land!C15=0,"",MaGic_AVM_Land!C15),"")</f>
        <v/>
      </c>
      <c r="D15" s="71" t="str">
        <f>IF(D$2="Y",IF(MaGic_AVM_Land!D15=0,"",MaGic_AVM_Land!D15),"")</f>
        <v/>
      </c>
      <c r="E15" s="71" t="str">
        <f>IF(E$2="Y",IF(MaGic_AVM_Land!E15=0,"",MaGic_AVM_Land!E15),"")</f>
        <v/>
      </c>
      <c r="F15" s="71" t="str">
        <f>IF(F$2="Y",IF(MaGic_AVM_Land!F15=0,"",MaGic_AVM_Land!F15),"")</f>
        <v/>
      </c>
      <c r="G15" s="71" t="str">
        <f>IF(G$2="Y",IF(MaGic_AVM_Land!G15=0,"",MaGic_AVM_Land!G15),"")</f>
        <v/>
      </c>
      <c r="H15" s="71" t="str">
        <f>IF(H$2="Y",IF(MaGic_AVM_Land!H15=0,"",MaGic_AVM_Land!H15),"")</f>
        <v/>
      </c>
      <c r="I15" s="71" t="str">
        <f>IF(I$2="Y",IF(MaGic_AVM_Land!I15=0,"",MaGic_AVM_Land!I15),"")</f>
        <v/>
      </c>
      <c r="J15" s="71" t="str">
        <f>IF(J$2="Y",IF(MaGic_AVM_Land!J15=0,"",MaGic_AVM_Land!J15),"")</f>
        <v/>
      </c>
      <c r="K15" s="71" t="str">
        <f>IF(K$2="Y",IF(MaGic_AVM_Land!K15=0,"",MaGic_AVM_Land!K15),"")</f>
        <v/>
      </c>
      <c r="L15" s="71" t="str">
        <f>IF(L$2="Y",IF(MaGic_AVM_Land!L15=0,"",MaGic_AVM_Land!L15),"")</f>
        <v/>
      </c>
      <c r="M15" s="71" t="str">
        <f>IF(M$2="Y",IF(MaGic_AVM_Land!M15=0,"",MaGic_AVM_Land!M15),"")</f>
        <v/>
      </c>
      <c r="N15" s="71" t="str">
        <f>IF(N$2="Y",IF(MaGic_AVM_Land!N15=0,"",MaGic_AVM_Land!N15),"")</f>
        <v/>
      </c>
      <c r="O15" s="71" t="str">
        <f>IF(O$2="Y",IF(MaGic_AVM_Land!O15=0,"",MaGic_AVM_Land!O15),"")</f>
        <v/>
      </c>
      <c r="P15" s="71" t="str">
        <f>IF(P$2="Y",IF(MaGic_AVM_Land!P15=0,"",MaGic_AVM_Land!P15),"")</f>
        <v/>
      </c>
      <c r="Q15" s="71" t="str">
        <f>IF(Q$2="Y",IF(MaGic_AVM_Land!Q15=0,"",MaGic_AVM_Land!Q15),"")</f>
        <v/>
      </c>
      <c r="R15" s="71" t="str">
        <f>IF(R$2="Y",IF(MaGic_AVM_Land!R15=0,"",MaGic_AVM_Land!R15),"")</f>
        <v/>
      </c>
      <c r="S15" s="71" t="str">
        <f>IF(S$2="Y",IF(MaGic_AVM_Land!S15=0,"",MaGic_AVM_Land!S15),"")</f>
        <v/>
      </c>
      <c r="T15" s="71" t="str">
        <f>IF(T$2="Y",IF(MaGic_AVM_Land!T15=0,"",MaGic_AVM_Land!T15),"")</f>
        <v/>
      </c>
      <c r="U15" s="71" t="str">
        <f>IF(U$2="Y",IF(MaGic_AVM_Land!U15=0,"",MaGic_AVM_Land!U15),"")</f>
        <v/>
      </c>
      <c r="V15" s="71" t="str">
        <f>IF(V$2="Y",IF(MaGic_AVM_Land!V15=0,"",MaGic_AVM_Land!V15),"")</f>
        <v/>
      </c>
      <c r="W15" s="71" t="str">
        <f>IF(W$2="Y",IF(MaGic_AVM_Land!W15=0,"",MaGic_AVM_Land!W15),"")</f>
        <v/>
      </c>
      <c r="X15" s="71" t="str">
        <f>IF(X$2="Y",IF(MaGic_AVM_Land!X15=0,"",MaGic_AVM_Land!X15),"")</f>
        <v/>
      </c>
      <c r="Y15" s="71" t="str">
        <f>IF(Y$2="Y",IF(MaGic_AVM_Land!Y15=0,"",MaGic_AVM_Land!Y15),"")</f>
        <v/>
      </c>
      <c r="Z15" s="71" t="str">
        <f>IF(Z$2="Y",IF(MaGic_AVM_Land!Z15=0,"",MaGic_AVM_Land!Z15),"")</f>
        <v/>
      </c>
      <c r="AA15" s="69" t="str">
        <f t="shared" si="1"/>
        <v/>
      </c>
      <c r="AB15" s="69" t="str" cm="1">
        <f t="array" ref="AB15">_xlfn.UNIQUE(C15:Z15,TRUE,FALSE)</f>
        <v/>
      </c>
    </row>
    <row r="16" spans="1:28">
      <c r="A16" s="70">
        <v>14</v>
      </c>
      <c r="B16" s="70" t="s">
        <v>71</v>
      </c>
      <c r="C16" s="71" t="str">
        <f>IF(C$2="Y",IF(MaGic_AVM_Land!C16=0,"",MaGic_AVM_Land!C16),"")</f>
        <v/>
      </c>
      <c r="D16" s="71" t="str">
        <f>IF(D$2="Y",IF(MaGic_AVM_Land!D16=0,"",MaGic_AVM_Land!D16),"")</f>
        <v/>
      </c>
      <c r="E16" s="71" t="str">
        <f>IF(E$2="Y",IF(MaGic_AVM_Land!E16=0,"",MaGic_AVM_Land!E16),"")</f>
        <v/>
      </c>
      <c r="F16" s="71" t="str">
        <f>IF(F$2="Y",IF(MaGic_AVM_Land!F16=0,"",MaGic_AVM_Land!F16),"")</f>
        <v/>
      </c>
      <c r="G16" s="71" t="str">
        <f>IF(G$2="Y",IF(MaGic_AVM_Land!G16=0,"",MaGic_AVM_Land!G16),"")</f>
        <v/>
      </c>
      <c r="H16" s="71" t="str">
        <f>IF(H$2="Y",IF(MaGic_AVM_Land!H16=0,"",MaGic_AVM_Land!H16),"")</f>
        <v/>
      </c>
      <c r="I16" s="71" t="str">
        <f>IF(I$2="Y",IF(MaGic_AVM_Land!I16=0,"",MaGic_AVM_Land!I16),"")</f>
        <v/>
      </c>
      <c r="J16" s="71" t="str">
        <f>IF(J$2="Y",IF(MaGic_AVM_Land!J16=0,"",MaGic_AVM_Land!J16),"")</f>
        <v/>
      </c>
      <c r="K16" s="71" t="str">
        <f>IF(K$2="Y",IF(MaGic_AVM_Land!K16=0,"",MaGic_AVM_Land!K16),"")</f>
        <v/>
      </c>
      <c r="L16" s="71" t="str">
        <f>IF(L$2="Y",IF(MaGic_AVM_Land!L16=0,"",MaGic_AVM_Land!L16),"")</f>
        <v/>
      </c>
      <c r="M16" s="71" t="str">
        <f>IF(M$2="Y",IF(MaGic_AVM_Land!M16=0,"",MaGic_AVM_Land!M16),"")</f>
        <v/>
      </c>
      <c r="N16" s="71" t="str">
        <f>IF(N$2="Y",IF(MaGic_AVM_Land!N16=0,"",MaGic_AVM_Land!N16),"")</f>
        <v/>
      </c>
      <c r="O16" s="71" t="str">
        <f>IF(O$2="Y",IF(MaGic_AVM_Land!O16=0,"",MaGic_AVM_Land!O16),"")</f>
        <v/>
      </c>
      <c r="P16" s="71" t="str">
        <f>IF(P$2="Y",IF(MaGic_AVM_Land!P16=0,"",MaGic_AVM_Land!P16),"")</f>
        <v/>
      </c>
      <c r="Q16" s="71" t="str">
        <f>IF(Q$2="Y",IF(MaGic_AVM_Land!Q16=0,"",MaGic_AVM_Land!Q16),"")</f>
        <v/>
      </c>
      <c r="R16" s="71" t="str">
        <f>IF(R$2="Y",IF(MaGic_AVM_Land!R16=0,"",MaGic_AVM_Land!R16),"")</f>
        <v/>
      </c>
      <c r="S16" s="71" t="str">
        <f>IF(S$2="Y",IF(MaGic_AVM_Land!S16=0,"",MaGic_AVM_Land!S16),"")</f>
        <v/>
      </c>
      <c r="T16" s="71" t="str">
        <f>IF(T$2="Y",IF(MaGic_AVM_Land!T16=0,"",MaGic_AVM_Land!T16),"")</f>
        <v/>
      </c>
      <c r="U16" s="71" t="str">
        <f>IF(U$2="Y",IF(MaGic_AVM_Land!U16=0,"",MaGic_AVM_Land!U16),"")</f>
        <v/>
      </c>
      <c r="V16" s="71" t="str">
        <f>IF(V$2="Y",IF(MaGic_AVM_Land!V16=0,"",MaGic_AVM_Land!V16),"")</f>
        <v/>
      </c>
      <c r="W16" s="71" t="str">
        <f>IF(W$2="Y",IF(MaGic_AVM_Land!W16=0,"",MaGic_AVM_Land!W16),"")</f>
        <v/>
      </c>
      <c r="X16" s="71" t="str">
        <f>IF(X$2="Y",IF(MaGic_AVM_Land!X16=0,"",MaGic_AVM_Land!X16),"")</f>
        <v/>
      </c>
      <c r="Y16" s="71" t="str">
        <f>IF(Y$2="Y",IF(MaGic_AVM_Land!Y16=0,"",MaGic_AVM_Land!Y16),"")</f>
        <v/>
      </c>
      <c r="Z16" s="71" t="str">
        <f>IF(Z$2="Y",IF(MaGic_AVM_Land!Z16=0,"",MaGic_AVM_Land!Z16),"")</f>
        <v/>
      </c>
      <c r="AA16" s="69" t="str">
        <f t="shared" si="1"/>
        <v/>
      </c>
      <c r="AB16" s="69" t="str" cm="1">
        <f t="array" ref="AB16">_xlfn.UNIQUE(C16:Z16,TRUE,FALSE)</f>
        <v/>
      </c>
    </row>
    <row r="17" spans="1:28">
      <c r="A17" s="70">
        <v>15</v>
      </c>
      <c r="B17" s="70" t="s">
        <v>77</v>
      </c>
      <c r="C17" s="71" t="str">
        <f>IF(C$2="Y",IF(MaGic_AVM_Land!C17=0,"",MaGic_AVM_Land!C17),"")</f>
        <v/>
      </c>
      <c r="D17" s="71" t="str">
        <f>IF(D$2="Y",IF(MaGic_AVM_Land!D17=0,"",MaGic_AVM_Land!D17),"")</f>
        <v/>
      </c>
      <c r="E17" s="71" t="str">
        <f>IF(E$2="Y",IF(MaGic_AVM_Land!E17=0,"",MaGic_AVM_Land!E17),"")</f>
        <v/>
      </c>
      <c r="F17" s="71" t="str">
        <f>IF(F$2="Y",IF(MaGic_AVM_Land!F17=0,"",MaGic_AVM_Land!F17),"")</f>
        <v/>
      </c>
      <c r="G17" s="71" t="str">
        <f>IF(G$2="Y",IF(MaGic_AVM_Land!G17=0,"",MaGic_AVM_Land!G17),"")</f>
        <v/>
      </c>
      <c r="H17" s="71" t="str">
        <f>IF(H$2="Y",IF(MaGic_AVM_Land!H17=0,"",MaGic_AVM_Land!H17),"")</f>
        <v/>
      </c>
      <c r="I17" s="71" t="str">
        <f>IF(I$2="Y",IF(MaGic_AVM_Land!I17=0,"",MaGic_AVM_Land!I17),"")</f>
        <v/>
      </c>
      <c r="J17" s="71" t="str">
        <f>IF(J$2="Y",IF(MaGic_AVM_Land!J17=0,"",MaGic_AVM_Land!J17),"")</f>
        <v/>
      </c>
      <c r="K17" s="71" t="str">
        <f>IF(K$2="Y",IF(MaGic_AVM_Land!K17=0,"",MaGic_AVM_Land!K17),"")</f>
        <v/>
      </c>
      <c r="L17" s="71" t="str">
        <f>IF(L$2="Y",IF(MaGic_AVM_Land!L17=0,"",MaGic_AVM_Land!L17),"")</f>
        <v/>
      </c>
      <c r="M17" s="71" t="str">
        <f>IF(M$2="Y",IF(MaGic_AVM_Land!M17=0,"",MaGic_AVM_Land!M17),"")</f>
        <v/>
      </c>
      <c r="N17" s="71" t="str">
        <f>IF(N$2="Y",IF(MaGic_AVM_Land!N17=0,"",MaGic_AVM_Land!N17),"")</f>
        <v/>
      </c>
      <c r="O17" s="71" t="str">
        <f>IF(O$2="Y",IF(MaGic_AVM_Land!O17=0,"",MaGic_AVM_Land!O17),"")</f>
        <v/>
      </c>
      <c r="P17" s="71" t="str">
        <f>IF(P$2="Y",IF(MaGic_AVM_Land!P17=0,"",MaGic_AVM_Land!P17),"")</f>
        <v/>
      </c>
      <c r="Q17" s="71" t="str">
        <f>IF(Q$2="Y",IF(MaGic_AVM_Land!Q17=0,"",MaGic_AVM_Land!Q17),"")</f>
        <v/>
      </c>
      <c r="R17" s="71" t="str">
        <f>IF(R$2="Y",IF(MaGic_AVM_Land!R17=0,"",MaGic_AVM_Land!R17),"")</f>
        <v/>
      </c>
      <c r="S17" s="71" t="str">
        <f>IF(S$2="Y",IF(MaGic_AVM_Land!S17=0,"",MaGic_AVM_Land!S17),"")</f>
        <v/>
      </c>
      <c r="T17" s="71" t="str">
        <f>IF(T$2="Y",IF(MaGic_AVM_Land!T17=0,"",MaGic_AVM_Land!T17),"")</f>
        <v/>
      </c>
      <c r="U17" s="71" t="str">
        <f>IF(U$2="Y",IF(MaGic_AVM_Land!U17=0,"",MaGic_AVM_Land!U17),"")</f>
        <v/>
      </c>
      <c r="V17" s="71" t="str">
        <f>IF(V$2="Y",IF(MaGic_AVM_Land!V17=0,"",MaGic_AVM_Land!V17),"")</f>
        <v/>
      </c>
      <c r="W17" s="71" t="str">
        <f>IF(W$2="Y",IF(MaGic_AVM_Land!W17=0,"",MaGic_AVM_Land!W17),"")</f>
        <v/>
      </c>
      <c r="X17" s="71" t="str">
        <f>IF(X$2="Y",IF(MaGic_AVM_Land!X17=0,"",MaGic_AVM_Land!X17),"")</f>
        <v/>
      </c>
      <c r="Y17" s="71" t="str">
        <f>IF(Y$2="Y",IF(MaGic_AVM_Land!Y17=0,"",MaGic_AVM_Land!Y17),"")</f>
        <v/>
      </c>
      <c r="Z17" s="71" t="str">
        <f>IF(Z$2="Y",IF(MaGic_AVM_Land!Z17=0,"",MaGic_AVM_Land!Z17),"")</f>
        <v/>
      </c>
      <c r="AA17" s="69" t="str">
        <f t="shared" si="1"/>
        <v/>
      </c>
      <c r="AB17" s="69" t="str" cm="1">
        <f t="array" ref="AB17">_xlfn.UNIQUE(C17:Z17,TRUE,FALSE)</f>
        <v/>
      </c>
    </row>
    <row r="18" spans="1:28">
      <c r="A18" s="70">
        <v>16</v>
      </c>
      <c r="B18" s="70" t="s">
        <v>78</v>
      </c>
      <c r="C18" s="71" t="str">
        <f>IF(C$2="Y",IF(MaGic_AVM_Land!C18=0,"",MaGic_AVM_Land!C18),"")</f>
        <v/>
      </c>
      <c r="D18" s="71" t="str">
        <f>IF(D$2="Y",IF(MaGic_AVM_Land!D18=0,"",MaGic_AVM_Land!D18),"")</f>
        <v/>
      </c>
      <c r="E18" s="71" t="str">
        <f>IF(E$2="Y",IF(MaGic_AVM_Land!E18=0,"",MaGic_AVM_Land!E18),"")</f>
        <v/>
      </c>
      <c r="F18" s="71" t="str">
        <f>IF(F$2="Y",IF(MaGic_AVM_Land!F18=0,"",MaGic_AVM_Land!F18),"")</f>
        <v/>
      </c>
      <c r="G18" s="71" t="str">
        <f>IF(G$2="Y",IF(MaGic_AVM_Land!G18=0,"",MaGic_AVM_Land!G18),"")</f>
        <v/>
      </c>
      <c r="H18" s="71" t="str">
        <f>IF(H$2="Y",IF(MaGic_AVM_Land!H18=0,"",MaGic_AVM_Land!H18),"")</f>
        <v/>
      </c>
      <c r="I18" s="71" t="str">
        <f>IF(I$2="Y",IF(MaGic_AVM_Land!I18=0,"",MaGic_AVM_Land!I18),"")</f>
        <v/>
      </c>
      <c r="J18" s="71" t="str">
        <f>IF(J$2="Y",IF(MaGic_AVM_Land!J18=0,"",MaGic_AVM_Land!J18),"")</f>
        <v/>
      </c>
      <c r="K18" s="71" t="str">
        <f>IF(K$2="Y",IF(MaGic_AVM_Land!K18=0,"",MaGic_AVM_Land!K18),"")</f>
        <v/>
      </c>
      <c r="L18" s="71" t="str">
        <f>IF(L$2="Y",IF(MaGic_AVM_Land!L18=0,"",MaGic_AVM_Land!L18),"")</f>
        <v/>
      </c>
      <c r="M18" s="71" t="str">
        <f>IF(M$2="Y",IF(MaGic_AVM_Land!M18=0,"",MaGic_AVM_Land!M18),"")</f>
        <v/>
      </c>
      <c r="N18" s="71" t="str">
        <f>IF(N$2="Y",IF(MaGic_AVM_Land!N18=0,"",MaGic_AVM_Land!N18),"")</f>
        <v/>
      </c>
      <c r="O18" s="71" t="str">
        <f>IF(O$2="Y",IF(MaGic_AVM_Land!O18=0,"",MaGic_AVM_Land!O18),"")</f>
        <v/>
      </c>
      <c r="P18" s="71" t="str">
        <f>IF(P$2="Y",IF(MaGic_AVM_Land!P18=0,"",MaGic_AVM_Land!P18),"")</f>
        <v/>
      </c>
      <c r="Q18" s="71" t="str">
        <f>IF(Q$2="Y",IF(MaGic_AVM_Land!Q18=0,"",MaGic_AVM_Land!Q18),"")</f>
        <v/>
      </c>
      <c r="R18" s="71" t="str">
        <f>IF(R$2="Y",IF(MaGic_AVM_Land!R18=0,"",MaGic_AVM_Land!R18),"")</f>
        <v/>
      </c>
      <c r="S18" s="71" t="str">
        <f>IF(S$2="Y",IF(MaGic_AVM_Land!S18=0,"",MaGic_AVM_Land!S18),"")</f>
        <v/>
      </c>
      <c r="T18" s="71" t="str">
        <f>IF(T$2="Y",IF(MaGic_AVM_Land!T18=0,"",MaGic_AVM_Land!T18),"")</f>
        <v/>
      </c>
      <c r="U18" s="71" t="str">
        <f>IF(U$2="Y",IF(MaGic_AVM_Land!U18=0,"",MaGic_AVM_Land!U18),"")</f>
        <v/>
      </c>
      <c r="V18" s="71" t="str">
        <f>IF(V$2="Y",IF(MaGic_AVM_Land!V18=0,"",MaGic_AVM_Land!V18),"")</f>
        <v/>
      </c>
      <c r="W18" s="71" t="str">
        <f>IF(W$2="Y",IF(MaGic_AVM_Land!W18=0,"",MaGic_AVM_Land!W18),"")</f>
        <v/>
      </c>
      <c r="X18" s="71" t="str">
        <f>IF(X$2="Y",IF(MaGic_AVM_Land!X18=0,"",MaGic_AVM_Land!X18),"")</f>
        <v/>
      </c>
      <c r="Y18" s="71" t="str">
        <f>IF(Y$2="Y",IF(MaGic_AVM_Land!Y18=0,"",MaGic_AVM_Land!Y18),"")</f>
        <v/>
      </c>
      <c r="Z18" s="71" t="str">
        <f>IF(Z$2="Y",IF(MaGic_AVM_Land!Z18=0,"",MaGic_AVM_Land!Z18),"")</f>
        <v/>
      </c>
      <c r="AA18" s="69" t="str">
        <f t="shared" si="1"/>
        <v/>
      </c>
      <c r="AB18" s="69" t="str" cm="1">
        <f t="array" ref="AB18">_xlfn.UNIQUE(C18:Z18,TRUE,FALSE)</f>
        <v/>
      </c>
    </row>
    <row r="19" spans="1:28">
      <c r="A19" s="70">
        <v>17</v>
      </c>
      <c r="B19" s="70" t="s">
        <v>79</v>
      </c>
      <c r="C19" s="71" t="str">
        <f>IF(C$2="Y",IF(MaGic_AVM_Land!C19=0,"",MaGic_AVM_Land!C19),"")</f>
        <v/>
      </c>
      <c r="D19" s="71" t="str">
        <f>IF(D$2="Y",IF(MaGic_AVM_Land!D19=0,"",MaGic_AVM_Land!D19),"")</f>
        <v/>
      </c>
      <c r="E19" s="71" t="str">
        <f>IF(E$2="Y",IF(MaGic_AVM_Land!E19=0,"",MaGic_AVM_Land!E19),"")</f>
        <v/>
      </c>
      <c r="F19" s="71" t="str">
        <f>IF(F$2="Y",IF(MaGic_AVM_Land!F19=0,"",MaGic_AVM_Land!F19),"")</f>
        <v/>
      </c>
      <c r="G19" s="71" t="str">
        <f>IF(G$2="Y",IF(MaGic_AVM_Land!G19=0,"",MaGic_AVM_Land!G19),"")</f>
        <v/>
      </c>
      <c r="H19" s="71" t="str">
        <f>IF(H$2="Y",IF(MaGic_AVM_Land!H19=0,"",MaGic_AVM_Land!H19),"")</f>
        <v/>
      </c>
      <c r="I19" s="71" t="str">
        <f>IF(I$2="Y",IF(MaGic_AVM_Land!I19=0,"",MaGic_AVM_Land!I19),"")</f>
        <v/>
      </c>
      <c r="J19" s="71" t="str">
        <f>IF(J$2="Y",IF(MaGic_AVM_Land!J19=0,"",MaGic_AVM_Land!J19),"")</f>
        <v/>
      </c>
      <c r="K19" s="71" t="str">
        <f>IF(K$2="Y",IF(MaGic_AVM_Land!K19=0,"",MaGic_AVM_Land!K19),"")</f>
        <v/>
      </c>
      <c r="L19" s="71" t="str">
        <f>IF(L$2="Y",IF(MaGic_AVM_Land!L19=0,"",MaGic_AVM_Land!L19),"")</f>
        <v/>
      </c>
      <c r="M19" s="71" t="str">
        <f>IF(M$2="Y",IF(MaGic_AVM_Land!M19=0,"",MaGic_AVM_Land!M19),"")</f>
        <v/>
      </c>
      <c r="N19" s="71" t="str">
        <f>IF(N$2="Y",IF(MaGic_AVM_Land!N19=0,"",MaGic_AVM_Land!N19),"")</f>
        <v/>
      </c>
      <c r="O19" s="71" t="str">
        <f>IF(O$2="Y",IF(MaGic_AVM_Land!O19=0,"",MaGic_AVM_Land!O19),"")</f>
        <v/>
      </c>
      <c r="P19" s="71" t="str">
        <f>IF(P$2="Y",IF(MaGic_AVM_Land!P19=0,"",MaGic_AVM_Land!P19),"")</f>
        <v/>
      </c>
      <c r="Q19" s="71" t="str">
        <f>IF(Q$2="Y",IF(MaGic_AVM_Land!Q19=0,"",MaGic_AVM_Land!Q19),"")</f>
        <v/>
      </c>
      <c r="R19" s="71" t="str">
        <f>IF(R$2="Y",IF(MaGic_AVM_Land!R19=0,"",MaGic_AVM_Land!R19),"")</f>
        <v/>
      </c>
      <c r="S19" s="71" t="str">
        <f>IF(S$2="Y",IF(MaGic_AVM_Land!S19=0,"",MaGic_AVM_Land!S19),"")</f>
        <v/>
      </c>
      <c r="T19" s="71" t="str">
        <f>IF(T$2="Y",IF(MaGic_AVM_Land!T19=0,"",MaGic_AVM_Land!T19),"")</f>
        <v/>
      </c>
      <c r="U19" s="71" t="str">
        <f>IF(U$2="Y",IF(MaGic_AVM_Land!U19=0,"",MaGic_AVM_Land!U19),"")</f>
        <v/>
      </c>
      <c r="V19" s="71" t="str">
        <f>IF(V$2="Y",IF(MaGic_AVM_Land!V19=0,"",MaGic_AVM_Land!V19),"")</f>
        <v/>
      </c>
      <c r="W19" s="71" t="str">
        <f>IF(W$2="Y",IF(MaGic_AVM_Land!W19=0,"",MaGic_AVM_Land!W19),"")</f>
        <v/>
      </c>
      <c r="X19" s="71" t="str">
        <f>IF(X$2="Y",IF(MaGic_AVM_Land!X19=0,"",MaGic_AVM_Land!X19),"")</f>
        <v/>
      </c>
      <c r="Y19" s="71" t="str">
        <f>IF(Y$2="Y",IF(MaGic_AVM_Land!Y19=0,"",MaGic_AVM_Land!Y19),"")</f>
        <v/>
      </c>
      <c r="Z19" s="71" t="str">
        <f>IF(Z$2="Y",IF(MaGic_AVM_Land!Z19=0,"",MaGic_AVM_Land!Z19),"")</f>
        <v/>
      </c>
      <c r="AA19" s="69" t="str">
        <f t="shared" ref="AA19:AA22" si="2">_xlfn.TEXTJOIN(",",TRUE,AB19:AZ19)</f>
        <v/>
      </c>
      <c r="AB19" s="69" t="str" cm="1">
        <f t="array" ref="AB19">_xlfn.UNIQUE(C19:Z19,TRUE,FALSE)</f>
        <v/>
      </c>
    </row>
    <row r="20" spans="1:28">
      <c r="A20" s="70">
        <v>18</v>
      </c>
      <c r="B20" s="70" t="s">
        <v>80</v>
      </c>
      <c r="C20" s="71" t="str">
        <f>IF(C$2="Y",IF(MaGic_AVM_Land!C20=0,"",MaGic_AVM_Land!C20),"")</f>
        <v/>
      </c>
      <c r="D20" s="71" t="str">
        <f>IF(D$2="Y",IF(MaGic_AVM_Land!D20=0,"",MaGic_AVM_Land!D20),"")</f>
        <v/>
      </c>
      <c r="E20" s="71" t="str">
        <f>IF(E$2="Y",IF(MaGic_AVM_Land!E20=0,"",MaGic_AVM_Land!E20),"")</f>
        <v/>
      </c>
      <c r="F20" s="71" t="str">
        <f>IF(F$2="Y",IF(MaGic_AVM_Land!F20=0,"",MaGic_AVM_Land!F20),"")</f>
        <v/>
      </c>
      <c r="G20" s="71" t="str">
        <f>IF(G$2="Y",IF(MaGic_AVM_Land!G20=0,"",MaGic_AVM_Land!G20),"")</f>
        <v/>
      </c>
      <c r="H20" s="71" t="str">
        <f>IF(H$2="Y",IF(MaGic_AVM_Land!H20=0,"",MaGic_AVM_Land!H20),"")</f>
        <v/>
      </c>
      <c r="I20" s="71" t="str">
        <f>IF(I$2="Y",IF(MaGic_AVM_Land!I20=0,"",MaGic_AVM_Land!I20),"")</f>
        <v/>
      </c>
      <c r="J20" s="71" t="str">
        <f>IF(J$2="Y",IF(MaGic_AVM_Land!J20=0,"",MaGic_AVM_Land!J20),"")</f>
        <v/>
      </c>
      <c r="K20" s="71" t="str">
        <f>IF(K$2="Y",IF(MaGic_AVM_Land!K20=0,"",MaGic_AVM_Land!K20),"")</f>
        <v/>
      </c>
      <c r="L20" s="71" t="str">
        <f>IF(L$2="Y",IF(MaGic_AVM_Land!L20=0,"",MaGic_AVM_Land!L20),"")</f>
        <v/>
      </c>
      <c r="M20" s="71" t="str">
        <f>IF(M$2="Y",IF(MaGic_AVM_Land!M20=0,"",MaGic_AVM_Land!M20),"")</f>
        <v/>
      </c>
      <c r="N20" s="71" t="str">
        <f>IF(N$2="Y",IF(MaGic_AVM_Land!N20=0,"",MaGic_AVM_Land!N20),"")</f>
        <v/>
      </c>
      <c r="O20" s="71" t="str">
        <f>IF(O$2="Y",IF(MaGic_AVM_Land!O20=0,"",MaGic_AVM_Land!O20),"")</f>
        <v/>
      </c>
      <c r="P20" s="71" t="str">
        <f>IF(P$2="Y",IF(MaGic_AVM_Land!P20=0,"",MaGic_AVM_Land!P20),"")</f>
        <v/>
      </c>
      <c r="Q20" s="71" t="str">
        <f>IF(Q$2="Y",IF(MaGic_AVM_Land!Q20=0,"",MaGic_AVM_Land!Q20),"")</f>
        <v/>
      </c>
      <c r="R20" s="71" t="str">
        <f>IF(R$2="Y",IF(MaGic_AVM_Land!R20=0,"",MaGic_AVM_Land!R20),"")</f>
        <v/>
      </c>
      <c r="S20" s="71" t="str">
        <f>IF(S$2="Y",IF(MaGic_AVM_Land!S20=0,"",MaGic_AVM_Land!S20),"")</f>
        <v/>
      </c>
      <c r="T20" s="71" t="str">
        <f>IF(T$2="Y",IF(MaGic_AVM_Land!T20=0,"",MaGic_AVM_Land!T20),"")</f>
        <v/>
      </c>
      <c r="U20" s="71" t="str">
        <f>IF(U$2="Y",IF(MaGic_AVM_Land!U20=0,"",MaGic_AVM_Land!U20),"")</f>
        <v/>
      </c>
      <c r="V20" s="71" t="str">
        <f>IF(V$2="Y",IF(MaGic_AVM_Land!V20=0,"",MaGic_AVM_Land!V20),"")</f>
        <v/>
      </c>
      <c r="W20" s="71" t="str">
        <f>IF(W$2="Y",IF(MaGic_AVM_Land!W20=0,"",MaGic_AVM_Land!W20),"")</f>
        <v/>
      </c>
      <c r="X20" s="71" t="str">
        <f>IF(X$2="Y",IF(MaGic_AVM_Land!X20=0,"",MaGic_AVM_Land!X20),"")</f>
        <v/>
      </c>
      <c r="Y20" s="71" t="str">
        <f>IF(Y$2="Y",IF(MaGic_AVM_Land!Y20=0,"",MaGic_AVM_Land!Y20),"")</f>
        <v/>
      </c>
      <c r="Z20" s="71" t="str">
        <f>IF(Z$2="Y",IF(MaGic_AVM_Land!Z20=0,"",MaGic_AVM_Land!Z20),"")</f>
        <v/>
      </c>
      <c r="AA20" s="69" t="str">
        <f t="shared" si="2"/>
        <v/>
      </c>
      <c r="AB20" s="69" t="str" cm="1">
        <f t="array" ref="AB20">_xlfn.UNIQUE(C20:Z20,TRUE,FALSE)</f>
        <v/>
      </c>
    </row>
    <row r="21" spans="1:28">
      <c r="A21" s="70">
        <v>19</v>
      </c>
      <c r="B21" s="70" t="s">
        <v>81</v>
      </c>
      <c r="C21" s="71" t="str">
        <f>IF(C$2="Y",IF(MaGic_AVM_Land!C21=0,"",MaGic_AVM_Land!C21),"")</f>
        <v/>
      </c>
      <c r="D21" s="71" t="str">
        <f>IF(D$2="Y",IF(MaGic_AVM_Land!D21=0,"",MaGic_AVM_Land!D21),"")</f>
        <v/>
      </c>
      <c r="E21" s="71" t="str">
        <f>IF(E$2="Y",IF(MaGic_AVM_Land!E21=0,"",MaGic_AVM_Land!E21),"")</f>
        <v/>
      </c>
      <c r="F21" s="71" t="str">
        <f>IF(F$2="Y",IF(MaGic_AVM_Land!F21=0,"",MaGic_AVM_Land!F21),"")</f>
        <v/>
      </c>
      <c r="G21" s="71" t="str">
        <f>IF(G$2="Y",IF(MaGic_AVM_Land!G21=0,"",MaGic_AVM_Land!G21),"")</f>
        <v/>
      </c>
      <c r="H21" s="71" t="str">
        <f>IF(H$2="Y",IF(MaGic_AVM_Land!H21=0,"",MaGic_AVM_Land!H21),"")</f>
        <v/>
      </c>
      <c r="I21" s="71" t="str">
        <f>IF(I$2="Y",IF(MaGic_AVM_Land!I21=0,"",MaGic_AVM_Land!I21),"")</f>
        <v/>
      </c>
      <c r="J21" s="71" t="str">
        <f>IF(J$2="Y",IF(MaGic_AVM_Land!J21=0,"",MaGic_AVM_Land!J21),"")</f>
        <v/>
      </c>
      <c r="K21" s="71" t="str">
        <f>IF(K$2="Y",IF(MaGic_AVM_Land!K21=0,"",MaGic_AVM_Land!K21),"")</f>
        <v/>
      </c>
      <c r="L21" s="71" t="str">
        <f>IF(L$2="Y",IF(MaGic_AVM_Land!L21=0,"",MaGic_AVM_Land!L21),"")</f>
        <v/>
      </c>
      <c r="M21" s="71" t="str">
        <f>IF(M$2="Y",IF(MaGic_AVM_Land!M21=0,"",MaGic_AVM_Land!M21),"")</f>
        <v/>
      </c>
      <c r="N21" s="71" t="str">
        <f>IF(N$2="Y",IF(MaGic_AVM_Land!N21=0,"",MaGic_AVM_Land!N21),"")</f>
        <v/>
      </c>
      <c r="O21" s="71" t="str">
        <f>IF(O$2="Y",IF(MaGic_AVM_Land!O21=0,"",MaGic_AVM_Land!O21),"")</f>
        <v/>
      </c>
      <c r="P21" s="71" t="str">
        <f>IF(P$2="Y",IF(MaGic_AVM_Land!P21=0,"",MaGic_AVM_Land!P21),"")</f>
        <v/>
      </c>
      <c r="Q21" s="71" t="str">
        <f>IF(Q$2="Y",IF(MaGic_AVM_Land!Q21=0,"",MaGic_AVM_Land!Q21),"")</f>
        <v/>
      </c>
      <c r="R21" s="71" t="str">
        <f>IF(R$2="Y",IF(MaGic_AVM_Land!R21=0,"",MaGic_AVM_Land!R21),"")</f>
        <v/>
      </c>
      <c r="S21" s="71" t="str">
        <f>IF(S$2="Y",IF(MaGic_AVM_Land!S21=0,"",MaGic_AVM_Land!S21),"")</f>
        <v/>
      </c>
      <c r="T21" s="71" t="str">
        <f>IF(T$2="Y",IF(MaGic_AVM_Land!T21=0,"",MaGic_AVM_Land!T21),"")</f>
        <v/>
      </c>
      <c r="U21" s="71" t="str">
        <f>IF(U$2="Y",IF(MaGic_AVM_Land!U21=0,"",MaGic_AVM_Land!U21),"")</f>
        <v/>
      </c>
      <c r="V21" s="71" t="str">
        <f>IF(V$2="Y",IF(MaGic_AVM_Land!V21=0,"",MaGic_AVM_Land!V21),"")</f>
        <v/>
      </c>
      <c r="W21" s="71" t="str">
        <f>IF(W$2="Y",IF(MaGic_AVM_Land!W21=0,"",MaGic_AVM_Land!W21),"")</f>
        <v/>
      </c>
      <c r="X21" s="71" t="str">
        <f>IF(X$2="Y",IF(MaGic_AVM_Land!X21=0,"",MaGic_AVM_Land!X21),"")</f>
        <v/>
      </c>
      <c r="Y21" s="71" t="str">
        <f>IF(Y$2="Y",IF(MaGic_AVM_Land!Y21=0,"",MaGic_AVM_Land!Y21),"")</f>
        <v/>
      </c>
      <c r="Z21" s="71" t="str">
        <f>IF(Z$2="Y",IF(MaGic_AVM_Land!Z21=0,"",MaGic_AVM_Land!Z21),"")</f>
        <v/>
      </c>
      <c r="AA21" s="69" t="str">
        <f t="shared" si="2"/>
        <v/>
      </c>
      <c r="AB21" s="69" t="str" cm="1">
        <f t="array" ref="AB21">_xlfn.UNIQUE(C21:Z21,TRUE,FALSE)</f>
        <v/>
      </c>
    </row>
    <row r="22" spans="1:28">
      <c r="A22" s="70">
        <v>20</v>
      </c>
      <c r="B22" s="70" t="s">
        <v>82</v>
      </c>
      <c r="C22" s="71" t="str">
        <f>IF(C$2="Y",IF(MaGic_AVM_Land!C22=0,"",MaGic_AVM_Land!C22),"")</f>
        <v/>
      </c>
      <c r="D22" s="71" t="str">
        <f>IF(D$2="Y",IF(MaGic_AVM_Land!D22=0,"",MaGic_AVM_Land!D22),"")</f>
        <v/>
      </c>
      <c r="E22" s="71" t="str">
        <f>IF(E$2="Y",IF(MaGic_AVM_Land!E22=0,"",MaGic_AVM_Land!E22),"")</f>
        <v/>
      </c>
      <c r="F22" s="71" t="str">
        <f>IF(F$2="Y",IF(MaGic_AVM_Land!F22=0,"",MaGic_AVM_Land!F22),"")</f>
        <v/>
      </c>
      <c r="G22" s="71" t="str">
        <f>IF(G$2="Y",IF(MaGic_AVM_Land!G22=0,"",MaGic_AVM_Land!G22),"")</f>
        <v/>
      </c>
      <c r="H22" s="71" t="str">
        <f>IF(H$2="Y",IF(MaGic_AVM_Land!H22=0,"",MaGic_AVM_Land!H22),"")</f>
        <v/>
      </c>
      <c r="I22" s="71" t="str">
        <f>IF(I$2="Y",IF(MaGic_AVM_Land!I22=0,"",MaGic_AVM_Land!I22),"")</f>
        <v/>
      </c>
      <c r="J22" s="71" t="str">
        <f>IF(J$2="Y",IF(MaGic_AVM_Land!J22=0,"",MaGic_AVM_Land!J22),"")</f>
        <v/>
      </c>
      <c r="K22" s="71" t="str">
        <f>IF(K$2="Y",IF(MaGic_AVM_Land!K22=0,"",MaGic_AVM_Land!K22),"")</f>
        <v/>
      </c>
      <c r="L22" s="71" t="str">
        <f>IF(L$2="Y",IF(MaGic_AVM_Land!L22=0,"",MaGic_AVM_Land!L22),"")</f>
        <v/>
      </c>
      <c r="M22" s="71" t="str">
        <f>IF(M$2="Y",IF(MaGic_AVM_Land!M22=0,"",MaGic_AVM_Land!M22),"")</f>
        <v/>
      </c>
      <c r="N22" s="71" t="str">
        <f>IF(N$2="Y",IF(MaGic_AVM_Land!N22=0,"",MaGic_AVM_Land!N22),"")</f>
        <v/>
      </c>
      <c r="O22" s="71" t="str">
        <f>IF(O$2="Y",IF(MaGic_AVM_Land!O22=0,"",MaGic_AVM_Land!O22),"")</f>
        <v/>
      </c>
      <c r="P22" s="71" t="str">
        <f>IF(P$2="Y",IF(MaGic_AVM_Land!P22=0,"",MaGic_AVM_Land!P22),"")</f>
        <v/>
      </c>
      <c r="Q22" s="71" t="str">
        <f>IF(Q$2="Y",IF(MaGic_AVM_Land!Q22=0,"",MaGic_AVM_Land!Q22),"")</f>
        <v/>
      </c>
      <c r="R22" s="71" t="str">
        <f>IF(R$2="Y",IF(MaGic_AVM_Land!R22=0,"",MaGic_AVM_Land!R22),"")</f>
        <v/>
      </c>
      <c r="S22" s="71" t="str">
        <f>IF(S$2="Y",IF(MaGic_AVM_Land!S22=0,"",MaGic_AVM_Land!S22),"")</f>
        <v/>
      </c>
      <c r="T22" s="71" t="str">
        <f>IF(T$2="Y",IF(MaGic_AVM_Land!T22=0,"",MaGic_AVM_Land!T22),"")</f>
        <v/>
      </c>
      <c r="U22" s="71" t="str">
        <f>IF(U$2="Y",IF(MaGic_AVM_Land!U22=0,"",MaGic_AVM_Land!U22),"")</f>
        <v/>
      </c>
      <c r="V22" s="71" t="str">
        <f>IF(V$2="Y",IF(MaGic_AVM_Land!V22=0,"",MaGic_AVM_Land!V22),"")</f>
        <v/>
      </c>
      <c r="W22" s="71" t="str">
        <f>IF(W$2="Y",IF(MaGic_AVM_Land!W22=0,"",MaGic_AVM_Land!W22),"")</f>
        <v/>
      </c>
      <c r="X22" s="71" t="str">
        <f>IF(X$2="Y",IF(MaGic_AVM_Land!X22=0,"",MaGic_AVM_Land!X22),"")</f>
        <v/>
      </c>
      <c r="Y22" s="71" t="str">
        <f>IF(Y$2="Y",IF(MaGic_AVM_Land!Y22=0,"",MaGic_AVM_Land!Y22),"")</f>
        <v/>
      </c>
      <c r="Z22" s="71" t="str">
        <f>IF(Z$2="Y",IF(MaGic_AVM_Land!Z22=0,"",MaGic_AVM_Land!Z22),"")</f>
        <v/>
      </c>
      <c r="AA22" s="69" t="str">
        <f t="shared" si="2"/>
        <v/>
      </c>
      <c r="AB22" s="69" t="str" cm="1">
        <f t="array" ref="AB22">_xlfn.UNIQUE(C22:Z22,TRUE,FALSE)</f>
        <v/>
      </c>
    </row>
    <row r="23" spans="1:28">
      <c r="A23" s="70">
        <v>21</v>
      </c>
      <c r="B23" s="70" t="s">
        <v>83</v>
      </c>
      <c r="C23" s="70" t="str">
        <f>IF(C$2="Y",IF(MaGic_AVM_Land!C23=0,"",MaGic_AVM_Land!C23),"")</f>
        <v/>
      </c>
      <c r="D23" s="70" t="str">
        <f>IF(D$2="Y",IF(MaGic_AVM_Land!D23=0,"",MaGic_AVM_Land!D23),"")</f>
        <v/>
      </c>
      <c r="E23" s="70" t="str">
        <f>IF(E$2="Y",IF(MaGic_AVM_Land!E23=0,"",MaGic_AVM_Land!E23),"")</f>
        <v/>
      </c>
      <c r="F23" s="70" t="str">
        <f>IF(F$2="Y",IF(MaGic_AVM_Land!F23=0,"",MaGic_AVM_Land!F23),"")</f>
        <v/>
      </c>
      <c r="G23" s="70" t="str">
        <f>IF(G$2="Y",IF(MaGic_AVM_Land!G23=0,"",MaGic_AVM_Land!G23),"")</f>
        <v/>
      </c>
      <c r="H23" s="70" t="str">
        <f>IF(H$2="Y",IF(MaGic_AVM_Land!H23=0,"",MaGic_AVM_Land!H23),"")</f>
        <v/>
      </c>
      <c r="I23" s="70" t="str">
        <f>IF(I$2="Y",IF(MaGic_AVM_Land!I23=0,"",MaGic_AVM_Land!I23),"")</f>
        <v/>
      </c>
      <c r="J23" s="70" t="str">
        <f>IF(J$2="Y",IF(MaGic_AVM_Land!J23=0,"",MaGic_AVM_Land!J23),"")</f>
        <v/>
      </c>
      <c r="K23" s="70" t="str">
        <f>IF(K$2="Y",IF(MaGic_AVM_Land!K23=0,"",MaGic_AVM_Land!K23),"")</f>
        <v/>
      </c>
      <c r="L23" s="70" t="str">
        <f>IF(L$2="Y",IF(MaGic_AVM_Land!L23=0,"",MaGic_AVM_Land!L23),"")</f>
        <v/>
      </c>
      <c r="M23" s="70" t="str">
        <f>IF(M$2="Y",IF(MaGic_AVM_Land!M23=0,"",MaGic_AVM_Land!M23),"")</f>
        <v/>
      </c>
      <c r="N23" s="70" t="str">
        <f>IF(N$2="Y",IF(MaGic_AVM_Land!N23=0,"",MaGic_AVM_Land!N23),"")</f>
        <v/>
      </c>
      <c r="O23" s="70" t="str">
        <f>IF(O$2="Y",IF(MaGic_AVM_Land!O23=0,"",MaGic_AVM_Land!O23),"")</f>
        <v/>
      </c>
      <c r="P23" s="70" t="str">
        <f>IF(P$2="Y",IF(MaGic_AVM_Land!P23=0,"",MaGic_AVM_Land!P23),"")</f>
        <v/>
      </c>
      <c r="Q23" s="70" t="str">
        <f>IF(Q$2="Y",IF(MaGic_AVM_Land!Q23=0,"",MaGic_AVM_Land!Q23),"")</f>
        <v/>
      </c>
      <c r="R23" s="70" t="str">
        <f>IF(R$2="Y",IF(MaGic_AVM_Land!R23=0,"",MaGic_AVM_Land!R23),"")</f>
        <v/>
      </c>
      <c r="S23" s="70" t="str">
        <f>IF(S$2="Y",IF(MaGic_AVM_Land!S23=0,"",MaGic_AVM_Land!S23),"")</f>
        <v/>
      </c>
      <c r="T23" s="70" t="str">
        <f>IF(T$2="Y",IF(MaGic_AVM_Land!T23=0,"",MaGic_AVM_Land!T23),"")</f>
        <v/>
      </c>
      <c r="U23" s="70" t="str">
        <f>IF(U$2="Y",IF(MaGic_AVM_Land!U23=0,"",MaGic_AVM_Land!U23),"")</f>
        <v/>
      </c>
      <c r="V23" s="70" t="str">
        <f>IF(V$2="Y",IF(MaGic_AVM_Land!V23=0,"",MaGic_AVM_Land!V23),"")</f>
        <v/>
      </c>
      <c r="W23" s="70" t="str">
        <f>IF(W$2="Y",IF(MaGic_AVM_Land!W23=0,"",MaGic_AVM_Land!W23),"")</f>
        <v/>
      </c>
      <c r="X23" s="70" t="str">
        <f>IF(X$2="Y",IF(MaGic_AVM_Land!X23=0,"",MaGic_AVM_Land!X23),"")</f>
        <v/>
      </c>
      <c r="Y23" s="70" t="str">
        <f>IF(Y$2="Y",IF(MaGic_AVM_Land!Y23=0,"",MaGic_AVM_Land!Y23),"")</f>
        <v/>
      </c>
      <c r="Z23" s="70" t="str">
        <f>IF(Z$2="Y",IF(MaGic_AVM_Land!Z23=0,"",MaGic_AVM_Land!Z23),"")</f>
        <v/>
      </c>
      <c r="AA23" s="69">
        <f>SUM(C23:Z23)</f>
        <v>0</v>
      </c>
      <c r="AB23" s="69" t="str" cm="1">
        <f t="array" ref="AB23">_xlfn.UNIQUE(C23:Z23,TRUE,FALSE)</f>
        <v/>
      </c>
    </row>
    <row r="24" spans="1:28">
      <c r="A24" s="70">
        <v>22</v>
      </c>
      <c r="B24" s="70" t="s">
        <v>84</v>
      </c>
      <c r="C24" s="70" t="str">
        <f>IF(C$2="Y",IF(MaGic_AVM_Land!C24=0,"",MaGic_AVM_Land!C24),"")</f>
        <v/>
      </c>
      <c r="D24" s="70" t="str">
        <f>IF(D$2="Y",IF(MaGic_AVM_Land!D24=0,"",MaGic_AVM_Land!D24),"")</f>
        <v/>
      </c>
      <c r="E24" s="70" t="str">
        <f>IF(E$2="Y",IF(MaGic_AVM_Land!E24=0,"",MaGic_AVM_Land!E24),"")</f>
        <v/>
      </c>
      <c r="F24" s="70" t="str">
        <f>IF(F$2="Y",IF(MaGic_AVM_Land!F24=0,"",MaGic_AVM_Land!F24),"")</f>
        <v/>
      </c>
      <c r="G24" s="70" t="str">
        <f>IF(G$2="Y",IF(MaGic_AVM_Land!G24=0,"",MaGic_AVM_Land!G24),"")</f>
        <v/>
      </c>
      <c r="H24" s="70" t="str">
        <f>IF(H$2="Y",IF(MaGic_AVM_Land!H24=0,"",MaGic_AVM_Land!H24),"")</f>
        <v/>
      </c>
      <c r="I24" s="70" t="str">
        <f>IF(I$2="Y",IF(MaGic_AVM_Land!I24=0,"",MaGic_AVM_Land!I24),"")</f>
        <v/>
      </c>
      <c r="J24" s="70" t="str">
        <f>IF(J$2="Y",IF(MaGic_AVM_Land!J24=0,"",MaGic_AVM_Land!J24),"")</f>
        <v/>
      </c>
      <c r="K24" s="70" t="str">
        <f>IF(K$2="Y",IF(MaGic_AVM_Land!K24=0,"",MaGic_AVM_Land!K24),"")</f>
        <v/>
      </c>
      <c r="L24" s="70" t="str">
        <f>IF(L$2="Y",IF(MaGic_AVM_Land!L24=0,"",MaGic_AVM_Land!L24),"")</f>
        <v/>
      </c>
      <c r="M24" s="70" t="str">
        <f>IF(M$2="Y",IF(MaGic_AVM_Land!M24=0,"",MaGic_AVM_Land!M24),"")</f>
        <v/>
      </c>
      <c r="N24" s="70" t="str">
        <f>IF(N$2="Y",IF(MaGic_AVM_Land!N24=0,"",MaGic_AVM_Land!N24),"")</f>
        <v/>
      </c>
      <c r="O24" s="70" t="str">
        <f>IF(O$2="Y",IF(MaGic_AVM_Land!O24=0,"",MaGic_AVM_Land!O24),"")</f>
        <v/>
      </c>
      <c r="P24" s="70" t="str">
        <f>IF(P$2="Y",IF(MaGic_AVM_Land!P24=0,"",MaGic_AVM_Land!P24),"")</f>
        <v/>
      </c>
      <c r="Q24" s="70" t="str">
        <f>IF(Q$2="Y",IF(MaGic_AVM_Land!Q24=0,"",MaGic_AVM_Land!Q24),"")</f>
        <v/>
      </c>
      <c r="R24" s="70" t="str">
        <f>IF(R$2="Y",IF(MaGic_AVM_Land!R24=0,"",MaGic_AVM_Land!R24),"")</f>
        <v/>
      </c>
      <c r="S24" s="70" t="str">
        <f>IF(S$2="Y",IF(MaGic_AVM_Land!S24=0,"",MaGic_AVM_Land!S24),"")</f>
        <v/>
      </c>
      <c r="T24" s="70" t="str">
        <f>IF(T$2="Y",IF(MaGic_AVM_Land!T24=0,"",MaGic_AVM_Land!T24),"")</f>
        <v/>
      </c>
      <c r="U24" s="70" t="str">
        <f>IF(U$2="Y",IF(MaGic_AVM_Land!U24=0,"",MaGic_AVM_Land!U24),"")</f>
        <v/>
      </c>
      <c r="V24" s="70" t="str">
        <f>IF(V$2="Y",IF(MaGic_AVM_Land!V24=0,"",MaGic_AVM_Land!V24),"")</f>
        <v/>
      </c>
      <c r="W24" s="70" t="str">
        <f>IF(W$2="Y",IF(MaGic_AVM_Land!W24=0,"",MaGic_AVM_Land!W24),"")</f>
        <v/>
      </c>
      <c r="X24" s="70" t="str">
        <f>IF(X$2="Y",IF(MaGic_AVM_Land!X24=0,"",MaGic_AVM_Land!X24),"")</f>
        <v/>
      </c>
      <c r="Y24" s="70" t="str">
        <f>IF(Y$2="Y",IF(MaGic_AVM_Land!Y24=0,"",MaGic_AVM_Land!Y24),"")</f>
        <v/>
      </c>
      <c r="Z24" s="70" t="str">
        <f>IF(Z$2="Y",IF(MaGic_AVM_Land!Z24=0,"",MaGic_AVM_Land!Z24),"")</f>
        <v/>
      </c>
      <c r="AA24" s="69" t="str">
        <f>_xlfn.TEXTJOIN(", ",TRUE,AB24:AZ24)</f>
        <v/>
      </c>
      <c r="AB24" s="69" t="str" cm="1">
        <f t="array" ref="AB24">_xlfn.UNIQUE(C24:Z24,TRUE,FALSE)</f>
        <v/>
      </c>
    </row>
    <row r="25" spans="1:28">
      <c r="A25" s="70"/>
      <c r="B25" s="70" t="s">
        <v>168</v>
      </c>
      <c r="C25" s="70" t="str">
        <f>IF(C$2="Y",IF(MaGic_AVM_Land!C25=0,"",MaGic_AVM_Land!C25),"")</f>
        <v/>
      </c>
      <c r="D25" s="70" t="str">
        <f>IF(D$2="Y",IF(MaGic_AVM_Land!D25=0,"",MaGic_AVM_Land!D25),"")</f>
        <v/>
      </c>
      <c r="E25" s="70" t="str">
        <f>IF(E$2="Y",IF(MaGic_AVM_Land!E25=0,"",MaGic_AVM_Land!E25),"")</f>
        <v/>
      </c>
      <c r="F25" s="70" t="str">
        <f>IF(F$2="Y",IF(MaGic_AVM_Land!F25=0,"",MaGic_AVM_Land!F25),"")</f>
        <v/>
      </c>
      <c r="G25" s="70" t="str">
        <f>IF(G$2="Y",IF(MaGic_AVM_Land!G25=0,"",MaGic_AVM_Land!G25),"")</f>
        <v/>
      </c>
      <c r="H25" s="70" t="str">
        <f>IF(H$2="Y",IF(MaGic_AVM_Land!H25=0,"",MaGic_AVM_Land!H25),"")</f>
        <v/>
      </c>
      <c r="I25" s="70" t="str">
        <f>IF(I$2="Y",IF(MaGic_AVM_Land!I25=0,"",MaGic_AVM_Land!I25),"")</f>
        <v/>
      </c>
      <c r="J25" s="70" t="str">
        <f>IF(J$2="Y",IF(MaGic_AVM_Land!J25=0,"",MaGic_AVM_Land!J25),"")</f>
        <v/>
      </c>
      <c r="K25" s="70" t="str">
        <f>IF(K$2="Y",IF(MaGic_AVM_Land!K25=0,"",MaGic_AVM_Land!K25),"")</f>
        <v/>
      </c>
      <c r="L25" s="70" t="str">
        <f>IF(L$2="Y",IF(MaGic_AVM_Land!L25=0,"",MaGic_AVM_Land!L25),"")</f>
        <v/>
      </c>
      <c r="M25" s="70" t="str">
        <f>IF(M$2="Y",IF(MaGic_AVM_Land!M25=0,"",MaGic_AVM_Land!M25),"")</f>
        <v/>
      </c>
      <c r="N25" s="70" t="str">
        <f>IF(N$2="Y",IF(MaGic_AVM_Land!N25=0,"",MaGic_AVM_Land!N25),"")</f>
        <v/>
      </c>
      <c r="O25" s="70" t="str">
        <f>IF(O$2="Y",IF(MaGic_AVM_Land!O25=0,"",MaGic_AVM_Land!O25),"")</f>
        <v/>
      </c>
      <c r="P25" s="70" t="str">
        <f>IF(P$2="Y",IF(MaGic_AVM_Land!P25=0,"",MaGic_AVM_Land!P25),"")</f>
        <v/>
      </c>
      <c r="Q25" s="70" t="str">
        <f>IF(Q$2="Y",IF(MaGic_AVM_Land!Q25=0,"",MaGic_AVM_Land!Q25),"")</f>
        <v/>
      </c>
      <c r="R25" s="70" t="str">
        <f>IF(R$2="Y",IF(MaGic_AVM_Land!R25=0,"",MaGic_AVM_Land!R25),"")</f>
        <v/>
      </c>
      <c r="S25" s="70" t="str">
        <f>IF(S$2="Y",IF(MaGic_AVM_Land!S25=0,"",MaGic_AVM_Land!S25),"")</f>
        <v/>
      </c>
      <c r="T25" s="70" t="str">
        <f>IF(T$2="Y",IF(MaGic_AVM_Land!T25=0,"",MaGic_AVM_Land!T25),"")</f>
        <v/>
      </c>
      <c r="U25" s="70" t="str">
        <f>IF(U$2="Y",IF(MaGic_AVM_Land!U25=0,"",MaGic_AVM_Land!U25),"")</f>
        <v/>
      </c>
      <c r="V25" s="70" t="str">
        <f>IF(V$2="Y",IF(MaGic_AVM_Land!V25=0,"",MaGic_AVM_Land!V25),"")</f>
        <v/>
      </c>
      <c r="W25" s="70" t="str">
        <f>IF(W$2="Y",IF(MaGic_AVM_Land!W25=0,"",MaGic_AVM_Land!W25),"")</f>
        <v/>
      </c>
      <c r="X25" s="70" t="str">
        <f>IF(X$2="Y",IF(MaGic_AVM_Land!X25=0,"",MaGic_AVM_Land!X25),"")</f>
        <v/>
      </c>
      <c r="Y25" s="70" t="str">
        <f>IF(Y$2="Y",IF(MaGic_AVM_Land!Y25=0,"",MaGic_AVM_Land!Y25),"")</f>
        <v/>
      </c>
      <c r="Z25" s="70" t="str">
        <f>IF(Z$2="Y",IF(MaGic_AVM_Land!Z25=0,"",MaGic_AVM_Land!Z25),"")</f>
        <v/>
      </c>
      <c r="AB25" s="69" t="str" cm="1">
        <f t="array" ref="AB25">_xlfn.UNIQUE(C25:Z25,TRUE,FALSE)</f>
        <v/>
      </c>
    </row>
    <row r="26" spans="1:28" s="68" customFormat="1">
      <c r="A26" s="72">
        <v>24</v>
      </c>
      <c r="B26" s="72" t="s">
        <v>91</v>
      </c>
      <c r="C26" s="72" t="str">
        <f>IF(C$2="Y",IF(MaGic_AVM_Land!C26=0,"",MaGic_AVM_Land!C26),"")</f>
        <v/>
      </c>
      <c r="D26" s="72" t="str">
        <f>IF(D$2="Y",IF(MaGic_AVM_Land!D26=0,"",MaGic_AVM_Land!D26),"")</f>
        <v/>
      </c>
      <c r="E26" s="72" t="str">
        <f>IF(E$2="Y",IF(MaGic_AVM_Land!E26=0,"",MaGic_AVM_Land!E26),"")</f>
        <v/>
      </c>
      <c r="F26" s="72" t="str">
        <f>IF(F$2="Y",IF(MaGic_AVM_Land!F26=0,"",MaGic_AVM_Land!F26),"")</f>
        <v/>
      </c>
      <c r="G26" s="72" t="str">
        <f>IF(G$2="Y",IF(MaGic_AVM_Land!G26=0,"",MaGic_AVM_Land!G26),"")</f>
        <v/>
      </c>
      <c r="H26" s="72" t="str">
        <f>IF(H$2="Y",IF(MaGic_AVM_Land!H26=0,"",MaGic_AVM_Land!H26),"")</f>
        <v/>
      </c>
      <c r="I26" s="72" t="str">
        <f>IF(I$2="Y",IF(MaGic_AVM_Land!I26=0,"",MaGic_AVM_Land!I26),"")</f>
        <v/>
      </c>
      <c r="J26" s="72" t="str">
        <f>IF(J$2="Y",IF(MaGic_AVM_Land!J26=0,"",MaGic_AVM_Land!J26),"")</f>
        <v/>
      </c>
      <c r="K26" s="72" t="str">
        <f>IF(K$2="Y",IF(MaGic_AVM_Land!K26=0,"",MaGic_AVM_Land!K26),"")</f>
        <v/>
      </c>
      <c r="L26" s="72" t="str">
        <f>IF(L$2="Y",IF(MaGic_AVM_Land!L26=0,"",MaGic_AVM_Land!L26),"")</f>
        <v/>
      </c>
      <c r="M26" s="72" t="str">
        <f>IF(M$2="Y",IF(MaGic_AVM_Land!M26=0,"",MaGic_AVM_Land!M26),"")</f>
        <v/>
      </c>
      <c r="N26" s="72" t="str">
        <f>IF(N$2="Y",IF(MaGic_AVM_Land!N26=0,"",MaGic_AVM_Land!N26),"")</f>
        <v/>
      </c>
      <c r="O26" s="72" t="str">
        <f>IF(O$2="Y",IF(MaGic_AVM_Land!O26=0,"",MaGic_AVM_Land!O26),"")</f>
        <v/>
      </c>
      <c r="P26" s="72" t="str">
        <f>IF(P$2="Y",IF(MaGic_AVM_Land!P26=0,"",MaGic_AVM_Land!P26),"")</f>
        <v/>
      </c>
      <c r="Q26" s="72" t="str">
        <f>IF(Q$2="Y",IF(MaGic_AVM_Land!Q26=0,"",MaGic_AVM_Land!Q26),"")</f>
        <v/>
      </c>
      <c r="R26" s="72" t="str">
        <f>IF(R$2="Y",IF(MaGic_AVM_Land!R26=0,"",MaGic_AVM_Land!R26),"")</f>
        <v/>
      </c>
      <c r="S26" s="72" t="str">
        <f>IF(S$2="Y",IF(MaGic_AVM_Land!S26=0,"",MaGic_AVM_Land!S26),"")</f>
        <v/>
      </c>
      <c r="T26" s="72" t="str">
        <f>IF(T$2="Y",IF(MaGic_AVM_Land!T26=0,"",MaGic_AVM_Land!T26),"")</f>
        <v/>
      </c>
      <c r="U26" s="72" t="str">
        <f>IF(U$2="Y",IF(MaGic_AVM_Land!U26=0,"",MaGic_AVM_Land!U26),"")</f>
        <v/>
      </c>
      <c r="V26" s="72" t="str">
        <f>IF(V$2="Y",IF(MaGic_AVM_Land!V26=0,"",MaGic_AVM_Land!V26),"")</f>
        <v/>
      </c>
      <c r="W26" s="72" t="str">
        <f>IF(W$2="Y",IF(MaGic_AVM_Land!W26=0,"",MaGic_AVM_Land!W26),"")</f>
        <v/>
      </c>
      <c r="X26" s="72" t="str">
        <f>IF(X$2="Y",IF(MaGic_AVM_Land!X26=0,"",MaGic_AVM_Land!X26),"")</f>
        <v/>
      </c>
      <c r="Y26" s="72" t="str">
        <f>IF(Y$2="Y",IF(MaGic_AVM_Land!Y26=0,"",MaGic_AVM_Land!Y26),"")</f>
        <v/>
      </c>
      <c r="Z26" s="72" t="str">
        <f>IF(Z$2="Y",IF(MaGic_AVM_Land!Z26=0,"",MaGic_AVM_Land!Z26),"")</f>
        <v/>
      </c>
      <c r="AA26" s="68" t="str">
        <f>_xlfn.TEXTJOIN(",",TRUE,AB26:AZ26)</f>
        <v/>
      </c>
      <c r="AB26" s="68" t="str" cm="1">
        <f t="array" ref="AB26">_xlfn.UNIQUE(C26:Z26,TRUE,FALSE)</f>
        <v/>
      </c>
    </row>
    <row r="27" spans="1:28" s="68" customFormat="1">
      <c r="A27" s="72">
        <v>25</v>
      </c>
      <c r="B27" s="72" t="s">
        <v>94</v>
      </c>
      <c r="C27" s="72" t="str">
        <f>IF(C$2="Y",IF(MaGic_AVM_Land!C27=0,"",MaGic_AVM_Land!C27),"")</f>
        <v/>
      </c>
      <c r="D27" s="72" t="str">
        <f>IF(D$2="Y",IF(MaGic_AVM_Land!D27=0,"",MaGic_AVM_Land!D27),"")</f>
        <v/>
      </c>
      <c r="E27" s="72" t="str">
        <f>IF(E$2="Y",IF(MaGic_AVM_Land!E27=0,"",MaGic_AVM_Land!E27),"")</f>
        <v/>
      </c>
      <c r="F27" s="72" t="str">
        <f>IF(F$2="Y",IF(MaGic_AVM_Land!F27=0,"",MaGic_AVM_Land!F27),"")</f>
        <v/>
      </c>
      <c r="G27" s="72" t="str">
        <f>IF(G$2="Y",IF(MaGic_AVM_Land!G27=0,"",MaGic_AVM_Land!G27),"")</f>
        <v/>
      </c>
      <c r="H27" s="72" t="str">
        <f>IF(H$2="Y",IF(MaGic_AVM_Land!H27=0,"",MaGic_AVM_Land!H27),"")</f>
        <v/>
      </c>
      <c r="I27" s="72" t="str">
        <f>IF(I$2="Y",IF(MaGic_AVM_Land!I27=0,"",MaGic_AVM_Land!I27),"")</f>
        <v/>
      </c>
      <c r="J27" s="72" t="str">
        <f>IF(J$2="Y",IF(MaGic_AVM_Land!J27=0,"",MaGic_AVM_Land!J27),"")</f>
        <v/>
      </c>
      <c r="K27" s="72" t="str">
        <f>IF(K$2="Y",IF(MaGic_AVM_Land!K27=0,"",MaGic_AVM_Land!K27),"")</f>
        <v/>
      </c>
      <c r="L27" s="72" t="str">
        <f>IF(L$2="Y",IF(MaGic_AVM_Land!L27=0,"",MaGic_AVM_Land!L27),"")</f>
        <v/>
      </c>
      <c r="M27" s="72" t="str">
        <f>IF(M$2="Y",IF(MaGic_AVM_Land!M27=0,"",MaGic_AVM_Land!M27),"")</f>
        <v/>
      </c>
      <c r="N27" s="72" t="str">
        <f>IF(N$2="Y",IF(MaGic_AVM_Land!N27=0,"",MaGic_AVM_Land!N27),"")</f>
        <v/>
      </c>
      <c r="O27" s="72" t="str">
        <f>IF(O$2="Y",IF(MaGic_AVM_Land!O27=0,"",MaGic_AVM_Land!O27),"")</f>
        <v/>
      </c>
      <c r="P27" s="72" t="str">
        <f>IF(P$2="Y",IF(MaGic_AVM_Land!P27=0,"",MaGic_AVM_Land!P27),"")</f>
        <v/>
      </c>
      <c r="Q27" s="72" t="str">
        <f>IF(Q$2="Y",IF(MaGic_AVM_Land!Q27=0,"",MaGic_AVM_Land!Q27),"")</f>
        <v/>
      </c>
      <c r="R27" s="72" t="str">
        <f>IF(R$2="Y",IF(MaGic_AVM_Land!R27=0,"",MaGic_AVM_Land!R27),"")</f>
        <v/>
      </c>
      <c r="S27" s="72" t="str">
        <f>IF(S$2="Y",IF(MaGic_AVM_Land!S27=0,"",MaGic_AVM_Land!S27),"")</f>
        <v/>
      </c>
      <c r="T27" s="72" t="str">
        <f>IF(T$2="Y",IF(MaGic_AVM_Land!T27=0,"",MaGic_AVM_Land!T27),"")</f>
        <v/>
      </c>
      <c r="U27" s="72" t="str">
        <f>IF(U$2="Y",IF(MaGic_AVM_Land!U27=0,"",MaGic_AVM_Land!U27),"")</f>
        <v/>
      </c>
      <c r="V27" s="72" t="str">
        <f>IF(V$2="Y",IF(MaGic_AVM_Land!V27=0,"",MaGic_AVM_Land!V27),"")</f>
        <v/>
      </c>
      <c r="W27" s="72" t="str">
        <f>IF(W$2="Y",IF(MaGic_AVM_Land!W27=0,"",MaGic_AVM_Land!W27),"")</f>
        <v/>
      </c>
      <c r="X27" s="72" t="str">
        <f>IF(X$2="Y",IF(MaGic_AVM_Land!X27=0,"",MaGic_AVM_Land!X27),"")</f>
        <v/>
      </c>
      <c r="Y27" s="72" t="str">
        <f>IF(Y$2="Y",IF(MaGic_AVM_Land!Y27=0,"",MaGic_AVM_Land!Y27),"")</f>
        <v/>
      </c>
      <c r="Z27" s="72" t="str">
        <f>IF(Z$2="Y",IF(MaGic_AVM_Land!Z27=0,"",MaGic_AVM_Land!Z27),"")</f>
        <v/>
      </c>
      <c r="AA27" s="68" t="str">
        <f t="shared" ref="AA27:AA29" si="3">_xlfn.TEXTJOIN(",",TRUE,AB27:AZ27)</f>
        <v/>
      </c>
      <c r="AB27" s="68" t="str" cm="1">
        <f t="array" ref="AB27">_xlfn.UNIQUE(C27:Z27,TRUE,FALSE)</f>
        <v/>
      </c>
    </row>
    <row r="28" spans="1:28" s="68" customFormat="1">
      <c r="A28" s="72">
        <v>26</v>
      </c>
      <c r="B28" s="72" t="s">
        <v>97</v>
      </c>
      <c r="C28" s="72" t="str">
        <f>IF(C$2="Y",IF(MaGic_AVM_Land!C28=0,"",MaGic_AVM_Land!C28),"")</f>
        <v/>
      </c>
      <c r="D28" s="72" t="str">
        <f>IF(D$2="Y",IF(MaGic_AVM_Land!D28=0,"",MaGic_AVM_Land!D28),"")</f>
        <v/>
      </c>
      <c r="E28" s="72" t="str">
        <f>IF(E$2="Y",IF(MaGic_AVM_Land!E28=0,"",MaGic_AVM_Land!E28),"")</f>
        <v/>
      </c>
      <c r="F28" s="72" t="str">
        <f>IF(F$2="Y",IF(MaGic_AVM_Land!F28=0,"",MaGic_AVM_Land!F28),"")</f>
        <v/>
      </c>
      <c r="G28" s="72" t="str">
        <f>IF(G$2="Y",IF(MaGic_AVM_Land!G28=0,"",MaGic_AVM_Land!G28),"")</f>
        <v/>
      </c>
      <c r="H28" s="72" t="str">
        <f>IF(H$2="Y",IF(MaGic_AVM_Land!H28=0,"",MaGic_AVM_Land!H28),"")</f>
        <v/>
      </c>
      <c r="I28" s="72" t="str">
        <f>IF(I$2="Y",IF(MaGic_AVM_Land!I28=0,"",MaGic_AVM_Land!I28),"")</f>
        <v/>
      </c>
      <c r="J28" s="72" t="str">
        <f>IF(J$2="Y",IF(MaGic_AVM_Land!J28=0,"",MaGic_AVM_Land!J28),"")</f>
        <v/>
      </c>
      <c r="K28" s="72" t="str">
        <f>IF(K$2="Y",IF(MaGic_AVM_Land!K28=0,"",MaGic_AVM_Land!K28),"")</f>
        <v/>
      </c>
      <c r="L28" s="72" t="str">
        <f>IF(L$2="Y",IF(MaGic_AVM_Land!L28=0,"",MaGic_AVM_Land!L28),"")</f>
        <v/>
      </c>
      <c r="M28" s="72" t="str">
        <f>IF(M$2="Y",IF(MaGic_AVM_Land!M28=0,"",MaGic_AVM_Land!M28),"")</f>
        <v/>
      </c>
      <c r="N28" s="72" t="str">
        <f>IF(N$2="Y",IF(MaGic_AVM_Land!N28=0,"",MaGic_AVM_Land!N28),"")</f>
        <v/>
      </c>
      <c r="O28" s="72" t="str">
        <f>IF(O$2="Y",IF(MaGic_AVM_Land!O28=0,"",MaGic_AVM_Land!O28),"")</f>
        <v/>
      </c>
      <c r="P28" s="72" t="str">
        <f>IF(P$2="Y",IF(MaGic_AVM_Land!P28=0,"",MaGic_AVM_Land!P28),"")</f>
        <v/>
      </c>
      <c r="Q28" s="72" t="str">
        <f>IF(Q$2="Y",IF(MaGic_AVM_Land!Q28=0,"",MaGic_AVM_Land!Q28),"")</f>
        <v/>
      </c>
      <c r="R28" s="72" t="str">
        <f>IF(R$2="Y",IF(MaGic_AVM_Land!R28=0,"",MaGic_AVM_Land!R28),"")</f>
        <v/>
      </c>
      <c r="S28" s="72" t="str">
        <f>IF(S$2="Y",IF(MaGic_AVM_Land!S28=0,"",MaGic_AVM_Land!S28),"")</f>
        <v/>
      </c>
      <c r="T28" s="72" t="str">
        <f>IF(T$2="Y",IF(MaGic_AVM_Land!T28=0,"",MaGic_AVM_Land!T28),"")</f>
        <v/>
      </c>
      <c r="U28" s="72" t="str">
        <f>IF(U$2="Y",IF(MaGic_AVM_Land!U28=0,"",MaGic_AVM_Land!U28),"")</f>
        <v/>
      </c>
      <c r="V28" s="72" t="str">
        <f>IF(V$2="Y",IF(MaGic_AVM_Land!V28=0,"",MaGic_AVM_Land!V28),"")</f>
        <v/>
      </c>
      <c r="W28" s="72" t="str">
        <f>IF(W$2="Y",IF(MaGic_AVM_Land!W28=0,"",MaGic_AVM_Land!W28),"")</f>
        <v/>
      </c>
      <c r="X28" s="72" t="str">
        <f>IF(X$2="Y",IF(MaGic_AVM_Land!X28=0,"",MaGic_AVM_Land!X28),"")</f>
        <v/>
      </c>
      <c r="Y28" s="72" t="str">
        <f>IF(Y$2="Y",IF(MaGic_AVM_Land!Y28=0,"",MaGic_AVM_Land!Y28),"")</f>
        <v/>
      </c>
      <c r="Z28" s="72" t="str">
        <f>IF(Z$2="Y",IF(MaGic_AVM_Land!Z28=0,"",MaGic_AVM_Land!Z28),"")</f>
        <v/>
      </c>
      <c r="AA28" s="68" t="str">
        <f t="shared" si="3"/>
        <v/>
      </c>
      <c r="AB28" s="68" t="str" cm="1">
        <f t="array" ref="AB28">_xlfn.UNIQUE(C28:Z28,TRUE,FALSE)</f>
        <v/>
      </c>
    </row>
    <row r="29" spans="1:28" s="68" customFormat="1">
      <c r="A29" s="72">
        <v>27</v>
      </c>
      <c r="B29" s="72" t="s">
        <v>100</v>
      </c>
      <c r="C29" s="72" t="str">
        <f>IF(C$2="Y",IF(MaGic_AVM_Land!C29=0,"",MaGic_AVM_Land!C29),"")</f>
        <v/>
      </c>
      <c r="D29" s="72" t="str">
        <f>IF(D$2="Y",IF(MaGic_AVM_Land!D29=0,"",MaGic_AVM_Land!D29),"")</f>
        <v/>
      </c>
      <c r="E29" s="72" t="str">
        <f>IF(E$2="Y",IF(MaGic_AVM_Land!E29=0,"",MaGic_AVM_Land!E29),"")</f>
        <v/>
      </c>
      <c r="F29" s="72" t="str">
        <f>IF(F$2="Y",IF(MaGic_AVM_Land!F29=0,"",MaGic_AVM_Land!F29),"")</f>
        <v/>
      </c>
      <c r="G29" s="72" t="str">
        <f>IF(G$2="Y",IF(MaGic_AVM_Land!G29=0,"",MaGic_AVM_Land!G29),"")</f>
        <v/>
      </c>
      <c r="H29" s="72" t="str">
        <f>IF(H$2="Y",IF(MaGic_AVM_Land!H29=0,"",MaGic_AVM_Land!H29),"")</f>
        <v/>
      </c>
      <c r="I29" s="72" t="str">
        <f>IF(I$2="Y",IF(MaGic_AVM_Land!I29=0,"",MaGic_AVM_Land!I29),"")</f>
        <v/>
      </c>
      <c r="J29" s="72" t="str">
        <f>IF(J$2="Y",IF(MaGic_AVM_Land!J29=0,"",MaGic_AVM_Land!J29),"")</f>
        <v/>
      </c>
      <c r="K29" s="72" t="str">
        <f>IF(K$2="Y",IF(MaGic_AVM_Land!K29=0,"",MaGic_AVM_Land!K29),"")</f>
        <v/>
      </c>
      <c r="L29" s="72" t="str">
        <f>IF(L$2="Y",IF(MaGic_AVM_Land!L29=0,"",MaGic_AVM_Land!L29),"")</f>
        <v/>
      </c>
      <c r="M29" s="72" t="str">
        <f>IF(M$2="Y",IF(MaGic_AVM_Land!M29=0,"",MaGic_AVM_Land!M29),"")</f>
        <v/>
      </c>
      <c r="N29" s="72" t="str">
        <f>IF(N$2="Y",IF(MaGic_AVM_Land!N29=0,"",MaGic_AVM_Land!N29),"")</f>
        <v/>
      </c>
      <c r="O29" s="72" t="str">
        <f>IF(O$2="Y",IF(MaGic_AVM_Land!O29=0,"",MaGic_AVM_Land!O29),"")</f>
        <v/>
      </c>
      <c r="P29" s="72" t="str">
        <f>IF(P$2="Y",IF(MaGic_AVM_Land!P29=0,"",MaGic_AVM_Land!P29),"")</f>
        <v/>
      </c>
      <c r="Q29" s="72" t="str">
        <f>IF(Q$2="Y",IF(MaGic_AVM_Land!Q29=0,"",MaGic_AVM_Land!Q29),"")</f>
        <v/>
      </c>
      <c r="R29" s="72" t="str">
        <f>IF(R$2="Y",IF(MaGic_AVM_Land!R29=0,"",MaGic_AVM_Land!R29),"")</f>
        <v/>
      </c>
      <c r="S29" s="72" t="str">
        <f>IF(S$2="Y",IF(MaGic_AVM_Land!S29=0,"",MaGic_AVM_Land!S29),"")</f>
        <v/>
      </c>
      <c r="T29" s="72" t="str">
        <f>IF(T$2="Y",IF(MaGic_AVM_Land!T29=0,"",MaGic_AVM_Land!T29),"")</f>
        <v/>
      </c>
      <c r="U29" s="72" t="str">
        <f>IF(U$2="Y",IF(MaGic_AVM_Land!U29=0,"",MaGic_AVM_Land!U29),"")</f>
        <v/>
      </c>
      <c r="V29" s="72" t="str">
        <f>IF(V$2="Y",IF(MaGic_AVM_Land!V29=0,"",MaGic_AVM_Land!V29),"")</f>
        <v/>
      </c>
      <c r="W29" s="72" t="str">
        <f>IF(W$2="Y",IF(MaGic_AVM_Land!W29=0,"",MaGic_AVM_Land!W29),"")</f>
        <v/>
      </c>
      <c r="X29" s="72" t="str">
        <f>IF(X$2="Y",IF(MaGic_AVM_Land!X29=0,"",MaGic_AVM_Land!X29),"")</f>
        <v/>
      </c>
      <c r="Y29" s="72" t="str">
        <f>IF(Y$2="Y",IF(MaGic_AVM_Land!Y29=0,"",MaGic_AVM_Land!Y29),"")</f>
        <v/>
      </c>
      <c r="Z29" s="72" t="str">
        <f>IF(Z$2="Y",IF(MaGic_AVM_Land!Z29=0,"",MaGic_AVM_Land!Z29),"")</f>
        <v/>
      </c>
      <c r="AA29" s="68" t="str">
        <f t="shared" si="3"/>
        <v/>
      </c>
      <c r="AB29" s="68" t="str" cm="1">
        <f t="array" ref="AB29">_xlfn.UNIQUE(C29:Z29,TRUE,FALSE)</f>
        <v/>
      </c>
    </row>
    <row r="30" spans="1:28">
      <c r="A30" s="70">
        <v>28</v>
      </c>
      <c r="B30" s="70" t="s">
        <v>175</v>
      </c>
      <c r="C30" s="70" t="str">
        <f>IF(C$2="Y",IF(MaGic_AVM_Land!C30=0,"",MaGic_AVM_Land!C30),"")</f>
        <v/>
      </c>
      <c r="D30" s="70" t="str">
        <f>IF(D$2="Y",IF(MaGic_AVM_Land!D30=0,"",MaGic_AVM_Land!D30),"")</f>
        <v/>
      </c>
      <c r="E30" s="70" t="str">
        <f>IF(E$2="Y",IF(MaGic_AVM_Land!E30=0,"",MaGic_AVM_Land!E30),"")</f>
        <v/>
      </c>
      <c r="F30" s="70" t="str">
        <f>IF(F$2="Y",IF(MaGic_AVM_Land!F30=0,"",MaGic_AVM_Land!F30),"")</f>
        <v/>
      </c>
      <c r="G30" s="70" t="str">
        <f>IF(G$2="Y",IF(MaGic_AVM_Land!G30=0,"",MaGic_AVM_Land!G30),"")</f>
        <v/>
      </c>
      <c r="H30" s="70" t="str">
        <f>IF(H$2="Y",IF(MaGic_AVM_Land!H30=0,"",MaGic_AVM_Land!H30),"")</f>
        <v/>
      </c>
      <c r="I30" s="70" t="str">
        <f>IF(I$2="Y",IF(MaGic_AVM_Land!I30=0,"",MaGic_AVM_Land!I30),"")</f>
        <v/>
      </c>
      <c r="J30" s="70" t="str">
        <f>IF(J$2="Y",IF(MaGic_AVM_Land!J30=0,"",MaGic_AVM_Land!J30),"")</f>
        <v/>
      </c>
      <c r="K30" s="70" t="str">
        <f>IF(K$2="Y",IF(MaGic_AVM_Land!K30=0,"",MaGic_AVM_Land!K30),"")</f>
        <v/>
      </c>
      <c r="L30" s="70" t="str">
        <f>IF(L$2="Y",IF(MaGic_AVM_Land!L30=0,"",MaGic_AVM_Land!L30),"")</f>
        <v/>
      </c>
      <c r="M30" s="70" t="str">
        <f>IF(M$2="Y",IF(MaGic_AVM_Land!M30=0,"",MaGic_AVM_Land!M30),"")</f>
        <v/>
      </c>
      <c r="N30" s="70" t="str">
        <f>IF(N$2="Y",IF(MaGic_AVM_Land!N30=0,"",MaGic_AVM_Land!N30),"")</f>
        <v/>
      </c>
      <c r="O30" s="70" t="str">
        <f>IF(O$2="Y",IF(MaGic_AVM_Land!O30=0,"",MaGic_AVM_Land!O30),"")</f>
        <v/>
      </c>
      <c r="P30" s="70" t="str">
        <f>IF(P$2="Y",IF(MaGic_AVM_Land!P30=0,"",MaGic_AVM_Land!P30),"")</f>
        <v/>
      </c>
      <c r="Q30" s="70" t="str">
        <f>IF(Q$2="Y",IF(MaGic_AVM_Land!Q30=0,"",MaGic_AVM_Land!Q30),"")</f>
        <v/>
      </c>
      <c r="R30" s="70" t="str">
        <f>IF(R$2="Y",IF(MaGic_AVM_Land!R30=0,"",MaGic_AVM_Land!R30),"")</f>
        <v/>
      </c>
      <c r="S30" s="70" t="str">
        <f>IF(S$2="Y",IF(MaGic_AVM_Land!S30=0,"",MaGic_AVM_Land!S30),"")</f>
        <v/>
      </c>
      <c r="T30" s="70" t="str">
        <f>IF(T$2="Y",IF(MaGic_AVM_Land!T30=0,"",MaGic_AVM_Land!T30),"")</f>
        <v/>
      </c>
      <c r="U30" s="70" t="str">
        <f>IF(U$2="Y",IF(MaGic_AVM_Land!U30=0,"",MaGic_AVM_Land!U30),"")</f>
        <v/>
      </c>
      <c r="V30" s="70" t="str">
        <f>IF(V$2="Y",IF(MaGic_AVM_Land!V30=0,"",MaGic_AVM_Land!V30),"")</f>
        <v/>
      </c>
      <c r="W30" s="70" t="str">
        <f>IF(W$2="Y",IF(MaGic_AVM_Land!W30=0,"",MaGic_AVM_Land!W30),"")</f>
        <v/>
      </c>
      <c r="X30" s="70" t="str">
        <f>IF(X$2="Y",IF(MaGic_AVM_Land!X30=0,"",MaGic_AVM_Land!X30),"")</f>
        <v/>
      </c>
      <c r="Y30" s="70" t="str">
        <f>IF(Y$2="Y",IF(MaGic_AVM_Land!Y30=0,"",MaGic_AVM_Land!Y30),"")</f>
        <v/>
      </c>
      <c r="Z30" s="70" t="str">
        <f>IF(Z$2="Y",IF(MaGic_AVM_Land!Z30=0,"",MaGic_AVM_Land!Z30),"")</f>
        <v/>
      </c>
      <c r="AB30" s="69" t="str" cm="1">
        <f t="array" ref="AB30">_xlfn.UNIQUE(C30:Z30,TRUE,FALSE)</f>
        <v/>
      </c>
    </row>
    <row r="31" spans="1:28">
      <c r="A31" s="70">
        <v>29</v>
      </c>
      <c r="B31" s="70" t="s">
        <v>1103</v>
      </c>
      <c r="C31" s="70" t="str">
        <f>IF(C$2="Y",IF(MaGic_AVM_Land!C31=0,"",MaGic_AVM_Land!C31),"")</f>
        <v/>
      </c>
      <c r="D31" s="70" t="str">
        <f>IF(D$2="Y",IF(MaGic_AVM_Land!D31=0,"",MaGic_AVM_Land!D31),"")</f>
        <v/>
      </c>
      <c r="E31" s="70" t="str">
        <f>IF(E$2="Y",IF(MaGic_AVM_Land!E31=0,"",MaGic_AVM_Land!E31),"")</f>
        <v/>
      </c>
      <c r="F31" s="70" t="str">
        <f>IF(F$2="Y",IF(MaGic_AVM_Land!F31=0,"",MaGic_AVM_Land!F31),"")</f>
        <v/>
      </c>
      <c r="G31" s="70" t="str">
        <f>IF(G$2="Y",IF(MaGic_AVM_Land!G31=0,"",MaGic_AVM_Land!G31),"")</f>
        <v/>
      </c>
      <c r="H31" s="70" t="str">
        <f>IF(H$2="Y",IF(MaGic_AVM_Land!H31=0,"",MaGic_AVM_Land!H31),"")</f>
        <v/>
      </c>
      <c r="I31" s="70" t="str">
        <f>IF(I$2="Y",IF(MaGic_AVM_Land!I31=0,"",MaGic_AVM_Land!I31),"")</f>
        <v/>
      </c>
      <c r="J31" s="70" t="str">
        <f>IF(J$2="Y",IF(MaGic_AVM_Land!J31=0,"",MaGic_AVM_Land!J31),"")</f>
        <v/>
      </c>
      <c r="K31" s="70" t="str">
        <f>IF(K$2="Y",IF(MaGic_AVM_Land!K31=0,"",MaGic_AVM_Land!K31),"")</f>
        <v/>
      </c>
      <c r="L31" s="70" t="str">
        <f>IF(L$2="Y",IF(MaGic_AVM_Land!L31=0,"",MaGic_AVM_Land!L31),"")</f>
        <v/>
      </c>
      <c r="M31" s="70" t="str">
        <f>IF(M$2="Y",IF(MaGic_AVM_Land!M31=0,"",MaGic_AVM_Land!M31),"")</f>
        <v/>
      </c>
      <c r="N31" s="70" t="str">
        <f>IF(N$2="Y",IF(MaGic_AVM_Land!N31=0,"",MaGic_AVM_Land!N31),"")</f>
        <v/>
      </c>
      <c r="O31" s="70" t="str">
        <f>IF(O$2="Y",IF(MaGic_AVM_Land!O31=0,"",MaGic_AVM_Land!O31),"")</f>
        <v/>
      </c>
      <c r="P31" s="70" t="str">
        <f>IF(P$2="Y",IF(MaGic_AVM_Land!P31=0,"",MaGic_AVM_Land!P31),"")</f>
        <v/>
      </c>
      <c r="Q31" s="70" t="str">
        <f>IF(Q$2="Y",IF(MaGic_AVM_Land!Q31=0,"",MaGic_AVM_Land!Q31),"")</f>
        <v/>
      </c>
      <c r="R31" s="70" t="str">
        <f>IF(R$2="Y",IF(MaGic_AVM_Land!R31=0,"",MaGic_AVM_Land!R31),"")</f>
        <v/>
      </c>
      <c r="S31" s="70" t="str">
        <f>IF(S$2="Y",IF(MaGic_AVM_Land!S31=0,"",MaGic_AVM_Land!S31),"")</f>
        <v/>
      </c>
      <c r="T31" s="70" t="str">
        <f>IF(T$2="Y",IF(MaGic_AVM_Land!T31=0,"",MaGic_AVM_Land!T31),"")</f>
        <v/>
      </c>
      <c r="U31" s="70" t="str">
        <f>IF(U$2="Y",IF(MaGic_AVM_Land!U31=0,"",MaGic_AVM_Land!U31),"")</f>
        <v/>
      </c>
      <c r="V31" s="70" t="str">
        <f>IF(V$2="Y",IF(MaGic_AVM_Land!V31=0,"",MaGic_AVM_Land!V31),"")</f>
        <v/>
      </c>
      <c r="W31" s="70" t="str">
        <f>IF(W$2="Y",IF(MaGic_AVM_Land!W31=0,"",MaGic_AVM_Land!W31),"")</f>
        <v/>
      </c>
      <c r="X31" s="70" t="str">
        <f>IF(X$2="Y",IF(MaGic_AVM_Land!X31=0,"",MaGic_AVM_Land!X31),"")</f>
        <v/>
      </c>
      <c r="Y31" s="70" t="str">
        <f>IF(Y$2="Y",IF(MaGic_AVM_Land!Y31=0,"",MaGic_AVM_Land!Y31),"")</f>
        <v/>
      </c>
      <c r="Z31" s="70" t="str">
        <f>IF(Z$2="Y",IF(MaGic_AVM_Land!Z31=0,"",MaGic_AVM_Land!Z31),"")</f>
        <v/>
      </c>
      <c r="AB31" s="69" t="str" cm="1">
        <f t="array" ref="AB31">_xlfn.UNIQUE(C31:Z31,TRUE,FALSE)</f>
        <v/>
      </c>
    </row>
    <row r="32" spans="1:28">
      <c r="A32" s="70">
        <v>30</v>
      </c>
      <c r="B32" s="70" t="s">
        <v>1104</v>
      </c>
      <c r="C32" s="70" t="str">
        <f>IF(C$2="Y",IF(MaGic_AVM_Land!C32=0,"",MaGic_AVM_Land!C32),"")</f>
        <v/>
      </c>
      <c r="D32" s="70" t="str">
        <f>IF(D$2="Y",IF(MaGic_AVM_Land!D32=0,"",MaGic_AVM_Land!D32),"")</f>
        <v/>
      </c>
      <c r="E32" s="70" t="str">
        <f>IF(E$2="Y",IF(MaGic_AVM_Land!E32=0,"",MaGic_AVM_Land!E32),"")</f>
        <v/>
      </c>
      <c r="F32" s="70" t="str">
        <f>IF(F$2="Y",IF(MaGic_AVM_Land!F32=0,"",MaGic_AVM_Land!F32),"")</f>
        <v/>
      </c>
      <c r="G32" s="70" t="str">
        <f>IF(G$2="Y",IF(MaGic_AVM_Land!G32=0,"",MaGic_AVM_Land!G32),"")</f>
        <v/>
      </c>
      <c r="H32" s="70" t="str">
        <f>IF(H$2="Y",IF(MaGic_AVM_Land!H32=0,"",MaGic_AVM_Land!H32),"")</f>
        <v/>
      </c>
      <c r="I32" s="70" t="str">
        <f>IF(I$2="Y",IF(MaGic_AVM_Land!I32=0,"",MaGic_AVM_Land!I32),"")</f>
        <v/>
      </c>
      <c r="J32" s="70" t="str">
        <f>IF(J$2="Y",IF(MaGic_AVM_Land!J32=0,"",MaGic_AVM_Land!J32),"")</f>
        <v/>
      </c>
      <c r="K32" s="70" t="str">
        <f>IF(K$2="Y",IF(MaGic_AVM_Land!K32=0,"",MaGic_AVM_Land!K32),"")</f>
        <v/>
      </c>
      <c r="L32" s="70" t="str">
        <f>IF(L$2="Y",IF(MaGic_AVM_Land!L32=0,"",MaGic_AVM_Land!L32),"")</f>
        <v/>
      </c>
      <c r="M32" s="70" t="str">
        <f>IF(M$2="Y",IF(MaGic_AVM_Land!M32=0,"",MaGic_AVM_Land!M32),"")</f>
        <v/>
      </c>
      <c r="N32" s="70" t="str">
        <f>IF(N$2="Y",IF(MaGic_AVM_Land!N32=0,"",MaGic_AVM_Land!N32),"")</f>
        <v/>
      </c>
      <c r="O32" s="70" t="str">
        <f>IF(O$2="Y",IF(MaGic_AVM_Land!O32=0,"",MaGic_AVM_Land!O32),"")</f>
        <v/>
      </c>
      <c r="P32" s="70" t="str">
        <f>IF(P$2="Y",IF(MaGic_AVM_Land!P32=0,"",MaGic_AVM_Land!P32),"")</f>
        <v/>
      </c>
      <c r="Q32" s="70" t="str">
        <f>IF(Q$2="Y",IF(MaGic_AVM_Land!Q32=0,"",MaGic_AVM_Land!Q32),"")</f>
        <v/>
      </c>
      <c r="R32" s="70" t="str">
        <f>IF(R$2="Y",IF(MaGic_AVM_Land!R32=0,"",MaGic_AVM_Land!R32),"")</f>
        <v/>
      </c>
      <c r="S32" s="70" t="str">
        <f>IF(S$2="Y",IF(MaGic_AVM_Land!S32=0,"",MaGic_AVM_Land!S32),"")</f>
        <v/>
      </c>
      <c r="T32" s="70" t="str">
        <f>IF(T$2="Y",IF(MaGic_AVM_Land!T32=0,"",MaGic_AVM_Land!T32),"")</f>
        <v/>
      </c>
      <c r="U32" s="70" t="str">
        <f>IF(U$2="Y",IF(MaGic_AVM_Land!U32=0,"",MaGic_AVM_Land!U32),"")</f>
        <v/>
      </c>
      <c r="V32" s="70" t="str">
        <f>IF(V$2="Y",IF(MaGic_AVM_Land!V32=0,"",MaGic_AVM_Land!V32),"")</f>
        <v/>
      </c>
      <c r="W32" s="70" t="str">
        <f>IF(W$2="Y",IF(MaGic_AVM_Land!W32=0,"",MaGic_AVM_Land!W32),"")</f>
        <v/>
      </c>
      <c r="X32" s="70" t="str">
        <f>IF(X$2="Y",IF(MaGic_AVM_Land!X32=0,"",MaGic_AVM_Land!X32),"")</f>
        <v/>
      </c>
      <c r="Y32" s="70" t="str">
        <f>IF(Y$2="Y",IF(MaGic_AVM_Land!Y32=0,"",MaGic_AVM_Land!Y32),"")</f>
        <v/>
      </c>
      <c r="Z32" s="70" t="str">
        <f>IF(Z$2="Y",IF(MaGic_AVM_Land!Z32=0,"",MaGic_AVM_Land!Z32),"")</f>
        <v/>
      </c>
      <c r="AB32" s="69" t="str" cm="1">
        <f t="array" ref="AB32">_xlfn.UNIQUE(C32:Z32,TRUE,FALSE)</f>
        <v/>
      </c>
    </row>
    <row r="33" spans="1:28">
      <c r="A33" s="70">
        <v>31</v>
      </c>
      <c r="B33" s="70" t="s">
        <v>1105</v>
      </c>
      <c r="C33" s="70" t="str">
        <f>IF(C$2="Y",IF(MaGic_AVM_Land!C33=0,"",MaGic_AVM_Land!C33),"")</f>
        <v/>
      </c>
      <c r="D33" s="70" t="str">
        <f>IF(D$2="Y",IF(MaGic_AVM_Land!D33=0,"",MaGic_AVM_Land!D33),"")</f>
        <v/>
      </c>
      <c r="E33" s="70" t="str">
        <f>IF(E$2="Y",IF(MaGic_AVM_Land!E33=0,"",MaGic_AVM_Land!E33),"")</f>
        <v/>
      </c>
      <c r="F33" s="70" t="str">
        <f>IF(F$2="Y",IF(MaGic_AVM_Land!F33=0,"",MaGic_AVM_Land!F33),"")</f>
        <v/>
      </c>
      <c r="G33" s="70" t="str">
        <f>IF(G$2="Y",IF(MaGic_AVM_Land!G33=0,"",MaGic_AVM_Land!G33),"")</f>
        <v/>
      </c>
      <c r="H33" s="70" t="str">
        <f>IF(H$2="Y",IF(MaGic_AVM_Land!H33=0,"",MaGic_AVM_Land!H33),"")</f>
        <v/>
      </c>
      <c r="I33" s="70" t="str">
        <f>IF(I$2="Y",IF(MaGic_AVM_Land!I33=0,"",MaGic_AVM_Land!I33),"")</f>
        <v/>
      </c>
      <c r="J33" s="70" t="str">
        <f>IF(J$2="Y",IF(MaGic_AVM_Land!J33=0,"",MaGic_AVM_Land!J33),"")</f>
        <v/>
      </c>
      <c r="K33" s="70" t="str">
        <f>IF(K$2="Y",IF(MaGic_AVM_Land!K33=0,"",MaGic_AVM_Land!K33),"")</f>
        <v/>
      </c>
      <c r="L33" s="70" t="str">
        <f>IF(L$2="Y",IF(MaGic_AVM_Land!L33=0,"",MaGic_AVM_Land!L33),"")</f>
        <v/>
      </c>
      <c r="M33" s="70" t="str">
        <f>IF(M$2="Y",IF(MaGic_AVM_Land!M33=0,"",MaGic_AVM_Land!M33),"")</f>
        <v/>
      </c>
      <c r="N33" s="70" t="str">
        <f>IF(N$2="Y",IF(MaGic_AVM_Land!N33=0,"",MaGic_AVM_Land!N33),"")</f>
        <v/>
      </c>
      <c r="O33" s="70" t="str">
        <f>IF(O$2="Y",IF(MaGic_AVM_Land!O33=0,"",MaGic_AVM_Land!O33),"")</f>
        <v/>
      </c>
      <c r="P33" s="70" t="str">
        <f>IF(P$2="Y",IF(MaGic_AVM_Land!P33=0,"",MaGic_AVM_Land!P33),"")</f>
        <v/>
      </c>
      <c r="Q33" s="70" t="str">
        <f>IF(Q$2="Y",IF(MaGic_AVM_Land!Q33=0,"",MaGic_AVM_Land!Q33),"")</f>
        <v/>
      </c>
      <c r="R33" s="70" t="str">
        <f>IF(R$2="Y",IF(MaGic_AVM_Land!R33=0,"",MaGic_AVM_Land!R33),"")</f>
        <v/>
      </c>
      <c r="S33" s="70" t="str">
        <f>IF(S$2="Y",IF(MaGic_AVM_Land!S33=0,"",MaGic_AVM_Land!S33),"")</f>
        <v/>
      </c>
      <c r="T33" s="70" t="str">
        <f>IF(T$2="Y",IF(MaGic_AVM_Land!T33=0,"",MaGic_AVM_Land!T33),"")</f>
        <v/>
      </c>
      <c r="U33" s="70" t="str">
        <f>IF(U$2="Y",IF(MaGic_AVM_Land!U33=0,"",MaGic_AVM_Land!U33),"")</f>
        <v/>
      </c>
      <c r="V33" s="70" t="str">
        <f>IF(V$2="Y",IF(MaGic_AVM_Land!V33=0,"",MaGic_AVM_Land!V33),"")</f>
        <v/>
      </c>
      <c r="W33" s="70" t="str">
        <f>IF(W$2="Y",IF(MaGic_AVM_Land!W33=0,"",MaGic_AVM_Land!W33),"")</f>
        <v/>
      </c>
      <c r="X33" s="70" t="str">
        <f>IF(X$2="Y",IF(MaGic_AVM_Land!X33=0,"",MaGic_AVM_Land!X33),"")</f>
        <v/>
      </c>
      <c r="Y33" s="70" t="str">
        <f>IF(Y$2="Y",IF(MaGic_AVM_Land!Y33=0,"",MaGic_AVM_Land!Y33),"")</f>
        <v/>
      </c>
      <c r="Z33" s="70" t="str">
        <f>IF(Z$2="Y",IF(MaGic_AVM_Land!Z33=0,"",MaGic_AVM_Land!Z33),"")</f>
        <v/>
      </c>
      <c r="AB33" s="69" t="str" cm="1">
        <f t="array" ref="AB33">_xlfn.UNIQUE(C33:Z33,TRUE,FALSE)</f>
        <v/>
      </c>
    </row>
    <row r="34" spans="1:28">
      <c r="A34" s="70"/>
      <c r="B34" s="70" t="s">
        <v>110</v>
      </c>
      <c r="C34" s="70" t="str">
        <f>IF(C$2="Y",IF(MaGic_AVM_Land!C34=0,"",MaGic_AVM_Land!C34),"")</f>
        <v/>
      </c>
      <c r="D34" s="70" t="str">
        <f>IF(D$2="Y",IF(MaGic_AVM_Land!D34=0,"",MaGic_AVM_Land!D34),"")</f>
        <v/>
      </c>
      <c r="E34" s="70" t="str">
        <f>IF(E$2="Y",IF(MaGic_AVM_Land!E34=0,"",MaGic_AVM_Land!E34),"")</f>
        <v/>
      </c>
      <c r="F34" s="70" t="str">
        <f>IF(F$2="Y",IF(MaGic_AVM_Land!F34=0,"",MaGic_AVM_Land!F34),"")</f>
        <v/>
      </c>
      <c r="G34" s="70" t="str">
        <f>IF(G$2="Y",IF(MaGic_AVM_Land!G34=0,"",MaGic_AVM_Land!G34),"")</f>
        <v/>
      </c>
      <c r="H34" s="70" t="str">
        <f>IF(H$2="Y",IF(MaGic_AVM_Land!H34=0,"",MaGic_AVM_Land!H34),"")</f>
        <v/>
      </c>
      <c r="I34" s="70" t="str">
        <f>IF(I$2="Y",IF(MaGic_AVM_Land!I34=0,"",MaGic_AVM_Land!I34),"")</f>
        <v/>
      </c>
      <c r="J34" s="70" t="str">
        <f>IF(J$2="Y",IF(MaGic_AVM_Land!J34=0,"",MaGic_AVM_Land!J34),"")</f>
        <v/>
      </c>
      <c r="K34" s="70" t="str">
        <f>IF(K$2="Y",IF(MaGic_AVM_Land!K34=0,"",MaGic_AVM_Land!K34),"")</f>
        <v/>
      </c>
      <c r="L34" s="70" t="str">
        <f>IF(L$2="Y",IF(MaGic_AVM_Land!L34=0,"",MaGic_AVM_Land!L34),"")</f>
        <v/>
      </c>
      <c r="M34" s="70" t="str">
        <f>IF(M$2="Y",IF(MaGic_AVM_Land!M34=0,"",MaGic_AVM_Land!M34),"")</f>
        <v/>
      </c>
      <c r="N34" s="70" t="str">
        <f>IF(N$2="Y",IF(MaGic_AVM_Land!N34=0,"",MaGic_AVM_Land!N34),"")</f>
        <v/>
      </c>
      <c r="O34" s="70" t="str">
        <f>IF(O$2="Y",IF(MaGic_AVM_Land!O34=0,"",MaGic_AVM_Land!O34),"")</f>
        <v/>
      </c>
      <c r="P34" s="70" t="str">
        <f>IF(P$2="Y",IF(MaGic_AVM_Land!P34=0,"",MaGic_AVM_Land!P34),"")</f>
        <v/>
      </c>
      <c r="Q34" s="70" t="str">
        <f>IF(Q$2="Y",IF(MaGic_AVM_Land!Q34=0,"",MaGic_AVM_Land!Q34),"")</f>
        <v/>
      </c>
      <c r="R34" s="70" t="str">
        <f>IF(R$2="Y",IF(MaGic_AVM_Land!R34=0,"",MaGic_AVM_Land!R34),"")</f>
        <v/>
      </c>
      <c r="S34" s="70" t="str">
        <f>IF(S$2="Y",IF(MaGic_AVM_Land!S34=0,"",MaGic_AVM_Land!S34),"")</f>
        <v/>
      </c>
      <c r="T34" s="70" t="str">
        <f>IF(T$2="Y",IF(MaGic_AVM_Land!T34=0,"",MaGic_AVM_Land!T34),"")</f>
        <v/>
      </c>
      <c r="U34" s="70" t="str">
        <f>IF(U$2="Y",IF(MaGic_AVM_Land!U34=0,"",MaGic_AVM_Land!U34),"")</f>
        <v/>
      </c>
      <c r="V34" s="70" t="str">
        <f>IF(V$2="Y",IF(MaGic_AVM_Land!V34=0,"",MaGic_AVM_Land!V34),"")</f>
        <v/>
      </c>
      <c r="W34" s="70" t="str">
        <f>IF(W$2="Y",IF(MaGic_AVM_Land!W34=0,"",MaGic_AVM_Land!W34),"")</f>
        <v/>
      </c>
      <c r="X34" s="70" t="str">
        <f>IF(X$2="Y",IF(MaGic_AVM_Land!X34=0,"",MaGic_AVM_Land!X34),"")</f>
        <v/>
      </c>
      <c r="Y34" s="70" t="str">
        <f>IF(Y$2="Y",IF(MaGic_AVM_Land!Y34=0,"",MaGic_AVM_Land!Y34),"")</f>
        <v/>
      </c>
      <c r="Z34" s="70" t="str">
        <f>IF(Z$2="Y",IF(MaGic_AVM_Land!Z34=0,"",MaGic_AVM_Land!Z34),"")</f>
        <v/>
      </c>
      <c r="AB34" s="69" t="str" cm="1">
        <f t="array" ref="AB34">_xlfn.UNIQUE(C34:Z34,TRUE,FALSE)</f>
        <v/>
      </c>
    </row>
    <row r="35" spans="1:28">
      <c r="A35" s="70">
        <v>1</v>
      </c>
      <c r="B35" s="70" t="s">
        <v>1106</v>
      </c>
      <c r="C35" s="70" t="str">
        <f>IF(C$2="Y",IF(MaGic_AVM_Land!C35=0,"",MaGic_AVM_Land!C35),"")</f>
        <v/>
      </c>
      <c r="D35" s="70" t="str">
        <f>IF(D$2="Y",IF(MaGic_AVM_Land!D35=0,"",MaGic_AVM_Land!D35),"")</f>
        <v/>
      </c>
      <c r="E35" s="70" t="str">
        <f>IF(E$2="Y",IF(MaGic_AVM_Land!E35=0,"",MaGic_AVM_Land!E35),"")</f>
        <v/>
      </c>
      <c r="F35" s="70" t="str">
        <f>IF(F$2="Y",IF(MaGic_AVM_Land!F35=0,"",MaGic_AVM_Land!F35),"")</f>
        <v/>
      </c>
      <c r="G35" s="70" t="str">
        <f>IF(G$2="Y",IF(MaGic_AVM_Land!G35=0,"",MaGic_AVM_Land!G35),"")</f>
        <v/>
      </c>
      <c r="H35" s="70" t="str">
        <f>IF(H$2="Y",IF(MaGic_AVM_Land!H35=0,"",MaGic_AVM_Land!H35),"")</f>
        <v/>
      </c>
      <c r="I35" s="70" t="str">
        <f>IF(I$2="Y",IF(MaGic_AVM_Land!I35=0,"",MaGic_AVM_Land!I35),"")</f>
        <v/>
      </c>
      <c r="J35" s="70" t="str">
        <f>IF(J$2="Y",IF(MaGic_AVM_Land!J35=0,"",MaGic_AVM_Land!J35),"")</f>
        <v/>
      </c>
      <c r="K35" s="70" t="str">
        <f>IF(K$2="Y",IF(MaGic_AVM_Land!K35=0,"",MaGic_AVM_Land!K35),"")</f>
        <v/>
      </c>
      <c r="L35" s="70" t="str">
        <f>IF(L$2="Y",IF(MaGic_AVM_Land!L35=0,"",MaGic_AVM_Land!L35),"")</f>
        <v/>
      </c>
      <c r="M35" s="70" t="str">
        <f>IF(M$2="Y",IF(MaGic_AVM_Land!M35=0,"",MaGic_AVM_Land!M35),"")</f>
        <v/>
      </c>
      <c r="N35" s="70" t="str">
        <f>IF(N$2="Y",IF(MaGic_AVM_Land!N35=0,"",MaGic_AVM_Land!N35),"")</f>
        <v/>
      </c>
      <c r="O35" s="70" t="str">
        <f>IF(O$2="Y",IF(MaGic_AVM_Land!O35=0,"",MaGic_AVM_Land!O35),"")</f>
        <v/>
      </c>
      <c r="P35" s="70" t="str">
        <f>IF(P$2="Y",IF(MaGic_AVM_Land!P35=0,"",MaGic_AVM_Land!P35),"")</f>
        <v/>
      </c>
      <c r="Q35" s="70" t="str">
        <f>IF(Q$2="Y",IF(MaGic_AVM_Land!Q35=0,"",MaGic_AVM_Land!Q35),"")</f>
        <v/>
      </c>
      <c r="R35" s="70" t="str">
        <f>IF(R$2="Y",IF(MaGic_AVM_Land!R35=0,"",MaGic_AVM_Land!R35),"")</f>
        <v/>
      </c>
      <c r="S35" s="70" t="str">
        <f>IF(S$2="Y",IF(MaGic_AVM_Land!S35=0,"",MaGic_AVM_Land!S35),"")</f>
        <v/>
      </c>
      <c r="T35" s="70" t="str">
        <f>IF(T$2="Y",IF(MaGic_AVM_Land!T35=0,"",MaGic_AVM_Land!T35),"")</f>
        <v/>
      </c>
      <c r="U35" s="70" t="str">
        <f>IF(U$2="Y",IF(MaGic_AVM_Land!U35=0,"",MaGic_AVM_Land!U35),"")</f>
        <v/>
      </c>
      <c r="V35" s="70" t="str">
        <f>IF(V$2="Y",IF(MaGic_AVM_Land!V35=0,"",MaGic_AVM_Land!V35),"")</f>
        <v/>
      </c>
      <c r="W35" s="70" t="str">
        <f>IF(W$2="Y",IF(MaGic_AVM_Land!W35=0,"",MaGic_AVM_Land!W35),"")</f>
        <v/>
      </c>
      <c r="X35" s="70" t="str">
        <f>IF(X$2="Y",IF(MaGic_AVM_Land!X35=0,"",MaGic_AVM_Land!X35),"")</f>
        <v/>
      </c>
      <c r="Y35" s="70" t="str">
        <f>IF(Y$2="Y",IF(MaGic_AVM_Land!Y35=0,"",MaGic_AVM_Land!Y35),"")</f>
        <v/>
      </c>
      <c r="Z35" s="70" t="str">
        <f>IF(Z$2="Y",IF(MaGic_AVM_Land!Z35=0,"",MaGic_AVM_Land!Z35),"")</f>
        <v/>
      </c>
      <c r="AB35" s="69" t="str" cm="1">
        <f t="array" ref="AB35">_xlfn.UNIQUE(C35:Z35,TRUE,FALSE)</f>
        <v/>
      </c>
    </row>
    <row r="36" spans="1:28">
      <c r="A36" s="70">
        <v>2</v>
      </c>
      <c r="B36" s="70" t="s">
        <v>112</v>
      </c>
      <c r="C36" s="70" t="str">
        <f>IF(C$2="Y",IF(MaGic_AVM_Land!C36=0,"",MaGic_AVM_Land!C36),"")</f>
        <v/>
      </c>
      <c r="D36" s="70" t="str">
        <f>IF(D$2="Y",IF(MaGic_AVM_Land!D36=0,"",MaGic_AVM_Land!D36),"")</f>
        <v/>
      </c>
      <c r="E36" s="70" t="str">
        <f>IF(E$2="Y",IF(MaGic_AVM_Land!E36=0,"",MaGic_AVM_Land!E36),"")</f>
        <v/>
      </c>
      <c r="F36" s="70" t="str">
        <f>IF(F$2="Y",IF(MaGic_AVM_Land!F36=0,"",MaGic_AVM_Land!F36),"")</f>
        <v/>
      </c>
      <c r="G36" s="70" t="str">
        <f>IF(G$2="Y",IF(MaGic_AVM_Land!G36=0,"",MaGic_AVM_Land!G36),"")</f>
        <v/>
      </c>
      <c r="H36" s="70" t="str">
        <f>IF(H$2="Y",IF(MaGic_AVM_Land!H36=0,"",MaGic_AVM_Land!H36),"")</f>
        <v/>
      </c>
      <c r="I36" s="70" t="str">
        <f>IF(I$2="Y",IF(MaGic_AVM_Land!I36=0,"",MaGic_AVM_Land!I36),"")</f>
        <v/>
      </c>
      <c r="J36" s="70" t="str">
        <f>IF(J$2="Y",IF(MaGic_AVM_Land!J36=0,"",MaGic_AVM_Land!J36),"")</f>
        <v/>
      </c>
      <c r="K36" s="70" t="str">
        <f>IF(K$2="Y",IF(MaGic_AVM_Land!K36=0,"",MaGic_AVM_Land!K36),"")</f>
        <v/>
      </c>
      <c r="L36" s="70" t="str">
        <f>IF(L$2="Y",IF(MaGic_AVM_Land!L36=0,"",MaGic_AVM_Land!L36),"")</f>
        <v/>
      </c>
      <c r="M36" s="70" t="str">
        <f>IF(M$2="Y",IF(MaGic_AVM_Land!M36=0,"",MaGic_AVM_Land!M36),"")</f>
        <v/>
      </c>
      <c r="N36" s="70" t="str">
        <f>IF(N$2="Y",IF(MaGic_AVM_Land!N36=0,"",MaGic_AVM_Land!N36),"")</f>
        <v/>
      </c>
      <c r="O36" s="70" t="str">
        <f>IF(O$2="Y",IF(MaGic_AVM_Land!O36=0,"",MaGic_AVM_Land!O36),"")</f>
        <v/>
      </c>
      <c r="P36" s="70" t="str">
        <f>IF(P$2="Y",IF(MaGic_AVM_Land!P36=0,"",MaGic_AVM_Land!P36),"")</f>
        <v/>
      </c>
      <c r="Q36" s="70" t="str">
        <f>IF(Q$2="Y",IF(MaGic_AVM_Land!Q36=0,"",MaGic_AVM_Land!Q36),"")</f>
        <v/>
      </c>
      <c r="R36" s="70" t="str">
        <f>IF(R$2="Y",IF(MaGic_AVM_Land!R36=0,"",MaGic_AVM_Land!R36),"")</f>
        <v/>
      </c>
      <c r="S36" s="70" t="str">
        <f>IF(S$2="Y",IF(MaGic_AVM_Land!S36=0,"",MaGic_AVM_Land!S36),"")</f>
        <v/>
      </c>
      <c r="T36" s="70" t="str">
        <f>IF(T$2="Y",IF(MaGic_AVM_Land!T36=0,"",MaGic_AVM_Land!T36),"")</f>
        <v/>
      </c>
      <c r="U36" s="70" t="str">
        <f>IF(U$2="Y",IF(MaGic_AVM_Land!U36=0,"",MaGic_AVM_Land!U36),"")</f>
        <v/>
      </c>
      <c r="V36" s="70" t="str">
        <f>IF(V$2="Y",IF(MaGic_AVM_Land!V36=0,"",MaGic_AVM_Land!V36),"")</f>
        <v/>
      </c>
      <c r="W36" s="70" t="str">
        <f>IF(W$2="Y",IF(MaGic_AVM_Land!W36=0,"",MaGic_AVM_Land!W36),"")</f>
        <v/>
      </c>
      <c r="X36" s="70" t="str">
        <f>IF(X$2="Y",IF(MaGic_AVM_Land!X36=0,"",MaGic_AVM_Land!X36),"")</f>
        <v/>
      </c>
      <c r="Y36" s="70" t="str">
        <f>IF(Y$2="Y",IF(MaGic_AVM_Land!Y36=0,"",MaGic_AVM_Land!Y36),"")</f>
        <v/>
      </c>
      <c r="Z36" s="70" t="str">
        <f>IF(Z$2="Y",IF(MaGic_AVM_Land!Z36=0,"",MaGic_AVM_Land!Z36),"")</f>
        <v/>
      </c>
      <c r="AB36" s="69" t="str" cm="1">
        <f t="array" ref="AB36">_xlfn.UNIQUE(C36:Z36,TRUE,FALSE)</f>
        <v/>
      </c>
    </row>
    <row r="37" spans="1:28">
      <c r="A37" s="70">
        <v>3</v>
      </c>
      <c r="B37" s="70" t="s">
        <v>113</v>
      </c>
      <c r="C37" s="70" t="str">
        <f>IF(C$2="Y",IF(MaGic_AVM_Land!C37=0,"",MaGic_AVM_Land!C37),"")</f>
        <v/>
      </c>
      <c r="D37" s="70" t="str">
        <f>IF(D$2="Y",IF(MaGic_AVM_Land!D37=0,"",MaGic_AVM_Land!D37),"")</f>
        <v/>
      </c>
      <c r="E37" s="70" t="str">
        <f>IF(E$2="Y",IF(MaGic_AVM_Land!E37=0,"",MaGic_AVM_Land!E37),"")</f>
        <v/>
      </c>
      <c r="F37" s="70" t="str">
        <f>IF(F$2="Y",IF(MaGic_AVM_Land!F37=0,"",MaGic_AVM_Land!F37),"")</f>
        <v/>
      </c>
      <c r="G37" s="70" t="str">
        <f>IF(G$2="Y",IF(MaGic_AVM_Land!G37=0,"",MaGic_AVM_Land!G37),"")</f>
        <v/>
      </c>
      <c r="H37" s="70" t="str">
        <f>IF(H$2="Y",IF(MaGic_AVM_Land!H37=0,"",MaGic_AVM_Land!H37),"")</f>
        <v/>
      </c>
      <c r="I37" s="70" t="str">
        <f>IF(I$2="Y",IF(MaGic_AVM_Land!I37=0,"",MaGic_AVM_Land!I37),"")</f>
        <v/>
      </c>
      <c r="J37" s="70" t="str">
        <f>IF(J$2="Y",IF(MaGic_AVM_Land!J37=0,"",MaGic_AVM_Land!J37),"")</f>
        <v/>
      </c>
      <c r="K37" s="70" t="str">
        <f>IF(K$2="Y",IF(MaGic_AVM_Land!K37=0,"",MaGic_AVM_Land!K37),"")</f>
        <v/>
      </c>
      <c r="L37" s="70" t="str">
        <f>IF(L$2="Y",IF(MaGic_AVM_Land!L37=0,"",MaGic_AVM_Land!L37),"")</f>
        <v/>
      </c>
      <c r="M37" s="70" t="str">
        <f>IF(M$2="Y",IF(MaGic_AVM_Land!M37=0,"",MaGic_AVM_Land!M37),"")</f>
        <v/>
      </c>
      <c r="N37" s="70" t="str">
        <f>IF(N$2="Y",IF(MaGic_AVM_Land!N37=0,"",MaGic_AVM_Land!N37),"")</f>
        <v/>
      </c>
      <c r="O37" s="70" t="str">
        <f>IF(O$2="Y",IF(MaGic_AVM_Land!O37=0,"",MaGic_AVM_Land!O37),"")</f>
        <v/>
      </c>
      <c r="P37" s="70" t="str">
        <f>IF(P$2="Y",IF(MaGic_AVM_Land!P37=0,"",MaGic_AVM_Land!P37),"")</f>
        <v/>
      </c>
      <c r="Q37" s="70" t="str">
        <f>IF(Q$2="Y",IF(MaGic_AVM_Land!Q37=0,"",MaGic_AVM_Land!Q37),"")</f>
        <v/>
      </c>
      <c r="R37" s="70" t="str">
        <f>IF(R$2="Y",IF(MaGic_AVM_Land!R37=0,"",MaGic_AVM_Land!R37),"")</f>
        <v/>
      </c>
      <c r="S37" s="70" t="str">
        <f>IF(S$2="Y",IF(MaGic_AVM_Land!S37=0,"",MaGic_AVM_Land!S37),"")</f>
        <v/>
      </c>
      <c r="T37" s="70" t="str">
        <f>IF(T$2="Y",IF(MaGic_AVM_Land!T37=0,"",MaGic_AVM_Land!T37),"")</f>
        <v/>
      </c>
      <c r="U37" s="70" t="str">
        <f>IF(U$2="Y",IF(MaGic_AVM_Land!U37=0,"",MaGic_AVM_Land!U37),"")</f>
        <v/>
      </c>
      <c r="V37" s="70" t="str">
        <f>IF(V$2="Y",IF(MaGic_AVM_Land!V37=0,"",MaGic_AVM_Land!V37),"")</f>
        <v/>
      </c>
      <c r="W37" s="70" t="str">
        <f>IF(W$2="Y",IF(MaGic_AVM_Land!W37=0,"",MaGic_AVM_Land!W37),"")</f>
        <v/>
      </c>
      <c r="X37" s="70" t="str">
        <f>IF(X$2="Y",IF(MaGic_AVM_Land!X37=0,"",MaGic_AVM_Land!X37),"")</f>
        <v/>
      </c>
      <c r="Y37" s="70" t="str">
        <f>IF(Y$2="Y",IF(MaGic_AVM_Land!Y37=0,"",MaGic_AVM_Land!Y37),"")</f>
        <v/>
      </c>
      <c r="Z37" s="70" t="str">
        <f>IF(Z$2="Y",IF(MaGic_AVM_Land!Z37=0,"",MaGic_AVM_Land!Z37),"")</f>
        <v/>
      </c>
      <c r="AB37" s="69" t="str" cm="1">
        <f t="array" ref="AB37">_xlfn.UNIQUE(C37:Z37,TRUE,FALSE)</f>
        <v/>
      </c>
    </row>
    <row r="38" spans="1:28">
      <c r="A38" s="70">
        <v>4</v>
      </c>
      <c r="B38" s="70" t="s">
        <v>114</v>
      </c>
      <c r="C38" s="70"/>
      <c r="D38" s="70"/>
      <c r="E38" s="70"/>
      <c r="F38" s="70"/>
      <c r="G38" s="70"/>
      <c r="H38" s="70"/>
      <c r="I38" s="70"/>
      <c r="J38" s="70"/>
      <c r="K38" s="70"/>
      <c r="L38" s="70"/>
      <c r="M38" s="70"/>
      <c r="N38" s="70"/>
      <c r="O38" s="70"/>
      <c r="P38" s="70"/>
      <c r="Q38" s="70"/>
      <c r="R38" s="70"/>
      <c r="S38" s="70"/>
      <c r="T38" s="70"/>
      <c r="U38" s="70"/>
      <c r="V38" s="70"/>
      <c r="W38" s="70"/>
      <c r="X38" s="70"/>
      <c r="Y38" s="70"/>
      <c r="Z38" s="70"/>
      <c r="AB38" s="69" cm="1">
        <f t="array" ref="AB38">_xlfn.UNIQUE(C38:Z38,TRUE,FALSE)</f>
        <v>0</v>
      </c>
    </row>
    <row r="39" spans="1:28">
      <c r="A39" s="70">
        <v>5</v>
      </c>
      <c r="B39" s="70" t="s">
        <v>115</v>
      </c>
      <c r="C39" s="70"/>
      <c r="D39" s="70"/>
      <c r="E39" s="70"/>
      <c r="F39" s="70"/>
      <c r="G39" s="70"/>
      <c r="H39" s="70"/>
      <c r="I39" s="70"/>
      <c r="J39" s="70"/>
      <c r="K39" s="70"/>
      <c r="L39" s="70"/>
      <c r="M39" s="70"/>
      <c r="N39" s="70"/>
      <c r="O39" s="70"/>
      <c r="P39" s="70"/>
      <c r="Q39" s="70"/>
      <c r="R39" s="70"/>
      <c r="S39" s="70"/>
      <c r="T39" s="70"/>
      <c r="U39" s="70"/>
      <c r="V39" s="70"/>
      <c r="W39" s="70"/>
      <c r="X39" s="70"/>
      <c r="Y39" s="70"/>
      <c r="Z39" s="70"/>
      <c r="AB39" s="69" cm="1">
        <f t="array" ref="AB39">_xlfn.UNIQUE(C39:Z39,TRUE,FALSE)</f>
        <v>0</v>
      </c>
    </row>
    <row r="40" spans="1:28">
      <c r="A40" s="70">
        <v>6</v>
      </c>
      <c r="B40" s="70" t="s">
        <v>116</v>
      </c>
      <c r="C40" s="70"/>
      <c r="D40" s="70"/>
      <c r="E40" s="70"/>
      <c r="F40" s="70"/>
      <c r="G40" s="70"/>
      <c r="H40" s="70"/>
      <c r="I40" s="70"/>
      <c r="J40" s="70"/>
      <c r="K40" s="70"/>
      <c r="L40" s="70"/>
      <c r="M40" s="70"/>
      <c r="N40" s="70"/>
      <c r="O40" s="70"/>
      <c r="P40" s="70"/>
      <c r="Q40" s="70"/>
      <c r="R40" s="70"/>
      <c r="S40" s="70"/>
      <c r="T40" s="70"/>
      <c r="U40" s="70"/>
      <c r="V40" s="70"/>
      <c r="W40" s="70"/>
      <c r="X40" s="70"/>
      <c r="Y40" s="70"/>
      <c r="Z40" s="70"/>
      <c r="AB40" s="69" cm="1">
        <f t="array" ref="AB40">_xlfn.UNIQUE(C40:Z40,TRUE,FALSE)</f>
        <v>0</v>
      </c>
    </row>
    <row r="41" spans="1:28">
      <c r="A41" s="70"/>
      <c r="B41" s="70" t="s">
        <v>117</v>
      </c>
      <c r="C41" s="70"/>
      <c r="D41" s="70"/>
      <c r="E41" s="70"/>
      <c r="F41" s="70"/>
      <c r="G41" s="70"/>
      <c r="H41" s="70"/>
      <c r="I41" s="70"/>
      <c r="J41" s="70"/>
      <c r="K41" s="70"/>
      <c r="L41" s="70"/>
      <c r="M41" s="70"/>
      <c r="N41" s="70"/>
      <c r="O41" s="70"/>
      <c r="P41" s="70"/>
      <c r="Q41" s="70"/>
      <c r="R41" s="70"/>
      <c r="S41" s="70"/>
      <c r="T41" s="70"/>
      <c r="U41" s="70"/>
      <c r="V41" s="70"/>
      <c r="W41" s="70"/>
      <c r="X41" s="70"/>
      <c r="Y41" s="70"/>
      <c r="Z41" s="70"/>
      <c r="AB41" s="69" cm="1">
        <f t="array" ref="AB41">_xlfn.UNIQUE(C41:Z41,TRUE,FALSE)</f>
        <v>0</v>
      </c>
    </row>
    <row r="42" spans="1:28">
      <c r="A42" s="70">
        <v>1</v>
      </c>
      <c r="B42" s="70" t="s">
        <v>118</v>
      </c>
      <c r="C42" s="70"/>
      <c r="D42" s="70"/>
      <c r="E42" s="70"/>
      <c r="F42" s="70"/>
      <c r="G42" s="70"/>
      <c r="H42" s="70"/>
      <c r="I42" s="70"/>
      <c r="J42" s="70"/>
      <c r="K42" s="70"/>
      <c r="L42" s="70"/>
      <c r="M42" s="70"/>
      <c r="N42" s="70"/>
      <c r="O42" s="70"/>
      <c r="P42" s="70"/>
      <c r="Q42" s="70"/>
      <c r="R42" s="70"/>
      <c r="S42" s="70"/>
      <c r="T42" s="70"/>
      <c r="U42" s="70"/>
      <c r="V42" s="70"/>
      <c r="W42" s="70"/>
      <c r="X42" s="70"/>
      <c r="Y42" s="70"/>
      <c r="Z42" s="70"/>
      <c r="AB42" s="69" cm="1">
        <f t="array" ref="AB42">_xlfn.UNIQUE(C42:Z42,TRUE,FALSE)</f>
        <v>0</v>
      </c>
    </row>
    <row r="43" spans="1:28">
      <c r="A43" s="70">
        <v>2</v>
      </c>
      <c r="B43" s="70" t="s">
        <v>119</v>
      </c>
      <c r="C43" s="70"/>
      <c r="D43" s="70"/>
      <c r="E43" s="70"/>
      <c r="F43" s="70"/>
      <c r="G43" s="70"/>
      <c r="H43" s="70"/>
      <c r="I43" s="70"/>
      <c r="J43" s="70"/>
      <c r="K43" s="70"/>
      <c r="L43" s="70"/>
      <c r="M43" s="70"/>
      <c r="N43" s="70"/>
      <c r="O43" s="70"/>
      <c r="P43" s="70"/>
      <c r="Q43" s="70"/>
      <c r="R43" s="70"/>
      <c r="S43" s="70"/>
      <c r="T43" s="70"/>
      <c r="U43" s="70"/>
      <c r="V43" s="70"/>
      <c r="W43" s="70"/>
      <c r="X43" s="70"/>
      <c r="Y43" s="70"/>
      <c r="Z43" s="70"/>
      <c r="AB43" s="69" cm="1">
        <f t="array" ref="AB43">_xlfn.UNIQUE(C43:Z43,TRUE,FALSE)</f>
        <v>0</v>
      </c>
    </row>
    <row r="44" spans="1:28">
      <c r="A44" s="70">
        <v>3</v>
      </c>
      <c r="B44" s="70" t="s">
        <v>120</v>
      </c>
      <c r="C44" s="70"/>
      <c r="D44" s="70"/>
      <c r="E44" s="70"/>
      <c r="F44" s="70"/>
      <c r="G44" s="70"/>
      <c r="H44" s="70"/>
      <c r="I44" s="70"/>
      <c r="J44" s="70"/>
      <c r="K44" s="70"/>
      <c r="L44" s="70"/>
      <c r="M44" s="70"/>
      <c r="N44" s="70"/>
      <c r="O44" s="70"/>
      <c r="P44" s="70"/>
      <c r="Q44" s="70"/>
      <c r="R44" s="70"/>
      <c r="S44" s="70"/>
      <c r="T44" s="70"/>
      <c r="U44" s="70"/>
      <c r="V44" s="70"/>
      <c r="W44" s="70"/>
      <c r="X44" s="70"/>
      <c r="Y44" s="70"/>
      <c r="Z44" s="70"/>
      <c r="AB44" s="69" cm="1">
        <f t="array" ref="AB44">_xlfn.UNIQUE(C44:Z44,TRUE,FALSE)</f>
        <v>0</v>
      </c>
    </row>
    <row r="45" spans="1:28">
      <c r="A45" s="70">
        <v>4</v>
      </c>
      <c r="B45" s="70" t="s">
        <v>121</v>
      </c>
      <c r="C45" s="70"/>
      <c r="D45" s="70"/>
      <c r="E45" s="70"/>
      <c r="F45" s="70"/>
      <c r="G45" s="70"/>
      <c r="H45" s="70"/>
      <c r="I45" s="70"/>
      <c r="J45" s="70"/>
      <c r="K45" s="70"/>
      <c r="L45" s="70"/>
      <c r="M45" s="70"/>
      <c r="N45" s="70"/>
      <c r="O45" s="70"/>
      <c r="P45" s="70"/>
      <c r="Q45" s="70"/>
      <c r="R45" s="70"/>
      <c r="S45" s="70"/>
      <c r="T45" s="70"/>
      <c r="U45" s="70"/>
      <c r="V45" s="70"/>
      <c r="W45" s="70"/>
      <c r="X45" s="70"/>
      <c r="Y45" s="70"/>
      <c r="Z45" s="70"/>
      <c r="AB45" s="69" cm="1">
        <f t="array" ref="AB45">_xlfn.UNIQUE(C45:Z45,TRUE,FALSE)</f>
        <v>0</v>
      </c>
    </row>
    <row r="46" spans="1:28" ht="48" customHeight="1"/>
    <row r="47" spans="1:28" hidden="1"/>
    <row r="48" spans="1:2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spans="3:27" hidden="1"/>
    <row r="98" spans="3:27" hidden="1"/>
    <row r="99" spans="3:27" hidden="1"/>
    <row r="100" spans="3:27" hidden="1"/>
    <row r="101" spans="3:27" ht="170.25" customHeight="1">
      <c r="C101" s="19" t="str">
        <f>IF(C23="","",CONCATENATE(C23," Ares of land in ",IF(C20="","",CONCATENATE($B$20,C20,", ")),IF(C21="","",CONCATENATE($B$21,C21,", ")),IF(C22="","",CONCATENATE($B$22,C22,", ")),IF(C17="","",CONCATENATE($B$17,C17,", ")),IF(C18="","",CONCATENATE($B$18,C18,", ")),IF(C19="","",CONCATENATE($B$19,C19,", ")),IF(C14="","",CONCATENATE($B$14,C14,", ")),IF(C15="","",CONCATENATE($B$15,C15,", ")),IF(C16="","",CONCATENATE($B$16,C16))))</f>
        <v/>
      </c>
      <c r="D101" s="19" t="str">
        <f>IF(D23="","",CONCATENATE(D23," Ares of land in ",IF(D20="","",CONCATENATE($B$20,D20,", ")),IF(D21="","",CONCATENATE($B$21,D21,", ")),IF(D22="","",CONCATENATE($B$22,D22,", ")),IF(D17="","",CONCATENATE($B$17,D17,", ")),IF(D18="","",CONCATENATE($B$18,D18,", ")),IF(D19="","",CONCATENATE($B$19,D19,", ")),IF(D14="","",CONCATENATE($B$14,D14,", ")),IF(D15="","",CONCATENATE($B$15,D15,", ")),IF(D16="","",CONCATENATE($B$16,D16))))</f>
        <v/>
      </c>
      <c r="E101" s="19" t="str">
        <f t="shared" ref="E101:Z101" si="4">IF(E23="","",CONCATENATE(E23," Ares of land in ",IF(E20="","",CONCATENATE($B$20,E20,", ")),IF(E21="","",CONCATENATE($B$21,E21,", ")),IF(E22="","",CONCATENATE($B$22,E22,", ")),IF(E17="","",CONCATENATE($B$17,E17,", ")),IF(E18="","",CONCATENATE($B$18,E18,", ")),IF(E19="","",CONCATENATE($B$19,E19,", ")),IF(E14="","",CONCATENATE($B$14,E14,", ")),IF(E15="","",CONCATENATE($B$15,E15,", ")),IF(E16="","",CONCATENATE($B$16,E16))))</f>
        <v/>
      </c>
      <c r="F101" s="19" t="str">
        <f t="shared" si="4"/>
        <v/>
      </c>
      <c r="G101" s="19" t="str">
        <f t="shared" si="4"/>
        <v/>
      </c>
      <c r="H101" s="19" t="str">
        <f t="shared" si="4"/>
        <v/>
      </c>
      <c r="I101" s="19" t="str">
        <f t="shared" si="4"/>
        <v/>
      </c>
      <c r="J101" s="19" t="str">
        <f t="shared" si="4"/>
        <v/>
      </c>
      <c r="K101" s="19" t="str">
        <f t="shared" si="4"/>
        <v/>
      </c>
      <c r="L101" s="19" t="str">
        <f t="shared" si="4"/>
        <v/>
      </c>
      <c r="M101" s="19" t="str">
        <f t="shared" si="4"/>
        <v/>
      </c>
      <c r="N101" s="19" t="str">
        <f t="shared" si="4"/>
        <v/>
      </c>
      <c r="O101" s="19" t="str">
        <f t="shared" si="4"/>
        <v/>
      </c>
      <c r="P101" s="19" t="str">
        <f t="shared" si="4"/>
        <v/>
      </c>
      <c r="Q101" s="19" t="str">
        <f t="shared" si="4"/>
        <v/>
      </c>
      <c r="R101" s="19" t="str">
        <f t="shared" si="4"/>
        <v/>
      </c>
      <c r="S101" s="19" t="str">
        <f t="shared" si="4"/>
        <v/>
      </c>
      <c r="T101" s="19" t="str">
        <f t="shared" si="4"/>
        <v/>
      </c>
      <c r="U101" s="19" t="str">
        <f t="shared" si="4"/>
        <v/>
      </c>
      <c r="V101" s="19" t="str">
        <f t="shared" si="4"/>
        <v/>
      </c>
      <c r="W101" s="19" t="str">
        <f t="shared" si="4"/>
        <v/>
      </c>
      <c r="X101" s="19" t="str">
        <f t="shared" si="4"/>
        <v/>
      </c>
      <c r="Y101" s="19" t="str">
        <f t="shared" si="4"/>
        <v/>
      </c>
      <c r="Z101" s="19" t="str">
        <f t="shared" si="4"/>
        <v/>
      </c>
      <c r="AA101" s="19" t="str">
        <f>_xlfn.TEXTJOIN(" and ",TRUE,C101:Z101)</f>
        <v/>
      </c>
    </row>
    <row r="102" spans="3:27">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v>0</v>
      </c>
      <c r="AA102" s="19" t="s">
        <v>212</v>
      </c>
    </row>
    <row r="103" spans="3:27">
      <c r="Z103" s="19">
        <v>1</v>
      </c>
      <c r="AA103" s="19" t="str">
        <f>CONCATENATE(AA101," located in ",AA11,", ",AA10,", ",AA8,". ")</f>
        <v>located in  Village,  Taluk,  District.</v>
      </c>
    </row>
    <row r="104" spans="3:27" ht="146.25" customHeight="1">
      <c r="Z104" s="69">
        <v>2</v>
      </c>
      <c r="AA104" s="19" t="str">
        <f>CONCATENATE("A total of ",AA23," ares of land, comprising ",AA101," located in ",AA11,", ",AA10,", ",AA8,". ")</f>
        <v>A total of 0 ares of land, comprising  located in  Village,  Taluk,  District.</v>
      </c>
    </row>
    <row r="105" spans="3:27" ht="84.65" customHeight="1">
      <c r="Y105" s="477" t="s">
        <v>1107</v>
      </c>
      <c r="Z105" s="477"/>
      <c r="AA105" s="467" t="str">
        <f>IF(AA2&gt;2,AA104,VLOOKUP(AA2,Z102:AA104,2,FALSE))</f>
        <v>NA</v>
      </c>
    </row>
    <row r="106" spans="3:27">
      <c r="Y106" s="477"/>
      <c r="Z106" s="477"/>
      <c r="AA106" s="467"/>
    </row>
    <row r="107" spans="3:27">
      <c r="Y107" s="477" t="s">
        <v>1109</v>
      </c>
      <c r="Z107" s="477"/>
      <c r="AA107" s="467" t="s">
        <v>1110</v>
      </c>
    </row>
    <row r="108" spans="3:27">
      <c r="D108" s="69">
        <v>0</v>
      </c>
      <c r="Y108" s="477"/>
      <c r="Z108" s="477"/>
      <c r="AA108" s="467"/>
    </row>
    <row r="109" spans="3:27">
      <c r="Y109" s="477"/>
      <c r="Z109" s="477"/>
      <c r="AA109" s="467"/>
    </row>
    <row r="110" spans="3:27">
      <c r="Y110" s="477"/>
      <c r="Z110" s="477"/>
      <c r="AA110" s="467"/>
    </row>
    <row r="111" spans="3:27">
      <c r="Y111" s="477"/>
      <c r="Z111" s="477"/>
      <c r="AA111" s="467"/>
    </row>
    <row r="112" spans="3:27">
      <c r="Y112" s="477"/>
      <c r="Z112" s="477"/>
      <c r="AA112" s="467"/>
    </row>
    <row r="113" spans="25:27">
      <c r="Y113" s="477"/>
      <c r="Z113" s="477"/>
      <c r="AA113" s="467"/>
    </row>
  </sheetData>
  <mergeCells count="4">
    <mergeCell ref="AA105:AA106"/>
    <mergeCell ref="AA107:AA113"/>
    <mergeCell ref="Y105:Z106"/>
    <mergeCell ref="Y107:Z113"/>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9"/>
  <dimension ref="A2:AB113"/>
  <sheetViews>
    <sheetView workbookViewId="0"/>
  </sheetViews>
  <sheetFormatPr defaultColWidth="9.26953125" defaultRowHeight="14.5"/>
  <cols>
    <col min="1" max="1" width="3" style="69" customWidth="1"/>
    <col min="2" max="2" width="23.26953125" style="69" customWidth="1"/>
    <col min="3" max="3" width="11.54296875" style="69" customWidth="1"/>
    <col min="4" max="4" width="14" style="69" customWidth="1"/>
    <col min="5" max="5" width="11.54296875" style="69" customWidth="1"/>
    <col min="6" max="26" width="9.26953125" style="69"/>
    <col min="27" max="27" width="52.7265625" style="69" customWidth="1"/>
    <col min="28" max="28" width="15.54296875" style="69" customWidth="1"/>
    <col min="29" max="29" width="25.26953125" style="69" customWidth="1"/>
    <col min="30" max="31" width="29.26953125" style="69" customWidth="1"/>
    <col min="32" max="16384" width="9.26953125" style="69"/>
  </cols>
  <sheetData>
    <row r="2" spans="1:28">
      <c r="A2" s="70"/>
      <c r="B2" s="70"/>
      <c r="C2" s="70" t="str">
        <f>IF(MaGic_AVM_Land!C2="Building Tax Receipt","Y","N")</f>
        <v>N</v>
      </c>
      <c r="D2" s="70" t="str">
        <f>IF(MaGic_AVM_Land!D2="Building Tax Receipt","Y","N")</f>
        <v>N</v>
      </c>
      <c r="E2" s="70" t="str">
        <f>IF(MaGic_AVM_Land!E2="Building Tax Receipt","Y","N")</f>
        <v>N</v>
      </c>
      <c r="F2" s="70" t="str">
        <f>IF(MaGic_AVM_Land!F2="Building Tax Receipt","Y","N")</f>
        <v>N</v>
      </c>
      <c r="G2" s="70" t="str">
        <f>IF(MaGic_AVM_Land!G2="Building Tax Receipt","Y","N")</f>
        <v>N</v>
      </c>
      <c r="H2" s="70" t="str">
        <f>IF(MaGic_AVM_Land!H2="Building Tax Receipt","Y","N")</f>
        <v>N</v>
      </c>
      <c r="I2" s="70" t="str">
        <f>IF(MaGic_AVM_Land!I2="Building Tax Receipt","Y","N")</f>
        <v>N</v>
      </c>
      <c r="J2" s="70" t="str">
        <f>IF(MaGic_AVM_Land!J2="Building Tax Receipt","Y","N")</f>
        <v>N</v>
      </c>
      <c r="K2" s="70" t="str">
        <f>IF(MaGic_AVM_Land!K2="Building Tax Receipt","Y","N")</f>
        <v>N</v>
      </c>
      <c r="L2" s="70" t="str">
        <f>IF(MaGic_AVM_Land!L2="Building Tax Receipt","Y","N")</f>
        <v>N</v>
      </c>
      <c r="M2" s="70" t="str">
        <f>IF(MaGic_AVM_Land!M2="Building Tax Receipt","Y","N")</f>
        <v>N</v>
      </c>
      <c r="N2" s="70" t="str">
        <f>IF(MaGic_AVM_Land!N2="Building Tax Receipt","Y","N")</f>
        <v>N</v>
      </c>
      <c r="O2" s="70" t="str">
        <f>IF(MaGic_AVM_Land!O2="Building Tax Receipt","Y","N")</f>
        <v>N</v>
      </c>
      <c r="P2" s="70" t="str">
        <f>IF(MaGic_AVM_Land!P2="Building Tax Receipt","Y","N")</f>
        <v>N</v>
      </c>
      <c r="Q2" s="70" t="str">
        <f>IF(MaGic_AVM_Land!Q2="Building Tax Receipt","Y","N")</f>
        <v>N</v>
      </c>
      <c r="R2" s="70" t="str">
        <f>IF(MaGic_AVM_Land!R2="Building Tax Receipt","Y","N")</f>
        <v>N</v>
      </c>
      <c r="S2" s="70" t="str">
        <f>IF(MaGic_AVM_Land!S2="Building Tax Receipt","Y","N")</f>
        <v>N</v>
      </c>
      <c r="T2" s="70" t="str">
        <f>IF(MaGic_AVM_Land!T2="Building Tax Receipt","Y","N")</f>
        <v>N</v>
      </c>
      <c r="U2" s="70" t="str">
        <f>IF(MaGic_AVM_Land!U2="Building Tax Receipt","Y","N")</f>
        <v>N</v>
      </c>
      <c r="V2" s="70" t="str">
        <f>IF(MaGic_AVM_Land!V2="Building Tax Receipt","Y","N")</f>
        <v>N</v>
      </c>
      <c r="W2" s="70" t="str">
        <f>IF(MaGic_AVM_Land!W2="Building Tax Receipt","Y","N")</f>
        <v>N</v>
      </c>
      <c r="X2" s="70" t="str">
        <f>IF(MaGic_AVM_Land!X2="Building Tax Receipt","Y","N")</f>
        <v>N</v>
      </c>
      <c r="Y2" s="70" t="str">
        <f>IF(MaGic_AVM_Land!Y2="Building Tax Receipt","Y","N")</f>
        <v>N</v>
      </c>
      <c r="Z2" s="70" t="str">
        <f>IF(MaGic_AVM_Land!Z2="Building Tax Receipt","Y","N")</f>
        <v>N</v>
      </c>
      <c r="AA2" s="69">
        <f>COUNTIF(C2:Z2,"Y")</f>
        <v>0</v>
      </c>
      <c r="AB2" s="69" t="str" cm="1">
        <f t="array" ref="AB2">_xlfn.UNIQUE(C2:Z2,TRUE,FALSE)</f>
        <v>N</v>
      </c>
    </row>
    <row r="3" spans="1:28">
      <c r="A3" s="70">
        <v>1</v>
      </c>
      <c r="B3" s="70" t="s">
        <v>48</v>
      </c>
      <c r="C3" s="70" t="str">
        <f>IF(C$2="Y",IF(MaGic_AVM_Land!C3=0,"",MaGic_AVM_Land!C3),"")</f>
        <v/>
      </c>
      <c r="D3" s="70" t="str">
        <f>IF(D$2="Y",IF(MaGic_AVM_Land!D3=0,"",MaGic_AVM_Land!D3),"")</f>
        <v/>
      </c>
      <c r="E3" s="70" t="str">
        <f>IF(E$2="Y",IF(MaGic_AVM_Land!E3=0,"",MaGic_AVM_Land!E3),"")</f>
        <v/>
      </c>
      <c r="F3" s="70" t="str">
        <f>IF(F$2="Y",IF(MaGic_AVM_Land!F3=0,"",MaGic_AVM_Land!F3),"")</f>
        <v/>
      </c>
      <c r="G3" s="70" t="str">
        <f>IF(G$2="Y",IF(MaGic_AVM_Land!G3=0,"",MaGic_AVM_Land!G3),"")</f>
        <v/>
      </c>
      <c r="H3" s="70" t="str">
        <f>IF(H$2="Y",IF(MaGic_AVM_Land!H3=0,"",MaGic_AVM_Land!H3),"")</f>
        <v/>
      </c>
      <c r="I3" s="70" t="str">
        <f>IF(I$2="Y",IF(MaGic_AVM_Land!I3=0,"",MaGic_AVM_Land!I3),"")</f>
        <v/>
      </c>
      <c r="J3" s="70" t="str">
        <f>IF(J$2="Y",IF(MaGic_AVM_Land!J3=0,"",MaGic_AVM_Land!J3),"")</f>
        <v/>
      </c>
      <c r="K3" s="70" t="str">
        <f>IF(K$2="Y",IF(MaGic_AVM_Land!K3=0,"",MaGic_AVM_Land!K3),"")</f>
        <v/>
      </c>
      <c r="L3" s="70" t="str">
        <f>IF(L$2="Y",IF(MaGic_AVM_Land!L3=0,"",MaGic_AVM_Land!L3),"")</f>
        <v/>
      </c>
      <c r="M3" s="70" t="str">
        <f>IF(M$2="Y",IF(MaGic_AVM_Land!M3=0,"",MaGic_AVM_Land!M3),"")</f>
        <v/>
      </c>
      <c r="N3" s="70" t="str">
        <f>IF(N$2="Y",IF(MaGic_AVM_Land!N3=0,"",MaGic_AVM_Land!N3),"")</f>
        <v/>
      </c>
      <c r="O3" s="70" t="str">
        <f>IF(O$2="Y",IF(MaGic_AVM_Land!O3=0,"",MaGic_AVM_Land!O3),"")</f>
        <v/>
      </c>
      <c r="P3" s="70" t="str">
        <f>IF(P$2="Y",IF(MaGic_AVM_Land!P3=0,"",MaGic_AVM_Land!P3),"")</f>
        <v/>
      </c>
      <c r="Q3" s="70" t="str">
        <f>IF(Q$2="Y",IF(MaGic_AVM_Land!Q3=0,"",MaGic_AVM_Land!Q3),"")</f>
        <v/>
      </c>
      <c r="R3" s="70" t="str">
        <f>IF(R$2="Y",IF(MaGic_AVM_Land!R3=0,"",MaGic_AVM_Land!R3),"")</f>
        <v/>
      </c>
      <c r="S3" s="70" t="str">
        <f>IF(S$2="Y",IF(MaGic_AVM_Land!S3=0,"",MaGic_AVM_Land!S3),"")</f>
        <v/>
      </c>
      <c r="T3" s="70" t="str">
        <f>IF(T$2="Y",IF(MaGic_AVM_Land!T3=0,"",MaGic_AVM_Land!T3),"")</f>
        <v/>
      </c>
      <c r="U3" s="70" t="str">
        <f>IF(U$2="Y",IF(MaGic_AVM_Land!U3=0,"",MaGic_AVM_Land!U3),"")</f>
        <v/>
      </c>
      <c r="V3" s="70" t="str">
        <f>IF(V$2="Y",IF(MaGic_AVM_Land!V3=0,"",MaGic_AVM_Land!V3),"")</f>
        <v/>
      </c>
      <c r="W3" s="70" t="str">
        <f>IF(W$2="Y",IF(MaGic_AVM_Land!W3=0,"",MaGic_AVM_Land!W3),"")</f>
        <v/>
      </c>
      <c r="X3" s="70" t="str">
        <f>IF(X$2="Y",IF(MaGic_AVM_Land!X3=0,"",MaGic_AVM_Land!X3),"")</f>
        <v/>
      </c>
      <c r="Y3" s="70" t="str">
        <f>IF(Y$2="Y",IF(MaGic_AVM_Land!Y3=0,"",MaGic_AVM_Land!Y3),"")</f>
        <v/>
      </c>
      <c r="Z3" s="70" t="str">
        <f>IF(Z$2="Y",IF(MaGic_AVM_Land!Z3=0,"",MaGic_AVM_Land!Z3),"")</f>
        <v/>
      </c>
      <c r="AA3" s="69" t="str">
        <f t="shared" ref="AA3:AA7" si="0">_xlfn.TEXTJOIN(", ",TRUE,AB3:AZ3)</f>
        <v/>
      </c>
      <c r="AB3" s="69" t="str" cm="1">
        <f t="array" ref="AB3">_xlfn.UNIQUE(C3:Z3,TRUE,FALSE)</f>
        <v/>
      </c>
    </row>
    <row r="4" spans="1:28">
      <c r="A4" s="70">
        <v>2</v>
      </c>
      <c r="B4" s="70" t="s">
        <v>51</v>
      </c>
      <c r="C4" s="70" t="str">
        <f>IF(C$2="Y",IF(MaGic_AVM_Land!C4=0,"",MaGic_AVM_Land!C4),"")</f>
        <v/>
      </c>
      <c r="D4" s="70" t="str">
        <f>IF(D$2="Y",IF(MaGic_AVM_Land!D4=0,"",MaGic_AVM_Land!D4),"")</f>
        <v/>
      </c>
      <c r="E4" s="70" t="str">
        <f>IF(E$2="Y",IF(MaGic_AVM_Land!E4=0,"",MaGic_AVM_Land!E4),"")</f>
        <v/>
      </c>
      <c r="F4" s="70" t="str">
        <f>IF(F$2="Y",IF(MaGic_AVM_Land!F4=0,"",MaGic_AVM_Land!F4),"")</f>
        <v/>
      </c>
      <c r="G4" s="70" t="str">
        <f>IF(G$2="Y",IF(MaGic_AVM_Land!G4=0,"",MaGic_AVM_Land!G4),"")</f>
        <v/>
      </c>
      <c r="H4" s="70" t="str">
        <f>IF(H$2="Y",IF(MaGic_AVM_Land!H4=0,"",MaGic_AVM_Land!H4),"")</f>
        <v/>
      </c>
      <c r="I4" s="70" t="str">
        <f>IF(I$2="Y",IF(MaGic_AVM_Land!I4=0,"",MaGic_AVM_Land!I4),"")</f>
        <v/>
      </c>
      <c r="J4" s="70" t="str">
        <f>IF(J$2="Y",IF(MaGic_AVM_Land!J4=0,"",MaGic_AVM_Land!J4),"")</f>
        <v/>
      </c>
      <c r="K4" s="70" t="str">
        <f>IF(K$2="Y",IF(MaGic_AVM_Land!K4=0,"",MaGic_AVM_Land!K4),"")</f>
        <v/>
      </c>
      <c r="L4" s="70" t="str">
        <f>IF(L$2="Y",IF(MaGic_AVM_Land!L4=0,"",MaGic_AVM_Land!L4),"")</f>
        <v/>
      </c>
      <c r="M4" s="70" t="str">
        <f>IF(M$2="Y",IF(MaGic_AVM_Land!M4=0,"",MaGic_AVM_Land!M4),"")</f>
        <v/>
      </c>
      <c r="N4" s="70" t="str">
        <f>IF(N$2="Y",IF(MaGic_AVM_Land!N4=0,"",MaGic_AVM_Land!N4),"")</f>
        <v/>
      </c>
      <c r="O4" s="70" t="str">
        <f>IF(O$2="Y",IF(MaGic_AVM_Land!O4=0,"",MaGic_AVM_Land!O4),"")</f>
        <v/>
      </c>
      <c r="P4" s="70" t="str">
        <f>IF(P$2="Y",IF(MaGic_AVM_Land!P4=0,"",MaGic_AVM_Land!P4),"")</f>
        <v/>
      </c>
      <c r="Q4" s="70" t="str">
        <f>IF(Q$2="Y",IF(MaGic_AVM_Land!Q4=0,"",MaGic_AVM_Land!Q4),"")</f>
        <v/>
      </c>
      <c r="R4" s="70" t="str">
        <f>IF(R$2="Y",IF(MaGic_AVM_Land!R4=0,"",MaGic_AVM_Land!R4),"")</f>
        <v/>
      </c>
      <c r="S4" s="70" t="str">
        <f>IF(S$2="Y",IF(MaGic_AVM_Land!S4=0,"",MaGic_AVM_Land!S4),"")</f>
        <v/>
      </c>
      <c r="T4" s="70" t="str">
        <f>IF(T$2="Y",IF(MaGic_AVM_Land!T4=0,"",MaGic_AVM_Land!T4),"")</f>
        <v/>
      </c>
      <c r="U4" s="70" t="str">
        <f>IF(U$2="Y",IF(MaGic_AVM_Land!U4=0,"",MaGic_AVM_Land!U4),"")</f>
        <v/>
      </c>
      <c r="V4" s="70" t="str">
        <f>IF(V$2="Y",IF(MaGic_AVM_Land!V4=0,"",MaGic_AVM_Land!V4),"")</f>
        <v/>
      </c>
      <c r="W4" s="70" t="str">
        <f>IF(W$2="Y",IF(MaGic_AVM_Land!W4=0,"",MaGic_AVM_Land!W4),"")</f>
        <v/>
      </c>
      <c r="X4" s="70" t="str">
        <f>IF(X$2="Y",IF(MaGic_AVM_Land!X4=0,"",MaGic_AVM_Land!X4),"")</f>
        <v/>
      </c>
      <c r="Y4" s="70" t="str">
        <f>IF(Y$2="Y",IF(MaGic_AVM_Land!Y4=0,"",MaGic_AVM_Land!Y4),"")</f>
        <v/>
      </c>
      <c r="Z4" s="70" t="str">
        <f>IF(Z$2="Y",IF(MaGic_AVM_Land!Z4=0,"",MaGic_AVM_Land!Z4),"")</f>
        <v/>
      </c>
      <c r="AA4" s="69" t="str">
        <f t="shared" si="0"/>
        <v/>
      </c>
      <c r="AB4" s="69" t="str" cm="1">
        <f t="array" ref="AB4">_xlfn.UNIQUE(C4:Z4,TRUE,FALSE)</f>
        <v/>
      </c>
    </row>
    <row r="5" spans="1:28">
      <c r="A5" s="70">
        <v>3</v>
      </c>
      <c r="B5" s="70" t="s">
        <v>52</v>
      </c>
      <c r="C5" s="70" t="str">
        <f>IF(C$2="Y",IF(MaGic_AVM_Land!C5=0,"",MaGic_AVM_Land!C5),"")</f>
        <v/>
      </c>
      <c r="D5" s="70" t="str">
        <f>IF(D$2="Y",IF(MaGic_AVM_Land!D5=0,"",MaGic_AVM_Land!D5),"")</f>
        <v/>
      </c>
      <c r="E5" s="70" t="str">
        <f>IF(E$2="Y",IF(MaGic_AVM_Land!E5=0,"",MaGic_AVM_Land!E5),"")</f>
        <v/>
      </c>
      <c r="F5" s="70" t="str">
        <f>IF(F$2="Y",IF(MaGic_AVM_Land!F5=0,"",MaGic_AVM_Land!F5),"")</f>
        <v/>
      </c>
      <c r="G5" s="70" t="str">
        <f>IF(G$2="Y",IF(MaGic_AVM_Land!G5=0,"",MaGic_AVM_Land!G5),"")</f>
        <v/>
      </c>
      <c r="H5" s="70" t="str">
        <f>IF(H$2="Y",IF(MaGic_AVM_Land!H5=0,"",MaGic_AVM_Land!H5),"")</f>
        <v/>
      </c>
      <c r="I5" s="70" t="str">
        <f>IF(I$2="Y",IF(MaGic_AVM_Land!I5=0,"",MaGic_AVM_Land!I5),"")</f>
        <v/>
      </c>
      <c r="J5" s="70" t="str">
        <f>IF(J$2="Y",IF(MaGic_AVM_Land!J5=0,"",MaGic_AVM_Land!J5),"")</f>
        <v/>
      </c>
      <c r="K5" s="70" t="str">
        <f>IF(K$2="Y",IF(MaGic_AVM_Land!K5=0,"",MaGic_AVM_Land!K5),"")</f>
        <v/>
      </c>
      <c r="L5" s="70" t="str">
        <f>IF(L$2="Y",IF(MaGic_AVM_Land!L5=0,"",MaGic_AVM_Land!L5),"")</f>
        <v/>
      </c>
      <c r="M5" s="70" t="str">
        <f>IF(M$2="Y",IF(MaGic_AVM_Land!M5=0,"",MaGic_AVM_Land!M5),"")</f>
        <v/>
      </c>
      <c r="N5" s="70" t="str">
        <f>IF(N$2="Y",IF(MaGic_AVM_Land!N5=0,"",MaGic_AVM_Land!N5),"")</f>
        <v/>
      </c>
      <c r="O5" s="70" t="str">
        <f>IF(O$2="Y",IF(MaGic_AVM_Land!O5=0,"",MaGic_AVM_Land!O5),"")</f>
        <v/>
      </c>
      <c r="P5" s="70" t="str">
        <f>IF(P$2="Y",IF(MaGic_AVM_Land!P5=0,"",MaGic_AVM_Land!P5),"")</f>
        <v/>
      </c>
      <c r="Q5" s="70" t="str">
        <f>IF(Q$2="Y",IF(MaGic_AVM_Land!Q5=0,"",MaGic_AVM_Land!Q5),"")</f>
        <v/>
      </c>
      <c r="R5" s="70" t="str">
        <f>IF(R$2="Y",IF(MaGic_AVM_Land!R5=0,"",MaGic_AVM_Land!R5),"")</f>
        <v/>
      </c>
      <c r="S5" s="70" t="str">
        <f>IF(S$2="Y",IF(MaGic_AVM_Land!S5=0,"",MaGic_AVM_Land!S5),"")</f>
        <v/>
      </c>
      <c r="T5" s="70" t="str">
        <f>IF(T$2="Y",IF(MaGic_AVM_Land!T5=0,"",MaGic_AVM_Land!T5),"")</f>
        <v/>
      </c>
      <c r="U5" s="70" t="str">
        <f>IF(U$2="Y",IF(MaGic_AVM_Land!U5=0,"",MaGic_AVM_Land!U5),"")</f>
        <v/>
      </c>
      <c r="V5" s="70" t="str">
        <f>IF(V$2="Y",IF(MaGic_AVM_Land!V5=0,"",MaGic_AVM_Land!V5),"")</f>
        <v/>
      </c>
      <c r="W5" s="70" t="str">
        <f>IF(W$2="Y",IF(MaGic_AVM_Land!W5=0,"",MaGic_AVM_Land!W5),"")</f>
        <v/>
      </c>
      <c r="X5" s="70" t="str">
        <f>IF(X$2="Y",IF(MaGic_AVM_Land!X5=0,"",MaGic_AVM_Land!X5),"")</f>
        <v/>
      </c>
      <c r="Y5" s="70" t="str">
        <f>IF(Y$2="Y",IF(MaGic_AVM_Land!Y5=0,"",MaGic_AVM_Land!Y5),"")</f>
        <v/>
      </c>
      <c r="Z5" s="70" t="str">
        <f>IF(Z$2="Y",IF(MaGic_AVM_Land!Z5=0,"",MaGic_AVM_Land!Z5),"")</f>
        <v/>
      </c>
      <c r="AA5" s="69" t="str">
        <f t="shared" si="0"/>
        <v/>
      </c>
      <c r="AB5" s="69" t="str" cm="1">
        <f t="array" ref="AB5">_xlfn.UNIQUE(C5:Z5,TRUE,FALSE)</f>
        <v/>
      </c>
    </row>
    <row r="6" spans="1:28">
      <c r="A6" s="70">
        <v>4</v>
      </c>
      <c r="B6" s="70" t="s">
        <v>1101</v>
      </c>
      <c r="C6" s="70" t="str">
        <f>IF(C$2="Y",IF(MaGic_AVM_Land!C6=0,"",MaGic_AVM_Land!C6),"")</f>
        <v/>
      </c>
      <c r="D6" s="70" t="str">
        <f>IF(D$2="Y",IF(MaGic_AVM_Land!D6=0,"",MaGic_AVM_Land!D6),"")</f>
        <v/>
      </c>
      <c r="E6" s="70" t="str">
        <f>IF(E$2="Y",IF(MaGic_AVM_Land!E6=0,"",MaGic_AVM_Land!E6),"")</f>
        <v/>
      </c>
      <c r="F6" s="70" t="str">
        <f>IF(F$2="Y",IF(MaGic_AVM_Land!F6=0,"",MaGic_AVM_Land!F6),"")</f>
        <v/>
      </c>
      <c r="G6" s="70" t="str">
        <f>IF(G$2="Y",IF(MaGic_AVM_Land!G6=0,"",MaGic_AVM_Land!G6),"")</f>
        <v/>
      </c>
      <c r="H6" s="70" t="str">
        <f>IF(H$2="Y",IF(MaGic_AVM_Land!H6=0,"",MaGic_AVM_Land!H6),"")</f>
        <v/>
      </c>
      <c r="I6" s="70" t="str">
        <f>IF(I$2="Y",IF(MaGic_AVM_Land!I6=0,"",MaGic_AVM_Land!I6),"")</f>
        <v/>
      </c>
      <c r="J6" s="70" t="str">
        <f>IF(J$2="Y",IF(MaGic_AVM_Land!J6=0,"",MaGic_AVM_Land!J6),"")</f>
        <v/>
      </c>
      <c r="K6" s="70" t="str">
        <f>IF(K$2="Y",IF(MaGic_AVM_Land!K6=0,"",MaGic_AVM_Land!K6),"")</f>
        <v/>
      </c>
      <c r="L6" s="70" t="str">
        <f>IF(L$2="Y",IF(MaGic_AVM_Land!L6=0,"",MaGic_AVM_Land!L6),"")</f>
        <v/>
      </c>
      <c r="M6" s="70" t="str">
        <f>IF(M$2="Y",IF(MaGic_AVM_Land!M6=0,"",MaGic_AVM_Land!M6),"")</f>
        <v/>
      </c>
      <c r="N6" s="70" t="str">
        <f>IF(N$2="Y",IF(MaGic_AVM_Land!N6=0,"",MaGic_AVM_Land!N6),"")</f>
        <v/>
      </c>
      <c r="O6" s="70" t="str">
        <f>IF(O$2="Y",IF(MaGic_AVM_Land!O6=0,"",MaGic_AVM_Land!O6),"")</f>
        <v/>
      </c>
      <c r="P6" s="70" t="str">
        <f>IF(P$2="Y",IF(MaGic_AVM_Land!P6=0,"",MaGic_AVM_Land!P6),"")</f>
        <v/>
      </c>
      <c r="Q6" s="70" t="str">
        <f>IF(Q$2="Y",IF(MaGic_AVM_Land!Q6=0,"",MaGic_AVM_Land!Q6),"")</f>
        <v/>
      </c>
      <c r="R6" s="70" t="str">
        <f>IF(R$2="Y",IF(MaGic_AVM_Land!R6=0,"",MaGic_AVM_Land!R6),"")</f>
        <v/>
      </c>
      <c r="S6" s="70" t="str">
        <f>IF(S$2="Y",IF(MaGic_AVM_Land!S6=0,"",MaGic_AVM_Land!S6),"")</f>
        <v/>
      </c>
      <c r="T6" s="70" t="str">
        <f>IF(T$2="Y",IF(MaGic_AVM_Land!T6=0,"",MaGic_AVM_Land!T6),"")</f>
        <v/>
      </c>
      <c r="U6" s="70" t="str">
        <f>IF(U$2="Y",IF(MaGic_AVM_Land!U6=0,"",MaGic_AVM_Land!U6),"")</f>
        <v/>
      </c>
      <c r="V6" s="70" t="str">
        <f>IF(V$2="Y",IF(MaGic_AVM_Land!V6=0,"",MaGic_AVM_Land!V6),"")</f>
        <v/>
      </c>
      <c r="W6" s="70" t="str">
        <f>IF(W$2="Y",IF(MaGic_AVM_Land!W6=0,"",MaGic_AVM_Land!W6),"")</f>
        <v/>
      </c>
      <c r="X6" s="70" t="str">
        <f>IF(X$2="Y",IF(MaGic_AVM_Land!X6=0,"",MaGic_AVM_Land!X6),"")</f>
        <v/>
      </c>
      <c r="Y6" s="70" t="str">
        <f>IF(Y$2="Y",IF(MaGic_AVM_Land!Y6=0,"",MaGic_AVM_Land!Y6),"")</f>
        <v/>
      </c>
      <c r="Z6" s="70" t="str">
        <f>IF(Z$2="Y",IF(MaGic_AVM_Land!Z6=0,"",MaGic_AVM_Land!Z6),"")</f>
        <v/>
      </c>
      <c r="AA6" s="69" t="str">
        <f t="shared" si="0"/>
        <v/>
      </c>
      <c r="AB6" s="69" t="str" cm="1">
        <f t="array" ref="AB6">_xlfn.UNIQUE(C6:Z6,TRUE,FALSE)</f>
        <v/>
      </c>
    </row>
    <row r="7" spans="1:28">
      <c r="A7" s="70">
        <v>2</v>
      </c>
      <c r="B7" s="70" t="s">
        <v>1102</v>
      </c>
      <c r="C7" s="70" t="str">
        <f>IF(C$2="Y",IF(MaGic_AVM_Land!C7=0,"",MaGic_AVM_Land!C7),"")</f>
        <v/>
      </c>
      <c r="D7" s="70" t="str">
        <f>IF(D$2="Y",IF(MaGic_AVM_Land!D7=0,"",MaGic_AVM_Land!D7),"")</f>
        <v/>
      </c>
      <c r="E7" s="70" t="str">
        <f>IF(E$2="Y",IF(MaGic_AVM_Land!E7=0,"",MaGic_AVM_Land!E7),"")</f>
        <v/>
      </c>
      <c r="F7" s="70" t="str">
        <f>IF(F$2="Y",IF(MaGic_AVM_Land!F7=0,"",MaGic_AVM_Land!F7),"")</f>
        <v/>
      </c>
      <c r="G7" s="70" t="str">
        <f>IF(G$2="Y",IF(MaGic_AVM_Land!G7=0,"",MaGic_AVM_Land!G7),"")</f>
        <v/>
      </c>
      <c r="H7" s="70" t="str">
        <f>IF(H$2="Y",IF(MaGic_AVM_Land!H7=0,"",MaGic_AVM_Land!H7),"")</f>
        <v/>
      </c>
      <c r="I7" s="70" t="str">
        <f>IF(I$2="Y",IF(MaGic_AVM_Land!I7=0,"",MaGic_AVM_Land!I7),"")</f>
        <v/>
      </c>
      <c r="J7" s="70" t="str">
        <f>IF(J$2="Y",IF(MaGic_AVM_Land!J7=0,"",MaGic_AVM_Land!J7),"")</f>
        <v/>
      </c>
      <c r="K7" s="70" t="str">
        <f>IF(K$2="Y",IF(MaGic_AVM_Land!K7=0,"",MaGic_AVM_Land!K7),"")</f>
        <v/>
      </c>
      <c r="L7" s="70" t="str">
        <f>IF(L$2="Y",IF(MaGic_AVM_Land!L7=0,"",MaGic_AVM_Land!L7),"")</f>
        <v/>
      </c>
      <c r="M7" s="70" t="str">
        <f>IF(M$2="Y",IF(MaGic_AVM_Land!M7=0,"",MaGic_AVM_Land!M7),"")</f>
        <v/>
      </c>
      <c r="N7" s="70" t="str">
        <f>IF(N$2="Y",IF(MaGic_AVM_Land!N7=0,"",MaGic_AVM_Land!N7),"")</f>
        <v/>
      </c>
      <c r="O7" s="70" t="str">
        <f>IF(O$2="Y",IF(MaGic_AVM_Land!O7=0,"",MaGic_AVM_Land!O7),"")</f>
        <v/>
      </c>
      <c r="P7" s="70" t="str">
        <f>IF(P$2="Y",IF(MaGic_AVM_Land!P7=0,"",MaGic_AVM_Land!P7),"")</f>
        <v/>
      </c>
      <c r="Q7" s="70" t="str">
        <f>IF(Q$2="Y",IF(MaGic_AVM_Land!Q7=0,"",MaGic_AVM_Land!Q7),"")</f>
        <v/>
      </c>
      <c r="R7" s="70" t="str">
        <f>IF(R$2="Y",IF(MaGic_AVM_Land!R7=0,"",MaGic_AVM_Land!R7),"")</f>
        <v/>
      </c>
      <c r="S7" s="70" t="str">
        <f>IF(S$2="Y",IF(MaGic_AVM_Land!S7=0,"",MaGic_AVM_Land!S7),"")</f>
        <v/>
      </c>
      <c r="T7" s="70" t="str">
        <f>IF(T$2="Y",IF(MaGic_AVM_Land!T7=0,"",MaGic_AVM_Land!T7),"")</f>
        <v/>
      </c>
      <c r="U7" s="70" t="str">
        <f>IF(U$2="Y",IF(MaGic_AVM_Land!U7=0,"",MaGic_AVM_Land!U7),"")</f>
        <v/>
      </c>
      <c r="V7" s="70" t="str">
        <f>IF(V$2="Y",IF(MaGic_AVM_Land!V7=0,"",MaGic_AVM_Land!V7),"")</f>
        <v/>
      </c>
      <c r="W7" s="70" t="str">
        <f>IF(W$2="Y",IF(MaGic_AVM_Land!W7=0,"",MaGic_AVM_Land!W7),"")</f>
        <v/>
      </c>
      <c r="X7" s="70" t="str">
        <f>IF(X$2="Y",IF(MaGic_AVM_Land!X7=0,"",MaGic_AVM_Land!X7),"")</f>
        <v/>
      </c>
      <c r="Y7" s="70" t="str">
        <f>IF(Y$2="Y",IF(MaGic_AVM_Land!Y7=0,"",MaGic_AVM_Land!Y7),"")</f>
        <v/>
      </c>
      <c r="Z7" s="70" t="str">
        <f>IF(Z$2="Y",IF(MaGic_AVM_Land!Z7=0,"",MaGic_AVM_Land!Z7),"")</f>
        <v/>
      </c>
      <c r="AA7" s="69" t="str">
        <f t="shared" si="0"/>
        <v/>
      </c>
      <c r="AB7" s="69" t="str" cm="1">
        <f t="array" ref="AB7">_xlfn.UNIQUE(C7:Z7,TRUE,FALSE)</f>
        <v/>
      </c>
    </row>
    <row r="8" spans="1:28">
      <c r="A8" s="70">
        <v>6</v>
      </c>
      <c r="B8" s="70" t="s">
        <v>31</v>
      </c>
      <c r="C8" s="70" t="str">
        <f>IF(C$2="Y",IF(MaGic_AVM_Land!C8=0,"",MaGic_AVM_Land!C8),"")</f>
        <v/>
      </c>
      <c r="D8" s="70" t="str">
        <f>IF(D$2="Y",IF(MaGic_AVM_Land!D8=0,"",MaGic_AVM_Land!D8),"")</f>
        <v/>
      </c>
      <c r="E8" s="70" t="str">
        <f>IF(E$2="Y",IF(MaGic_AVM_Land!E8=0,"",MaGic_AVM_Land!E8),"")</f>
        <v/>
      </c>
      <c r="F8" s="70" t="str">
        <f>IF(F$2="Y",IF(MaGic_AVM_Land!F8=0,"",MaGic_AVM_Land!F8),"")</f>
        <v/>
      </c>
      <c r="G8" s="70" t="str">
        <f>IF(G$2="Y",IF(MaGic_AVM_Land!G8=0,"",MaGic_AVM_Land!G8),"")</f>
        <v/>
      </c>
      <c r="H8" s="70" t="str">
        <f>IF(H$2="Y",IF(MaGic_AVM_Land!H8=0,"",MaGic_AVM_Land!H8),"")</f>
        <v/>
      </c>
      <c r="I8" s="70" t="str">
        <f>IF(I$2="Y",IF(MaGic_AVM_Land!I8=0,"",MaGic_AVM_Land!I8),"")</f>
        <v/>
      </c>
      <c r="J8" s="70" t="str">
        <f>IF(J$2="Y",IF(MaGic_AVM_Land!J8=0,"",MaGic_AVM_Land!J8),"")</f>
        <v/>
      </c>
      <c r="K8" s="70" t="str">
        <f>IF(K$2="Y",IF(MaGic_AVM_Land!K8=0,"",MaGic_AVM_Land!K8),"")</f>
        <v/>
      </c>
      <c r="L8" s="70" t="str">
        <f>IF(L$2="Y",IF(MaGic_AVM_Land!L8=0,"",MaGic_AVM_Land!L8),"")</f>
        <v/>
      </c>
      <c r="M8" s="70" t="str">
        <f>IF(M$2="Y",IF(MaGic_AVM_Land!M8=0,"",MaGic_AVM_Land!M8),"")</f>
        <v/>
      </c>
      <c r="N8" s="70" t="str">
        <f>IF(N$2="Y",IF(MaGic_AVM_Land!N8=0,"",MaGic_AVM_Land!N8),"")</f>
        <v/>
      </c>
      <c r="O8" s="70" t="str">
        <f>IF(O$2="Y",IF(MaGic_AVM_Land!O8=0,"",MaGic_AVM_Land!O8),"")</f>
        <v/>
      </c>
      <c r="P8" s="70" t="str">
        <f>IF(P$2="Y",IF(MaGic_AVM_Land!P8=0,"",MaGic_AVM_Land!P8),"")</f>
        <v/>
      </c>
      <c r="Q8" s="70" t="str">
        <f>IF(Q$2="Y",IF(MaGic_AVM_Land!Q8=0,"",MaGic_AVM_Land!Q8),"")</f>
        <v/>
      </c>
      <c r="R8" s="70" t="str">
        <f>IF(R$2="Y",IF(MaGic_AVM_Land!R8=0,"",MaGic_AVM_Land!R8),"")</f>
        <v/>
      </c>
      <c r="S8" s="70" t="str">
        <f>IF(S$2="Y",IF(MaGic_AVM_Land!S8=0,"",MaGic_AVM_Land!S8),"")</f>
        <v/>
      </c>
      <c r="T8" s="70" t="str">
        <f>IF(T$2="Y",IF(MaGic_AVM_Land!T8=0,"",MaGic_AVM_Land!T8),"")</f>
        <v/>
      </c>
      <c r="U8" s="70" t="str">
        <f>IF(U$2="Y",IF(MaGic_AVM_Land!U8=0,"",MaGic_AVM_Land!U8),"")</f>
        <v/>
      </c>
      <c r="V8" s="70" t="str">
        <f>IF(V$2="Y",IF(MaGic_AVM_Land!V8=0,"",MaGic_AVM_Land!V8),"")</f>
        <v/>
      </c>
      <c r="W8" s="70" t="str">
        <f>IF(W$2="Y",IF(MaGic_AVM_Land!W8=0,"",MaGic_AVM_Land!W8),"")</f>
        <v/>
      </c>
      <c r="X8" s="70" t="str">
        <f>IF(X$2="Y",IF(MaGic_AVM_Land!X8=0,"",MaGic_AVM_Land!X8),"")</f>
        <v/>
      </c>
      <c r="Y8" s="70" t="str">
        <f>IF(Y$2="Y",IF(MaGic_AVM_Land!Y8=0,"",MaGic_AVM_Land!Y8),"")</f>
        <v/>
      </c>
      <c r="Z8" s="70" t="str">
        <f>IF(Z$2="Y",IF(MaGic_AVM_Land!Z8=0,"",MaGic_AVM_Land!Z8),"")</f>
        <v/>
      </c>
      <c r="AA8" s="69" t="str">
        <f>CONCATENATE(IF(AB8="",AC8,AB8)," District")</f>
        <v>District</v>
      </c>
      <c r="AB8" s="69" t="str" cm="1">
        <f t="array" ref="AB8">_xlfn.UNIQUE(C8:Z8,TRUE,FALSE)</f>
        <v/>
      </c>
    </row>
    <row r="9" spans="1:28">
      <c r="A9" s="70">
        <v>7</v>
      </c>
      <c r="B9" s="70" t="s">
        <v>59</v>
      </c>
      <c r="C9" s="70" t="str">
        <f>IF(C$2="Y",IF(MaGic_AVM_Land!C9=0,"",MaGic_AVM_Land!C9),"")</f>
        <v/>
      </c>
      <c r="D9" s="70" t="str">
        <f>IF(D$2="Y",IF(MaGic_AVM_Land!D9=0,"",MaGic_AVM_Land!D9),"")</f>
        <v/>
      </c>
      <c r="E9" s="70" t="str">
        <f>IF(E$2="Y",IF(MaGic_AVM_Land!E9=0,"",MaGic_AVM_Land!E9),"")</f>
        <v/>
      </c>
      <c r="F9" s="70" t="str">
        <f>IF(F$2="Y",IF(MaGic_AVM_Land!F9=0,"",MaGic_AVM_Land!F9),"")</f>
        <v/>
      </c>
      <c r="G9" s="70" t="str">
        <f>IF(G$2="Y",IF(MaGic_AVM_Land!G9=0,"",MaGic_AVM_Land!G9),"")</f>
        <v/>
      </c>
      <c r="H9" s="70" t="str">
        <f>IF(H$2="Y",IF(MaGic_AVM_Land!H9=0,"",MaGic_AVM_Land!H9),"")</f>
        <v/>
      </c>
      <c r="I9" s="70" t="str">
        <f>IF(I$2="Y",IF(MaGic_AVM_Land!I9=0,"",MaGic_AVM_Land!I9),"")</f>
        <v/>
      </c>
      <c r="J9" s="70" t="str">
        <f>IF(J$2="Y",IF(MaGic_AVM_Land!J9=0,"",MaGic_AVM_Land!J9),"")</f>
        <v/>
      </c>
      <c r="K9" s="70" t="str">
        <f>IF(K$2="Y",IF(MaGic_AVM_Land!K9=0,"",MaGic_AVM_Land!K9),"")</f>
        <v/>
      </c>
      <c r="L9" s="70" t="str">
        <f>IF(L$2="Y",IF(MaGic_AVM_Land!L9=0,"",MaGic_AVM_Land!L9),"")</f>
        <v/>
      </c>
      <c r="M9" s="70" t="str">
        <f>IF(M$2="Y",IF(MaGic_AVM_Land!M9=0,"",MaGic_AVM_Land!M9),"")</f>
        <v/>
      </c>
      <c r="N9" s="70" t="str">
        <f>IF(N$2="Y",IF(MaGic_AVM_Land!N9=0,"",MaGic_AVM_Land!N9),"")</f>
        <v/>
      </c>
      <c r="O9" s="70" t="str">
        <f>IF(O$2="Y",IF(MaGic_AVM_Land!O9=0,"",MaGic_AVM_Land!O9),"")</f>
        <v/>
      </c>
      <c r="P9" s="70" t="str">
        <f>IF(P$2="Y",IF(MaGic_AVM_Land!P9=0,"",MaGic_AVM_Land!P9),"")</f>
        <v/>
      </c>
      <c r="Q9" s="70" t="str">
        <f>IF(Q$2="Y",IF(MaGic_AVM_Land!Q9=0,"",MaGic_AVM_Land!Q9),"")</f>
        <v/>
      </c>
      <c r="R9" s="70" t="str">
        <f>IF(R$2="Y",IF(MaGic_AVM_Land!R9=0,"",MaGic_AVM_Land!R9),"")</f>
        <v/>
      </c>
      <c r="S9" s="70" t="str">
        <f>IF(S$2="Y",IF(MaGic_AVM_Land!S9=0,"",MaGic_AVM_Land!S9),"")</f>
        <v/>
      </c>
      <c r="T9" s="70" t="str">
        <f>IF(T$2="Y",IF(MaGic_AVM_Land!T9=0,"",MaGic_AVM_Land!T9),"")</f>
        <v/>
      </c>
      <c r="U9" s="70" t="str">
        <f>IF(U$2="Y",IF(MaGic_AVM_Land!U9=0,"",MaGic_AVM_Land!U9),"")</f>
        <v/>
      </c>
      <c r="V9" s="70" t="str">
        <f>IF(V$2="Y",IF(MaGic_AVM_Land!V9=0,"",MaGic_AVM_Land!V9),"")</f>
        <v/>
      </c>
      <c r="W9" s="70" t="str">
        <f>IF(W$2="Y",IF(MaGic_AVM_Land!W9=0,"",MaGic_AVM_Land!W9),"")</f>
        <v/>
      </c>
      <c r="X9" s="70" t="str">
        <f>IF(X$2="Y",IF(MaGic_AVM_Land!X9=0,"",MaGic_AVM_Land!X9),"")</f>
        <v/>
      </c>
      <c r="Y9" s="70" t="str">
        <f>IF(Y$2="Y",IF(MaGic_AVM_Land!Y9=0,"",MaGic_AVM_Land!Y9),"")</f>
        <v/>
      </c>
      <c r="Z9" s="70" t="str">
        <f>IF(Z$2="Y",IF(MaGic_AVM_Land!Z9=0,"",MaGic_AVM_Land!Z9),"")</f>
        <v/>
      </c>
      <c r="AA9" s="69" t="str">
        <f>CONCATENATE(IF(AB9="",AC9,AB9)," SRO")</f>
        <v>SRO</v>
      </c>
      <c r="AB9" s="69" t="str" cm="1">
        <f t="array" ref="AB9">_xlfn.UNIQUE(C9:Z9,TRUE,FALSE)</f>
        <v/>
      </c>
    </row>
    <row r="10" spans="1:28">
      <c r="A10" s="70">
        <v>8</v>
      </c>
      <c r="B10" s="70" t="s">
        <v>61</v>
      </c>
      <c r="C10" s="70" t="str">
        <f>IF(C$2="Y",IF(MaGic_AVM_Land!C10=0,"",MaGic_AVM_Land!C10),"")</f>
        <v/>
      </c>
      <c r="D10" s="70" t="str">
        <f>IF(D$2="Y",IF(MaGic_AVM_Land!D10=0,"",MaGic_AVM_Land!D10),"")</f>
        <v/>
      </c>
      <c r="E10" s="70" t="str">
        <f>IF(E$2="Y",IF(MaGic_AVM_Land!E10=0,"",MaGic_AVM_Land!E10),"")</f>
        <v/>
      </c>
      <c r="F10" s="70" t="str">
        <f>IF(F$2="Y",IF(MaGic_AVM_Land!F10=0,"",MaGic_AVM_Land!F10),"")</f>
        <v/>
      </c>
      <c r="G10" s="70" t="str">
        <f>IF(G$2="Y",IF(MaGic_AVM_Land!G10=0,"",MaGic_AVM_Land!G10),"")</f>
        <v/>
      </c>
      <c r="H10" s="70" t="str">
        <f>IF(H$2="Y",IF(MaGic_AVM_Land!H10=0,"",MaGic_AVM_Land!H10),"")</f>
        <v/>
      </c>
      <c r="I10" s="70" t="str">
        <f>IF(I$2="Y",IF(MaGic_AVM_Land!I10=0,"",MaGic_AVM_Land!I10),"")</f>
        <v/>
      </c>
      <c r="J10" s="70" t="str">
        <f>IF(J$2="Y",IF(MaGic_AVM_Land!J10=0,"",MaGic_AVM_Land!J10),"")</f>
        <v/>
      </c>
      <c r="K10" s="70" t="str">
        <f>IF(K$2="Y",IF(MaGic_AVM_Land!K10=0,"",MaGic_AVM_Land!K10),"")</f>
        <v/>
      </c>
      <c r="L10" s="70" t="str">
        <f>IF(L$2="Y",IF(MaGic_AVM_Land!L10=0,"",MaGic_AVM_Land!L10),"")</f>
        <v/>
      </c>
      <c r="M10" s="70" t="str">
        <f>IF(M$2="Y",IF(MaGic_AVM_Land!M10=0,"",MaGic_AVM_Land!M10),"")</f>
        <v/>
      </c>
      <c r="N10" s="70" t="str">
        <f>IF(N$2="Y",IF(MaGic_AVM_Land!N10=0,"",MaGic_AVM_Land!N10),"")</f>
        <v/>
      </c>
      <c r="O10" s="70" t="str">
        <f>IF(O$2="Y",IF(MaGic_AVM_Land!O10=0,"",MaGic_AVM_Land!O10),"")</f>
        <v/>
      </c>
      <c r="P10" s="70" t="str">
        <f>IF(P$2="Y",IF(MaGic_AVM_Land!P10=0,"",MaGic_AVM_Land!P10),"")</f>
        <v/>
      </c>
      <c r="Q10" s="70" t="str">
        <f>IF(Q$2="Y",IF(MaGic_AVM_Land!Q10=0,"",MaGic_AVM_Land!Q10),"")</f>
        <v/>
      </c>
      <c r="R10" s="70" t="str">
        <f>IF(R$2="Y",IF(MaGic_AVM_Land!R10=0,"",MaGic_AVM_Land!R10),"")</f>
        <v/>
      </c>
      <c r="S10" s="70" t="str">
        <f>IF(S$2="Y",IF(MaGic_AVM_Land!S10=0,"",MaGic_AVM_Land!S10),"")</f>
        <v/>
      </c>
      <c r="T10" s="70" t="str">
        <f>IF(T$2="Y",IF(MaGic_AVM_Land!T10=0,"",MaGic_AVM_Land!T10),"")</f>
        <v/>
      </c>
      <c r="U10" s="70" t="str">
        <f>IF(U$2="Y",IF(MaGic_AVM_Land!U10=0,"",MaGic_AVM_Land!U10),"")</f>
        <v/>
      </c>
      <c r="V10" s="70" t="str">
        <f>IF(V$2="Y",IF(MaGic_AVM_Land!V10=0,"",MaGic_AVM_Land!V10),"")</f>
        <v/>
      </c>
      <c r="W10" s="70" t="str">
        <f>IF(W$2="Y",IF(MaGic_AVM_Land!W10=0,"",MaGic_AVM_Land!W10),"")</f>
        <v/>
      </c>
      <c r="X10" s="70" t="str">
        <f>IF(X$2="Y",IF(MaGic_AVM_Land!X10=0,"",MaGic_AVM_Land!X10),"")</f>
        <v/>
      </c>
      <c r="Y10" s="70" t="str">
        <f>IF(Y$2="Y",IF(MaGic_AVM_Land!Y10=0,"",MaGic_AVM_Land!Y10),"")</f>
        <v/>
      </c>
      <c r="Z10" s="70" t="str">
        <f>IF(Z$2="Y",IF(MaGic_AVM_Land!Z10=0,"",MaGic_AVM_Land!Z10),"")</f>
        <v/>
      </c>
      <c r="AA10" s="69" t="str">
        <f>CONCATENATE(IF(AB10="",AC10,AB10)," Taluk")</f>
        <v>Taluk</v>
      </c>
      <c r="AB10" s="69" t="str" cm="1">
        <f t="array" ref="AB10">_xlfn.UNIQUE(C10:Z10,TRUE,FALSE)</f>
        <v/>
      </c>
    </row>
    <row r="11" spans="1:28">
      <c r="A11" s="70">
        <v>9</v>
      </c>
      <c r="B11" s="70" t="s">
        <v>63</v>
      </c>
      <c r="C11" s="70" t="str">
        <f>IF(C$2="Y",IF(MaGic_AVM_Land!C11=0,"",MaGic_AVM_Land!C11),"")</f>
        <v/>
      </c>
      <c r="D11" s="70" t="str">
        <f>IF(D$2="Y",IF(MaGic_AVM_Land!D11=0,"",MaGic_AVM_Land!D11),"")</f>
        <v/>
      </c>
      <c r="E11" s="70" t="str">
        <f>IF(E$2="Y",IF(MaGic_AVM_Land!E11=0,"",MaGic_AVM_Land!E11),"")</f>
        <v/>
      </c>
      <c r="F11" s="70" t="str">
        <f>IF(F$2="Y",IF(MaGic_AVM_Land!F11=0,"",MaGic_AVM_Land!F11),"")</f>
        <v/>
      </c>
      <c r="G11" s="70" t="str">
        <f>IF(G$2="Y",IF(MaGic_AVM_Land!G11=0,"",MaGic_AVM_Land!G11),"")</f>
        <v/>
      </c>
      <c r="H11" s="70" t="str">
        <f>IF(H$2="Y",IF(MaGic_AVM_Land!H11=0,"",MaGic_AVM_Land!H11),"")</f>
        <v/>
      </c>
      <c r="I11" s="70" t="str">
        <f>IF(I$2="Y",IF(MaGic_AVM_Land!I11=0,"",MaGic_AVM_Land!I11),"")</f>
        <v/>
      </c>
      <c r="J11" s="70" t="str">
        <f>IF(J$2="Y",IF(MaGic_AVM_Land!J11=0,"",MaGic_AVM_Land!J11),"")</f>
        <v/>
      </c>
      <c r="K11" s="70" t="str">
        <f>IF(K$2="Y",IF(MaGic_AVM_Land!K11=0,"",MaGic_AVM_Land!K11),"")</f>
        <v/>
      </c>
      <c r="L11" s="70" t="str">
        <f>IF(L$2="Y",IF(MaGic_AVM_Land!L11=0,"",MaGic_AVM_Land!L11),"")</f>
        <v/>
      </c>
      <c r="M11" s="70" t="str">
        <f>IF(M$2="Y",IF(MaGic_AVM_Land!M11=0,"",MaGic_AVM_Land!M11),"")</f>
        <v/>
      </c>
      <c r="N11" s="70" t="str">
        <f>IF(N$2="Y",IF(MaGic_AVM_Land!N11=0,"",MaGic_AVM_Land!N11),"")</f>
        <v/>
      </c>
      <c r="O11" s="70" t="str">
        <f>IF(O$2="Y",IF(MaGic_AVM_Land!O11=0,"",MaGic_AVM_Land!O11),"")</f>
        <v/>
      </c>
      <c r="P11" s="70" t="str">
        <f>IF(P$2="Y",IF(MaGic_AVM_Land!P11=0,"",MaGic_AVM_Land!P11),"")</f>
        <v/>
      </c>
      <c r="Q11" s="70" t="str">
        <f>IF(Q$2="Y",IF(MaGic_AVM_Land!Q11=0,"",MaGic_AVM_Land!Q11),"")</f>
        <v/>
      </c>
      <c r="R11" s="70" t="str">
        <f>IF(R$2="Y",IF(MaGic_AVM_Land!R11=0,"",MaGic_AVM_Land!R11),"")</f>
        <v/>
      </c>
      <c r="S11" s="70" t="str">
        <f>IF(S$2="Y",IF(MaGic_AVM_Land!S11=0,"",MaGic_AVM_Land!S11),"")</f>
        <v/>
      </c>
      <c r="T11" s="70" t="str">
        <f>IF(T$2="Y",IF(MaGic_AVM_Land!T11=0,"",MaGic_AVM_Land!T11),"")</f>
        <v/>
      </c>
      <c r="U11" s="70" t="str">
        <f>IF(U$2="Y",IF(MaGic_AVM_Land!U11=0,"",MaGic_AVM_Land!U11),"")</f>
        <v/>
      </c>
      <c r="V11" s="70" t="str">
        <f>IF(V$2="Y",IF(MaGic_AVM_Land!V11=0,"",MaGic_AVM_Land!V11),"")</f>
        <v/>
      </c>
      <c r="W11" s="70" t="str">
        <f>IF(W$2="Y",IF(MaGic_AVM_Land!W11=0,"",MaGic_AVM_Land!W11),"")</f>
        <v/>
      </c>
      <c r="X11" s="70" t="str">
        <f>IF(X$2="Y",IF(MaGic_AVM_Land!X11=0,"",MaGic_AVM_Land!X11),"")</f>
        <v/>
      </c>
      <c r="Y11" s="70" t="str">
        <f>IF(Y$2="Y",IF(MaGic_AVM_Land!Y11=0,"",MaGic_AVM_Land!Y11),"")</f>
        <v/>
      </c>
      <c r="Z11" s="70" t="str">
        <f>IF(Z$2="Y",IF(MaGic_AVM_Land!Z11=0,"",MaGic_AVM_Land!Z11),"")</f>
        <v/>
      </c>
      <c r="AA11" s="69" t="str">
        <f>CONCATENATE(IF(AB11="",AC11,AB11)," Village")</f>
        <v>Village</v>
      </c>
      <c r="AB11" s="69" t="str" cm="1">
        <f t="array" ref="AB11">_xlfn.UNIQUE(C11:Z11,TRUE,FALSE)</f>
        <v/>
      </c>
    </row>
    <row r="12" spans="1:28">
      <c r="A12" s="70">
        <v>10</v>
      </c>
      <c r="B12" s="70" t="s">
        <v>65</v>
      </c>
      <c r="C12" s="70" t="str">
        <f>IF(C$2="Y",IF(MaGic_AVM_Land!C12=0,"",MaGic_AVM_Land!C12),"")</f>
        <v/>
      </c>
      <c r="D12" s="70" t="str">
        <f>IF(D$2="Y",IF(MaGic_AVM_Land!D12=0,"",MaGic_AVM_Land!D12),"")</f>
        <v/>
      </c>
      <c r="E12" s="70" t="str">
        <f>IF(E$2="Y",IF(MaGic_AVM_Land!E12=0,"",MaGic_AVM_Land!E12),"")</f>
        <v/>
      </c>
      <c r="F12" s="70" t="str">
        <f>IF(F$2="Y",IF(MaGic_AVM_Land!F12=0,"",MaGic_AVM_Land!F12),"")</f>
        <v/>
      </c>
      <c r="G12" s="70" t="str">
        <f>IF(G$2="Y",IF(MaGic_AVM_Land!G12=0,"",MaGic_AVM_Land!G12),"")</f>
        <v/>
      </c>
      <c r="H12" s="70" t="str">
        <f>IF(H$2="Y",IF(MaGic_AVM_Land!H12=0,"",MaGic_AVM_Land!H12),"")</f>
        <v/>
      </c>
      <c r="I12" s="70" t="str">
        <f>IF(I$2="Y",IF(MaGic_AVM_Land!I12=0,"",MaGic_AVM_Land!I12),"")</f>
        <v/>
      </c>
      <c r="J12" s="70" t="str">
        <f>IF(J$2="Y",IF(MaGic_AVM_Land!J12=0,"",MaGic_AVM_Land!J12),"")</f>
        <v/>
      </c>
      <c r="K12" s="70" t="str">
        <f>IF(K$2="Y",IF(MaGic_AVM_Land!K12=0,"",MaGic_AVM_Land!K12),"")</f>
        <v/>
      </c>
      <c r="L12" s="70" t="str">
        <f>IF(L$2="Y",IF(MaGic_AVM_Land!L12=0,"",MaGic_AVM_Land!L12),"")</f>
        <v/>
      </c>
      <c r="M12" s="70" t="str">
        <f>IF(M$2="Y",IF(MaGic_AVM_Land!M12=0,"",MaGic_AVM_Land!M12),"")</f>
        <v/>
      </c>
      <c r="N12" s="70" t="str">
        <f>IF(N$2="Y",IF(MaGic_AVM_Land!N12=0,"",MaGic_AVM_Land!N12),"")</f>
        <v/>
      </c>
      <c r="O12" s="70" t="str">
        <f>IF(O$2="Y",IF(MaGic_AVM_Land!O12=0,"",MaGic_AVM_Land!O12),"")</f>
        <v/>
      </c>
      <c r="P12" s="70" t="str">
        <f>IF(P$2="Y",IF(MaGic_AVM_Land!P12=0,"",MaGic_AVM_Land!P12),"")</f>
        <v/>
      </c>
      <c r="Q12" s="70" t="str">
        <f>IF(Q$2="Y",IF(MaGic_AVM_Land!Q12=0,"",MaGic_AVM_Land!Q12),"")</f>
        <v/>
      </c>
      <c r="R12" s="70" t="str">
        <f>IF(R$2="Y",IF(MaGic_AVM_Land!R12=0,"",MaGic_AVM_Land!R12),"")</f>
        <v/>
      </c>
      <c r="S12" s="70" t="str">
        <f>IF(S$2="Y",IF(MaGic_AVM_Land!S12=0,"",MaGic_AVM_Land!S12),"")</f>
        <v/>
      </c>
      <c r="T12" s="70" t="str">
        <f>IF(T$2="Y",IF(MaGic_AVM_Land!T12=0,"",MaGic_AVM_Land!T12),"")</f>
        <v/>
      </c>
      <c r="U12" s="70" t="str">
        <f>IF(U$2="Y",IF(MaGic_AVM_Land!U12=0,"",MaGic_AVM_Land!U12),"")</f>
        <v/>
      </c>
      <c r="V12" s="70" t="str">
        <f>IF(V$2="Y",IF(MaGic_AVM_Land!V12=0,"",MaGic_AVM_Land!V12),"")</f>
        <v/>
      </c>
      <c r="W12" s="70" t="str">
        <f>IF(W$2="Y",IF(MaGic_AVM_Land!W12=0,"",MaGic_AVM_Land!W12),"")</f>
        <v/>
      </c>
      <c r="X12" s="70" t="str">
        <f>IF(X$2="Y",IF(MaGic_AVM_Land!X12=0,"",MaGic_AVM_Land!X12),"")</f>
        <v/>
      </c>
      <c r="Y12" s="70" t="str">
        <f>IF(Y$2="Y",IF(MaGic_AVM_Land!Y12=0,"",MaGic_AVM_Land!Y12),"")</f>
        <v/>
      </c>
      <c r="Z12" s="70" t="str">
        <f>IF(Z$2="Y",IF(MaGic_AVM_Land!Z12=0,"",MaGic_AVM_Land!Z12),"")</f>
        <v/>
      </c>
      <c r="AA12" s="69" t="str">
        <f>CONCATENATE(IF(AB12="",AC12,AB12))</f>
        <v/>
      </c>
      <c r="AB12" s="69" t="str" cm="1">
        <f t="array" ref="AB12">_xlfn.UNIQUE(C12:Z12,TRUE,FALSE)</f>
        <v/>
      </c>
    </row>
    <row r="13" spans="1:28">
      <c r="A13" s="70">
        <v>11</v>
      </c>
      <c r="B13" s="70" t="s">
        <v>67</v>
      </c>
      <c r="C13" s="71" t="str">
        <f>IF(C$2="Y",IF(MaGic_AVM_Land!C13=0,"",MaGic_AVM_Land!C13),"")</f>
        <v/>
      </c>
      <c r="D13" s="71" t="str">
        <f>IF(D$2="Y",IF(MaGic_AVM_Land!D13=0,"",MaGic_AVM_Land!D13),"")</f>
        <v/>
      </c>
      <c r="E13" s="71" t="str">
        <f>IF(E$2="Y",IF(MaGic_AVM_Land!E13=0,"",MaGic_AVM_Land!E13),"")</f>
        <v/>
      </c>
      <c r="F13" s="71" t="str">
        <f>IF(F$2="Y",IF(MaGic_AVM_Land!F13=0,"",MaGic_AVM_Land!F13),"")</f>
        <v/>
      </c>
      <c r="G13" s="71" t="str">
        <f>IF(G$2="Y",IF(MaGic_AVM_Land!G13=0,"",MaGic_AVM_Land!G13),"")</f>
        <v/>
      </c>
      <c r="H13" s="71" t="str">
        <f>IF(H$2="Y",IF(MaGic_AVM_Land!H13=0,"",MaGic_AVM_Land!H13),"")</f>
        <v/>
      </c>
      <c r="I13" s="71" t="str">
        <f>IF(I$2="Y",IF(MaGic_AVM_Land!I13=0,"",MaGic_AVM_Land!I13),"")</f>
        <v/>
      </c>
      <c r="J13" s="71" t="str">
        <f>IF(J$2="Y",IF(MaGic_AVM_Land!J13=0,"",MaGic_AVM_Land!J13),"")</f>
        <v/>
      </c>
      <c r="K13" s="71" t="str">
        <f>IF(K$2="Y",IF(MaGic_AVM_Land!K13=0,"",MaGic_AVM_Land!K13),"")</f>
        <v/>
      </c>
      <c r="L13" s="71" t="str">
        <f>IF(L$2="Y",IF(MaGic_AVM_Land!L13=0,"",MaGic_AVM_Land!L13),"")</f>
        <v/>
      </c>
      <c r="M13" s="71" t="str">
        <f>IF(M$2="Y",IF(MaGic_AVM_Land!M13=0,"",MaGic_AVM_Land!M13),"")</f>
        <v/>
      </c>
      <c r="N13" s="71" t="str">
        <f>IF(N$2="Y",IF(MaGic_AVM_Land!N13=0,"",MaGic_AVM_Land!N13),"")</f>
        <v/>
      </c>
      <c r="O13" s="71" t="str">
        <f>IF(O$2="Y",IF(MaGic_AVM_Land!O13=0,"",MaGic_AVM_Land!O13),"")</f>
        <v/>
      </c>
      <c r="P13" s="71" t="str">
        <f>IF(P$2="Y",IF(MaGic_AVM_Land!P13=0,"",MaGic_AVM_Land!P13),"")</f>
        <v/>
      </c>
      <c r="Q13" s="71" t="str">
        <f>IF(Q$2="Y",IF(MaGic_AVM_Land!Q13=0,"",MaGic_AVM_Land!Q13),"")</f>
        <v/>
      </c>
      <c r="R13" s="71" t="str">
        <f>IF(R$2="Y",IF(MaGic_AVM_Land!R13=0,"",MaGic_AVM_Land!R13),"")</f>
        <v/>
      </c>
      <c r="S13" s="71" t="str">
        <f>IF(S$2="Y",IF(MaGic_AVM_Land!S13=0,"",MaGic_AVM_Land!S13),"")</f>
        <v/>
      </c>
      <c r="T13" s="71" t="str">
        <f>IF(T$2="Y",IF(MaGic_AVM_Land!T13=0,"",MaGic_AVM_Land!T13),"")</f>
        <v/>
      </c>
      <c r="U13" s="71" t="str">
        <f>IF(U$2="Y",IF(MaGic_AVM_Land!U13=0,"",MaGic_AVM_Land!U13),"")</f>
        <v/>
      </c>
      <c r="V13" s="71" t="str">
        <f>IF(V$2="Y",IF(MaGic_AVM_Land!V13=0,"",MaGic_AVM_Land!V13),"")</f>
        <v/>
      </c>
      <c r="W13" s="71" t="str">
        <f>IF(W$2="Y",IF(MaGic_AVM_Land!W13=0,"",MaGic_AVM_Land!W13),"")</f>
        <v/>
      </c>
      <c r="X13" s="71" t="str">
        <f>IF(X$2="Y",IF(MaGic_AVM_Land!X13=0,"",MaGic_AVM_Land!X13),"")</f>
        <v/>
      </c>
      <c r="Y13" s="71" t="str">
        <f>IF(Y$2="Y",IF(MaGic_AVM_Land!Y13=0,"",MaGic_AVM_Land!Y13),"")</f>
        <v/>
      </c>
      <c r="Z13" s="71" t="str">
        <f>IF(Z$2="Y",IF(MaGic_AVM_Land!Z13=0,"",MaGic_AVM_Land!Z13),"")</f>
        <v/>
      </c>
      <c r="AA13" s="69" t="str">
        <f>CONCATENATE(IF(AB13="",AC13,AB13)," ",AA12)</f>
        <v/>
      </c>
      <c r="AB13" s="69" t="str" cm="1">
        <f t="array" ref="AB13">_xlfn.UNIQUE(C13:Z13,TRUE,FALSE)</f>
        <v/>
      </c>
    </row>
    <row r="14" spans="1:28">
      <c r="A14" s="70">
        <v>12</v>
      </c>
      <c r="B14" s="70" t="s">
        <v>69</v>
      </c>
      <c r="C14" s="71" t="str">
        <f>IF(C$2="Y",IF(MaGic_AVM_Land!C14=0,"",MaGic_AVM_Land!C14),"")</f>
        <v/>
      </c>
      <c r="D14" s="71" t="str">
        <f>IF(D$2="Y",IF(MaGic_AVM_Land!D14=0,"",MaGic_AVM_Land!D14),"")</f>
        <v/>
      </c>
      <c r="E14" s="71" t="str">
        <f>IF(E$2="Y",IF(MaGic_AVM_Land!E14=0,"",MaGic_AVM_Land!E14),"")</f>
        <v/>
      </c>
      <c r="F14" s="71" t="str">
        <f>IF(F$2="Y",IF(MaGic_AVM_Land!F14=0,"",MaGic_AVM_Land!F14),"")</f>
        <v/>
      </c>
      <c r="G14" s="71" t="str">
        <f>IF(G$2="Y",IF(MaGic_AVM_Land!G14=0,"",MaGic_AVM_Land!G14),"")</f>
        <v/>
      </c>
      <c r="H14" s="71" t="str">
        <f>IF(H$2="Y",IF(MaGic_AVM_Land!H14=0,"",MaGic_AVM_Land!H14),"")</f>
        <v/>
      </c>
      <c r="I14" s="71" t="str">
        <f>IF(I$2="Y",IF(MaGic_AVM_Land!I14=0,"",MaGic_AVM_Land!I14),"")</f>
        <v/>
      </c>
      <c r="J14" s="71" t="str">
        <f>IF(J$2="Y",IF(MaGic_AVM_Land!J14=0,"",MaGic_AVM_Land!J14),"")</f>
        <v/>
      </c>
      <c r="K14" s="71" t="str">
        <f>IF(K$2="Y",IF(MaGic_AVM_Land!K14=0,"",MaGic_AVM_Land!K14),"")</f>
        <v/>
      </c>
      <c r="L14" s="71" t="str">
        <f>IF(L$2="Y",IF(MaGic_AVM_Land!L14=0,"",MaGic_AVM_Land!L14),"")</f>
        <v/>
      </c>
      <c r="M14" s="71" t="str">
        <f>IF(M$2="Y",IF(MaGic_AVM_Land!M14=0,"",MaGic_AVM_Land!M14),"")</f>
        <v/>
      </c>
      <c r="N14" s="71" t="str">
        <f>IF(N$2="Y",IF(MaGic_AVM_Land!N14=0,"",MaGic_AVM_Land!N14),"")</f>
        <v/>
      </c>
      <c r="O14" s="71" t="str">
        <f>IF(O$2="Y",IF(MaGic_AVM_Land!O14=0,"",MaGic_AVM_Land!O14),"")</f>
        <v/>
      </c>
      <c r="P14" s="71" t="str">
        <f>IF(P$2="Y",IF(MaGic_AVM_Land!P14=0,"",MaGic_AVM_Land!P14),"")</f>
        <v/>
      </c>
      <c r="Q14" s="71" t="str">
        <f>IF(Q$2="Y",IF(MaGic_AVM_Land!Q14=0,"",MaGic_AVM_Land!Q14),"")</f>
        <v/>
      </c>
      <c r="R14" s="71" t="str">
        <f>IF(R$2="Y",IF(MaGic_AVM_Land!R14=0,"",MaGic_AVM_Land!R14),"")</f>
        <v/>
      </c>
      <c r="S14" s="71" t="str">
        <f>IF(S$2="Y",IF(MaGic_AVM_Land!S14=0,"",MaGic_AVM_Land!S14),"")</f>
        <v/>
      </c>
      <c r="T14" s="71" t="str">
        <f>IF(T$2="Y",IF(MaGic_AVM_Land!T14=0,"",MaGic_AVM_Land!T14),"")</f>
        <v/>
      </c>
      <c r="U14" s="71" t="str">
        <f>IF(U$2="Y",IF(MaGic_AVM_Land!U14=0,"",MaGic_AVM_Land!U14),"")</f>
        <v/>
      </c>
      <c r="V14" s="71" t="str">
        <f>IF(V$2="Y",IF(MaGic_AVM_Land!V14=0,"",MaGic_AVM_Land!V14),"")</f>
        <v/>
      </c>
      <c r="W14" s="71" t="str">
        <f>IF(W$2="Y",IF(MaGic_AVM_Land!W14=0,"",MaGic_AVM_Land!W14),"")</f>
        <v/>
      </c>
      <c r="X14" s="71" t="str">
        <f>IF(X$2="Y",IF(MaGic_AVM_Land!X14=0,"",MaGic_AVM_Land!X14),"")</f>
        <v/>
      </c>
      <c r="Y14" s="71" t="str">
        <f>IF(Y$2="Y",IF(MaGic_AVM_Land!Y14=0,"",MaGic_AVM_Land!Y14),"")</f>
        <v/>
      </c>
      <c r="Z14" s="71" t="str">
        <f>IF(Z$2="Y",IF(MaGic_AVM_Land!Z14=0,"",MaGic_AVM_Land!Z14),"")</f>
        <v/>
      </c>
      <c r="AA14" s="69" t="str">
        <f t="shared" ref="AA14:AA18" si="1">_xlfn.TEXTJOIN(",",TRUE,AB14:AZ14)</f>
        <v/>
      </c>
      <c r="AB14" s="69" t="str" cm="1">
        <f t="array" ref="AB14">_xlfn.UNIQUE(C14:Z14,TRUE,FALSE)</f>
        <v/>
      </c>
    </row>
    <row r="15" spans="1:28">
      <c r="A15" s="70">
        <v>13</v>
      </c>
      <c r="B15" s="70" t="s">
        <v>70</v>
      </c>
      <c r="C15" s="71" t="str">
        <f>IF(C$2="Y",IF(MaGic_AVM_Land!C15=0,"",MaGic_AVM_Land!C15),"")</f>
        <v/>
      </c>
      <c r="D15" s="71" t="str">
        <f>IF(D$2="Y",IF(MaGic_AVM_Land!D15=0,"",MaGic_AVM_Land!D15),"")</f>
        <v/>
      </c>
      <c r="E15" s="71" t="str">
        <f>IF(E$2="Y",IF(MaGic_AVM_Land!E15=0,"",MaGic_AVM_Land!E15),"")</f>
        <v/>
      </c>
      <c r="F15" s="71" t="str">
        <f>IF(F$2="Y",IF(MaGic_AVM_Land!F15=0,"",MaGic_AVM_Land!F15),"")</f>
        <v/>
      </c>
      <c r="G15" s="71" t="str">
        <f>IF(G$2="Y",IF(MaGic_AVM_Land!G15=0,"",MaGic_AVM_Land!G15),"")</f>
        <v/>
      </c>
      <c r="H15" s="71" t="str">
        <f>IF(H$2="Y",IF(MaGic_AVM_Land!H15=0,"",MaGic_AVM_Land!H15),"")</f>
        <v/>
      </c>
      <c r="I15" s="71" t="str">
        <f>IF(I$2="Y",IF(MaGic_AVM_Land!I15=0,"",MaGic_AVM_Land!I15),"")</f>
        <v/>
      </c>
      <c r="J15" s="71" t="str">
        <f>IF(J$2="Y",IF(MaGic_AVM_Land!J15=0,"",MaGic_AVM_Land!J15),"")</f>
        <v/>
      </c>
      <c r="K15" s="71" t="str">
        <f>IF(K$2="Y",IF(MaGic_AVM_Land!K15=0,"",MaGic_AVM_Land!K15),"")</f>
        <v/>
      </c>
      <c r="L15" s="71" t="str">
        <f>IF(L$2="Y",IF(MaGic_AVM_Land!L15=0,"",MaGic_AVM_Land!L15),"")</f>
        <v/>
      </c>
      <c r="M15" s="71" t="str">
        <f>IF(M$2="Y",IF(MaGic_AVM_Land!M15=0,"",MaGic_AVM_Land!M15),"")</f>
        <v/>
      </c>
      <c r="N15" s="71" t="str">
        <f>IF(N$2="Y",IF(MaGic_AVM_Land!N15=0,"",MaGic_AVM_Land!N15),"")</f>
        <v/>
      </c>
      <c r="O15" s="71" t="str">
        <f>IF(O$2="Y",IF(MaGic_AVM_Land!O15=0,"",MaGic_AVM_Land!O15),"")</f>
        <v/>
      </c>
      <c r="P15" s="71" t="str">
        <f>IF(P$2="Y",IF(MaGic_AVM_Land!P15=0,"",MaGic_AVM_Land!P15),"")</f>
        <v/>
      </c>
      <c r="Q15" s="71" t="str">
        <f>IF(Q$2="Y",IF(MaGic_AVM_Land!Q15=0,"",MaGic_AVM_Land!Q15),"")</f>
        <v/>
      </c>
      <c r="R15" s="71" t="str">
        <f>IF(R$2="Y",IF(MaGic_AVM_Land!R15=0,"",MaGic_AVM_Land!R15),"")</f>
        <v/>
      </c>
      <c r="S15" s="71" t="str">
        <f>IF(S$2="Y",IF(MaGic_AVM_Land!S15=0,"",MaGic_AVM_Land!S15),"")</f>
        <v/>
      </c>
      <c r="T15" s="71" t="str">
        <f>IF(T$2="Y",IF(MaGic_AVM_Land!T15=0,"",MaGic_AVM_Land!T15),"")</f>
        <v/>
      </c>
      <c r="U15" s="71" t="str">
        <f>IF(U$2="Y",IF(MaGic_AVM_Land!U15=0,"",MaGic_AVM_Land!U15),"")</f>
        <v/>
      </c>
      <c r="V15" s="71" t="str">
        <f>IF(V$2="Y",IF(MaGic_AVM_Land!V15=0,"",MaGic_AVM_Land!V15),"")</f>
        <v/>
      </c>
      <c r="W15" s="71" t="str">
        <f>IF(W$2="Y",IF(MaGic_AVM_Land!W15=0,"",MaGic_AVM_Land!W15),"")</f>
        <v/>
      </c>
      <c r="X15" s="71" t="str">
        <f>IF(X$2="Y",IF(MaGic_AVM_Land!X15=0,"",MaGic_AVM_Land!X15),"")</f>
        <v/>
      </c>
      <c r="Y15" s="71" t="str">
        <f>IF(Y$2="Y",IF(MaGic_AVM_Land!Y15=0,"",MaGic_AVM_Land!Y15),"")</f>
        <v/>
      </c>
      <c r="Z15" s="71" t="str">
        <f>IF(Z$2="Y",IF(MaGic_AVM_Land!Z15=0,"",MaGic_AVM_Land!Z15),"")</f>
        <v/>
      </c>
      <c r="AA15" s="69" t="str">
        <f t="shared" si="1"/>
        <v/>
      </c>
      <c r="AB15" s="69" t="str" cm="1">
        <f t="array" ref="AB15">_xlfn.UNIQUE(C15:Z15,TRUE,FALSE)</f>
        <v/>
      </c>
    </row>
    <row r="16" spans="1:28">
      <c r="A16" s="70">
        <v>14</v>
      </c>
      <c r="B16" s="70" t="s">
        <v>71</v>
      </c>
      <c r="C16" s="71" t="str">
        <f>IF(C$2="Y",IF(MaGic_AVM_Land!C16=0,"",MaGic_AVM_Land!C16),"")</f>
        <v/>
      </c>
      <c r="D16" s="71" t="str">
        <f>IF(D$2="Y",IF(MaGic_AVM_Land!D16=0,"",MaGic_AVM_Land!D16),"")</f>
        <v/>
      </c>
      <c r="E16" s="71" t="str">
        <f>IF(E$2="Y",IF(MaGic_AVM_Land!E16=0,"",MaGic_AVM_Land!E16),"")</f>
        <v/>
      </c>
      <c r="F16" s="71" t="str">
        <f>IF(F$2="Y",IF(MaGic_AVM_Land!F16=0,"",MaGic_AVM_Land!F16),"")</f>
        <v/>
      </c>
      <c r="G16" s="71" t="str">
        <f>IF(G$2="Y",IF(MaGic_AVM_Land!G16=0,"",MaGic_AVM_Land!G16),"")</f>
        <v/>
      </c>
      <c r="H16" s="71" t="str">
        <f>IF(H$2="Y",IF(MaGic_AVM_Land!H16=0,"",MaGic_AVM_Land!H16),"")</f>
        <v/>
      </c>
      <c r="I16" s="71" t="str">
        <f>IF(I$2="Y",IF(MaGic_AVM_Land!I16=0,"",MaGic_AVM_Land!I16),"")</f>
        <v/>
      </c>
      <c r="J16" s="71" t="str">
        <f>IF(J$2="Y",IF(MaGic_AVM_Land!J16=0,"",MaGic_AVM_Land!J16),"")</f>
        <v/>
      </c>
      <c r="K16" s="71" t="str">
        <f>IF(K$2="Y",IF(MaGic_AVM_Land!K16=0,"",MaGic_AVM_Land!K16),"")</f>
        <v/>
      </c>
      <c r="L16" s="71" t="str">
        <f>IF(L$2="Y",IF(MaGic_AVM_Land!L16=0,"",MaGic_AVM_Land!L16),"")</f>
        <v/>
      </c>
      <c r="M16" s="71" t="str">
        <f>IF(M$2="Y",IF(MaGic_AVM_Land!M16=0,"",MaGic_AVM_Land!M16),"")</f>
        <v/>
      </c>
      <c r="N16" s="71" t="str">
        <f>IF(N$2="Y",IF(MaGic_AVM_Land!N16=0,"",MaGic_AVM_Land!N16),"")</f>
        <v/>
      </c>
      <c r="O16" s="71" t="str">
        <f>IF(O$2="Y",IF(MaGic_AVM_Land!O16=0,"",MaGic_AVM_Land!O16),"")</f>
        <v/>
      </c>
      <c r="P16" s="71" t="str">
        <f>IF(P$2="Y",IF(MaGic_AVM_Land!P16=0,"",MaGic_AVM_Land!P16),"")</f>
        <v/>
      </c>
      <c r="Q16" s="71" t="str">
        <f>IF(Q$2="Y",IF(MaGic_AVM_Land!Q16=0,"",MaGic_AVM_Land!Q16),"")</f>
        <v/>
      </c>
      <c r="R16" s="71" t="str">
        <f>IF(R$2="Y",IF(MaGic_AVM_Land!R16=0,"",MaGic_AVM_Land!R16),"")</f>
        <v/>
      </c>
      <c r="S16" s="71" t="str">
        <f>IF(S$2="Y",IF(MaGic_AVM_Land!S16=0,"",MaGic_AVM_Land!S16),"")</f>
        <v/>
      </c>
      <c r="T16" s="71" t="str">
        <f>IF(T$2="Y",IF(MaGic_AVM_Land!T16=0,"",MaGic_AVM_Land!T16),"")</f>
        <v/>
      </c>
      <c r="U16" s="71" t="str">
        <f>IF(U$2="Y",IF(MaGic_AVM_Land!U16=0,"",MaGic_AVM_Land!U16),"")</f>
        <v/>
      </c>
      <c r="V16" s="71" t="str">
        <f>IF(V$2="Y",IF(MaGic_AVM_Land!V16=0,"",MaGic_AVM_Land!V16),"")</f>
        <v/>
      </c>
      <c r="W16" s="71" t="str">
        <f>IF(W$2="Y",IF(MaGic_AVM_Land!W16=0,"",MaGic_AVM_Land!W16),"")</f>
        <v/>
      </c>
      <c r="X16" s="71" t="str">
        <f>IF(X$2="Y",IF(MaGic_AVM_Land!X16=0,"",MaGic_AVM_Land!X16),"")</f>
        <v/>
      </c>
      <c r="Y16" s="71" t="str">
        <f>IF(Y$2="Y",IF(MaGic_AVM_Land!Y16=0,"",MaGic_AVM_Land!Y16),"")</f>
        <v/>
      </c>
      <c r="Z16" s="71" t="str">
        <f>IF(Z$2="Y",IF(MaGic_AVM_Land!Z16=0,"",MaGic_AVM_Land!Z16),"")</f>
        <v/>
      </c>
      <c r="AA16" s="69" t="str">
        <f t="shared" si="1"/>
        <v/>
      </c>
      <c r="AB16" s="69" t="str" cm="1">
        <f t="array" ref="AB16">_xlfn.UNIQUE(C16:Z16,TRUE,FALSE)</f>
        <v/>
      </c>
    </row>
    <row r="17" spans="1:28">
      <c r="A17" s="70">
        <v>15</v>
      </c>
      <c r="B17" s="70" t="s">
        <v>77</v>
      </c>
      <c r="C17" s="71" t="str">
        <f>IF(C$2="Y",IF(MaGic_AVM_Land!C17=0,"",MaGic_AVM_Land!C17),"")</f>
        <v/>
      </c>
      <c r="D17" s="71" t="str">
        <f>IF(D$2="Y",IF(MaGic_AVM_Land!D17=0,"",MaGic_AVM_Land!D17),"")</f>
        <v/>
      </c>
      <c r="E17" s="71" t="str">
        <f>IF(E$2="Y",IF(MaGic_AVM_Land!E17=0,"",MaGic_AVM_Land!E17),"")</f>
        <v/>
      </c>
      <c r="F17" s="71" t="str">
        <f>IF(F$2="Y",IF(MaGic_AVM_Land!F17=0,"",MaGic_AVM_Land!F17),"")</f>
        <v/>
      </c>
      <c r="G17" s="71" t="str">
        <f>IF(G$2="Y",IF(MaGic_AVM_Land!G17=0,"",MaGic_AVM_Land!G17),"")</f>
        <v/>
      </c>
      <c r="H17" s="71" t="str">
        <f>IF(H$2="Y",IF(MaGic_AVM_Land!H17=0,"",MaGic_AVM_Land!H17),"")</f>
        <v/>
      </c>
      <c r="I17" s="71" t="str">
        <f>IF(I$2="Y",IF(MaGic_AVM_Land!I17=0,"",MaGic_AVM_Land!I17),"")</f>
        <v/>
      </c>
      <c r="J17" s="71" t="str">
        <f>IF(J$2="Y",IF(MaGic_AVM_Land!J17=0,"",MaGic_AVM_Land!J17),"")</f>
        <v/>
      </c>
      <c r="K17" s="71" t="str">
        <f>IF(K$2="Y",IF(MaGic_AVM_Land!K17=0,"",MaGic_AVM_Land!K17),"")</f>
        <v/>
      </c>
      <c r="L17" s="71" t="str">
        <f>IF(L$2="Y",IF(MaGic_AVM_Land!L17=0,"",MaGic_AVM_Land!L17),"")</f>
        <v/>
      </c>
      <c r="M17" s="71" t="str">
        <f>IF(M$2="Y",IF(MaGic_AVM_Land!M17=0,"",MaGic_AVM_Land!M17),"")</f>
        <v/>
      </c>
      <c r="N17" s="71" t="str">
        <f>IF(N$2="Y",IF(MaGic_AVM_Land!N17=0,"",MaGic_AVM_Land!N17),"")</f>
        <v/>
      </c>
      <c r="O17" s="71" t="str">
        <f>IF(O$2="Y",IF(MaGic_AVM_Land!O17=0,"",MaGic_AVM_Land!O17),"")</f>
        <v/>
      </c>
      <c r="P17" s="71" t="str">
        <f>IF(P$2="Y",IF(MaGic_AVM_Land!P17=0,"",MaGic_AVM_Land!P17),"")</f>
        <v/>
      </c>
      <c r="Q17" s="71" t="str">
        <f>IF(Q$2="Y",IF(MaGic_AVM_Land!Q17=0,"",MaGic_AVM_Land!Q17),"")</f>
        <v/>
      </c>
      <c r="R17" s="71" t="str">
        <f>IF(R$2="Y",IF(MaGic_AVM_Land!R17=0,"",MaGic_AVM_Land!R17),"")</f>
        <v/>
      </c>
      <c r="S17" s="71" t="str">
        <f>IF(S$2="Y",IF(MaGic_AVM_Land!S17=0,"",MaGic_AVM_Land!S17),"")</f>
        <v/>
      </c>
      <c r="T17" s="71" t="str">
        <f>IF(T$2="Y",IF(MaGic_AVM_Land!T17=0,"",MaGic_AVM_Land!T17),"")</f>
        <v/>
      </c>
      <c r="U17" s="71" t="str">
        <f>IF(U$2="Y",IF(MaGic_AVM_Land!U17=0,"",MaGic_AVM_Land!U17),"")</f>
        <v/>
      </c>
      <c r="V17" s="71" t="str">
        <f>IF(V$2="Y",IF(MaGic_AVM_Land!V17=0,"",MaGic_AVM_Land!V17),"")</f>
        <v/>
      </c>
      <c r="W17" s="71" t="str">
        <f>IF(W$2="Y",IF(MaGic_AVM_Land!W17=0,"",MaGic_AVM_Land!W17),"")</f>
        <v/>
      </c>
      <c r="X17" s="71" t="str">
        <f>IF(X$2="Y",IF(MaGic_AVM_Land!X17=0,"",MaGic_AVM_Land!X17),"")</f>
        <v/>
      </c>
      <c r="Y17" s="71" t="str">
        <f>IF(Y$2="Y",IF(MaGic_AVM_Land!Y17=0,"",MaGic_AVM_Land!Y17),"")</f>
        <v/>
      </c>
      <c r="Z17" s="71" t="str">
        <f>IF(Z$2="Y",IF(MaGic_AVM_Land!Z17=0,"",MaGic_AVM_Land!Z17),"")</f>
        <v/>
      </c>
      <c r="AA17" s="69" t="str">
        <f t="shared" si="1"/>
        <v/>
      </c>
      <c r="AB17" s="69" t="str" cm="1">
        <f t="array" ref="AB17">_xlfn.UNIQUE(C17:Z17,TRUE,FALSE)</f>
        <v/>
      </c>
    </row>
    <row r="18" spans="1:28">
      <c r="A18" s="70">
        <v>16</v>
      </c>
      <c r="B18" s="70" t="s">
        <v>78</v>
      </c>
      <c r="C18" s="71" t="str">
        <f>IF(C$2="Y",IF(MaGic_AVM_Land!C18=0,"",MaGic_AVM_Land!C18),"")</f>
        <v/>
      </c>
      <c r="D18" s="71" t="str">
        <f>IF(D$2="Y",IF(MaGic_AVM_Land!D18=0,"",MaGic_AVM_Land!D18),"")</f>
        <v/>
      </c>
      <c r="E18" s="71" t="str">
        <f>IF(E$2="Y",IF(MaGic_AVM_Land!E18=0,"",MaGic_AVM_Land!E18),"")</f>
        <v/>
      </c>
      <c r="F18" s="71" t="str">
        <f>IF(F$2="Y",IF(MaGic_AVM_Land!F18=0,"",MaGic_AVM_Land!F18),"")</f>
        <v/>
      </c>
      <c r="G18" s="71" t="str">
        <f>IF(G$2="Y",IF(MaGic_AVM_Land!G18=0,"",MaGic_AVM_Land!G18),"")</f>
        <v/>
      </c>
      <c r="H18" s="71" t="str">
        <f>IF(H$2="Y",IF(MaGic_AVM_Land!H18=0,"",MaGic_AVM_Land!H18),"")</f>
        <v/>
      </c>
      <c r="I18" s="71" t="str">
        <f>IF(I$2="Y",IF(MaGic_AVM_Land!I18=0,"",MaGic_AVM_Land!I18),"")</f>
        <v/>
      </c>
      <c r="J18" s="71" t="str">
        <f>IF(J$2="Y",IF(MaGic_AVM_Land!J18=0,"",MaGic_AVM_Land!J18),"")</f>
        <v/>
      </c>
      <c r="K18" s="71" t="str">
        <f>IF(K$2="Y",IF(MaGic_AVM_Land!K18=0,"",MaGic_AVM_Land!K18),"")</f>
        <v/>
      </c>
      <c r="L18" s="71" t="str">
        <f>IF(L$2="Y",IF(MaGic_AVM_Land!L18=0,"",MaGic_AVM_Land!L18),"")</f>
        <v/>
      </c>
      <c r="M18" s="71" t="str">
        <f>IF(M$2="Y",IF(MaGic_AVM_Land!M18=0,"",MaGic_AVM_Land!M18),"")</f>
        <v/>
      </c>
      <c r="N18" s="71" t="str">
        <f>IF(N$2="Y",IF(MaGic_AVM_Land!N18=0,"",MaGic_AVM_Land!N18),"")</f>
        <v/>
      </c>
      <c r="O18" s="71" t="str">
        <f>IF(O$2="Y",IF(MaGic_AVM_Land!O18=0,"",MaGic_AVM_Land!O18),"")</f>
        <v/>
      </c>
      <c r="P18" s="71" t="str">
        <f>IF(P$2="Y",IF(MaGic_AVM_Land!P18=0,"",MaGic_AVM_Land!P18),"")</f>
        <v/>
      </c>
      <c r="Q18" s="71" t="str">
        <f>IF(Q$2="Y",IF(MaGic_AVM_Land!Q18=0,"",MaGic_AVM_Land!Q18),"")</f>
        <v/>
      </c>
      <c r="R18" s="71" t="str">
        <f>IF(R$2="Y",IF(MaGic_AVM_Land!R18=0,"",MaGic_AVM_Land!R18),"")</f>
        <v/>
      </c>
      <c r="S18" s="71" t="str">
        <f>IF(S$2="Y",IF(MaGic_AVM_Land!S18=0,"",MaGic_AVM_Land!S18),"")</f>
        <v/>
      </c>
      <c r="T18" s="71" t="str">
        <f>IF(T$2="Y",IF(MaGic_AVM_Land!T18=0,"",MaGic_AVM_Land!T18),"")</f>
        <v/>
      </c>
      <c r="U18" s="71" t="str">
        <f>IF(U$2="Y",IF(MaGic_AVM_Land!U18=0,"",MaGic_AVM_Land!U18),"")</f>
        <v/>
      </c>
      <c r="V18" s="71" t="str">
        <f>IF(V$2="Y",IF(MaGic_AVM_Land!V18=0,"",MaGic_AVM_Land!V18),"")</f>
        <v/>
      </c>
      <c r="W18" s="71" t="str">
        <f>IF(W$2="Y",IF(MaGic_AVM_Land!W18=0,"",MaGic_AVM_Land!W18),"")</f>
        <v/>
      </c>
      <c r="X18" s="71" t="str">
        <f>IF(X$2="Y",IF(MaGic_AVM_Land!X18=0,"",MaGic_AVM_Land!X18),"")</f>
        <v/>
      </c>
      <c r="Y18" s="71" t="str">
        <f>IF(Y$2="Y",IF(MaGic_AVM_Land!Y18=0,"",MaGic_AVM_Land!Y18),"")</f>
        <v/>
      </c>
      <c r="Z18" s="71" t="str">
        <f>IF(Z$2="Y",IF(MaGic_AVM_Land!Z18=0,"",MaGic_AVM_Land!Z18),"")</f>
        <v/>
      </c>
      <c r="AA18" s="69" t="str">
        <f t="shared" si="1"/>
        <v/>
      </c>
      <c r="AB18" s="69" t="str" cm="1">
        <f t="array" ref="AB18">_xlfn.UNIQUE(C18:Z18,TRUE,FALSE)</f>
        <v/>
      </c>
    </row>
    <row r="19" spans="1:28">
      <c r="A19" s="70">
        <v>17</v>
      </c>
      <c r="B19" s="70" t="s">
        <v>79</v>
      </c>
      <c r="C19" s="71" t="str">
        <f>IF(C$2="Y",IF(MaGic_AVM_Land!C19=0,"",MaGic_AVM_Land!C19),"")</f>
        <v/>
      </c>
      <c r="D19" s="71" t="str">
        <f>IF(D$2="Y",IF(MaGic_AVM_Land!D19=0,"",MaGic_AVM_Land!D19),"")</f>
        <v/>
      </c>
      <c r="E19" s="71" t="str">
        <f>IF(E$2="Y",IF(MaGic_AVM_Land!E19=0,"",MaGic_AVM_Land!E19),"")</f>
        <v/>
      </c>
      <c r="F19" s="71" t="str">
        <f>IF(F$2="Y",IF(MaGic_AVM_Land!F19=0,"",MaGic_AVM_Land!F19),"")</f>
        <v/>
      </c>
      <c r="G19" s="71" t="str">
        <f>IF(G$2="Y",IF(MaGic_AVM_Land!G19=0,"",MaGic_AVM_Land!G19),"")</f>
        <v/>
      </c>
      <c r="H19" s="71" t="str">
        <f>IF(H$2="Y",IF(MaGic_AVM_Land!H19=0,"",MaGic_AVM_Land!H19),"")</f>
        <v/>
      </c>
      <c r="I19" s="71" t="str">
        <f>IF(I$2="Y",IF(MaGic_AVM_Land!I19=0,"",MaGic_AVM_Land!I19),"")</f>
        <v/>
      </c>
      <c r="J19" s="71" t="str">
        <f>IF(J$2="Y",IF(MaGic_AVM_Land!J19=0,"",MaGic_AVM_Land!J19),"")</f>
        <v/>
      </c>
      <c r="K19" s="71" t="str">
        <f>IF(K$2="Y",IF(MaGic_AVM_Land!K19=0,"",MaGic_AVM_Land!K19),"")</f>
        <v/>
      </c>
      <c r="L19" s="71" t="str">
        <f>IF(L$2="Y",IF(MaGic_AVM_Land!L19=0,"",MaGic_AVM_Land!L19),"")</f>
        <v/>
      </c>
      <c r="M19" s="71" t="str">
        <f>IF(M$2="Y",IF(MaGic_AVM_Land!M19=0,"",MaGic_AVM_Land!M19),"")</f>
        <v/>
      </c>
      <c r="N19" s="71" t="str">
        <f>IF(N$2="Y",IF(MaGic_AVM_Land!N19=0,"",MaGic_AVM_Land!N19),"")</f>
        <v/>
      </c>
      <c r="O19" s="71" t="str">
        <f>IF(O$2="Y",IF(MaGic_AVM_Land!O19=0,"",MaGic_AVM_Land!O19),"")</f>
        <v/>
      </c>
      <c r="P19" s="71" t="str">
        <f>IF(P$2="Y",IF(MaGic_AVM_Land!P19=0,"",MaGic_AVM_Land!P19),"")</f>
        <v/>
      </c>
      <c r="Q19" s="71" t="str">
        <f>IF(Q$2="Y",IF(MaGic_AVM_Land!Q19=0,"",MaGic_AVM_Land!Q19),"")</f>
        <v/>
      </c>
      <c r="R19" s="71" t="str">
        <f>IF(R$2="Y",IF(MaGic_AVM_Land!R19=0,"",MaGic_AVM_Land!R19),"")</f>
        <v/>
      </c>
      <c r="S19" s="71" t="str">
        <f>IF(S$2="Y",IF(MaGic_AVM_Land!S19=0,"",MaGic_AVM_Land!S19),"")</f>
        <v/>
      </c>
      <c r="T19" s="71" t="str">
        <f>IF(T$2="Y",IF(MaGic_AVM_Land!T19=0,"",MaGic_AVM_Land!T19),"")</f>
        <v/>
      </c>
      <c r="U19" s="71" t="str">
        <f>IF(U$2="Y",IF(MaGic_AVM_Land!U19=0,"",MaGic_AVM_Land!U19),"")</f>
        <v/>
      </c>
      <c r="V19" s="71" t="str">
        <f>IF(V$2="Y",IF(MaGic_AVM_Land!V19=0,"",MaGic_AVM_Land!V19),"")</f>
        <v/>
      </c>
      <c r="W19" s="71" t="str">
        <f>IF(W$2="Y",IF(MaGic_AVM_Land!W19=0,"",MaGic_AVM_Land!W19),"")</f>
        <v/>
      </c>
      <c r="X19" s="71" t="str">
        <f>IF(X$2="Y",IF(MaGic_AVM_Land!X19=0,"",MaGic_AVM_Land!X19),"")</f>
        <v/>
      </c>
      <c r="Y19" s="71" t="str">
        <f>IF(Y$2="Y",IF(MaGic_AVM_Land!Y19=0,"",MaGic_AVM_Land!Y19),"")</f>
        <v/>
      </c>
      <c r="Z19" s="71" t="str">
        <f>IF(Z$2="Y",IF(MaGic_AVM_Land!Z19=0,"",MaGic_AVM_Land!Z19),"")</f>
        <v/>
      </c>
      <c r="AA19" s="69" t="str">
        <f t="shared" ref="AA19:AA22" si="2">_xlfn.TEXTJOIN(",",TRUE,AB19:AZ19)</f>
        <v/>
      </c>
      <c r="AB19" s="69" t="str" cm="1">
        <f t="array" ref="AB19">_xlfn.UNIQUE(C19:Z19,TRUE,FALSE)</f>
        <v/>
      </c>
    </row>
    <row r="20" spans="1:28">
      <c r="A20" s="70">
        <v>18</v>
      </c>
      <c r="B20" s="70" t="s">
        <v>80</v>
      </c>
      <c r="C20" s="71" t="str">
        <f>IF(C$2="Y",IF(MaGic_AVM_Land!C20=0,"",MaGic_AVM_Land!C20),"")</f>
        <v/>
      </c>
      <c r="D20" s="71" t="str">
        <f>IF(D$2="Y",IF(MaGic_AVM_Land!D20=0,"",MaGic_AVM_Land!D20),"")</f>
        <v/>
      </c>
      <c r="E20" s="71" t="str">
        <f>IF(E$2="Y",IF(MaGic_AVM_Land!E20=0,"",MaGic_AVM_Land!E20),"")</f>
        <v/>
      </c>
      <c r="F20" s="71" t="str">
        <f>IF(F$2="Y",IF(MaGic_AVM_Land!F20=0,"",MaGic_AVM_Land!F20),"")</f>
        <v/>
      </c>
      <c r="G20" s="71" t="str">
        <f>IF(G$2="Y",IF(MaGic_AVM_Land!G20=0,"",MaGic_AVM_Land!G20),"")</f>
        <v/>
      </c>
      <c r="H20" s="71" t="str">
        <f>IF(H$2="Y",IF(MaGic_AVM_Land!H20=0,"",MaGic_AVM_Land!H20),"")</f>
        <v/>
      </c>
      <c r="I20" s="71" t="str">
        <f>IF(I$2="Y",IF(MaGic_AVM_Land!I20=0,"",MaGic_AVM_Land!I20),"")</f>
        <v/>
      </c>
      <c r="J20" s="71" t="str">
        <f>IF(J$2="Y",IF(MaGic_AVM_Land!J20=0,"",MaGic_AVM_Land!J20),"")</f>
        <v/>
      </c>
      <c r="K20" s="71" t="str">
        <f>IF(K$2="Y",IF(MaGic_AVM_Land!K20=0,"",MaGic_AVM_Land!K20),"")</f>
        <v/>
      </c>
      <c r="L20" s="71" t="str">
        <f>IF(L$2="Y",IF(MaGic_AVM_Land!L20=0,"",MaGic_AVM_Land!L20),"")</f>
        <v/>
      </c>
      <c r="M20" s="71" t="str">
        <f>IF(M$2="Y",IF(MaGic_AVM_Land!M20=0,"",MaGic_AVM_Land!M20),"")</f>
        <v/>
      </c>
      <c r="N20" s="71" t="str">
        <f>IF(N$2="Y",IF(MaGic_AVM_Land!N20=0,"",MaGic_AVM_Land!N20),"")</f>
        <v/>
      </c>
      <c r="O20" s="71" t="str">
        <f>IF(O$2="Y",IF(MaGic_AVM_Land!O20=0,"",MaGic_AVM_Land!O20),"")</f>
        <v/>
      </c>
      <c r="P20" s="71" t="str">
        <f>IF(P$2="Y",IF(MaGic_AVM_Land!P20=0,"",MaGic_AVM_Land!P20),"")</f>
        <v/>
      </c>
      <c r="Q20" s="71" t="str">
        <f>IF(Q$2="Y",IF(MaGic_AVM_Land!Q20=0,"",MaGic_AVM_Land!Q20),"")</f>
        <v/>
      </c>
      <c r="R20" s="71" t="str">
        <f>IF(R$2="Y",IF(MaGic_AVM_Land!R20=0,"",MaGic_AVM_Land!R20),"")</f>
        <v/>
      </c>
      <c r="S20" s="71" t="str">
        <f>IF(S$2="Y",IF(MaGic_AVM_Land!S20=0,"",MaGic_AVM_Land!S20),"")</f>
        <v/>
      </c>
      <c r="T20" s="71" t="str">
        <f>IF(T$2="Y",IF(MaGic_AVM_Land!T20=0,"",MaGic_AVM_Land!T20),"")</f>
        <v/>
      </c>
      <c r="U20" s="71" t="str">
        <f>IF(U$2="Y",IF(MaGic_AVM_Land!U20=0,"",MaGic_AVM_Land!U20),"")</f>
        <v/>
      </c>
      <c r="V20" s="71" t="str">
        <f>IF(V$2="Y",IF(MaGic_AVM_Land!V20=0,"",MaGic_AVM_Land!V20),"")</f>
        <v/>
      </c>
      <c r="W20" s="71" t="str">
        <f>IF(W$2="Y",IF(MaGic_AVM_Land!W20=0,"",MaGic_AVM_Land!W20),"")</f>
        <v/>
      </c>
      <c r="X20" s="71" t="str">
        <f>IF(X$2="Y",IF(MaGic_AVM_Land!X20=0,"",MaGic_AVM_Land!X20),"")</f>
        <v/>
      </c>
      <c r="Y20" s="71" t="str">
        <f>IF(Y$2="Y",IF(MaGic_AVM_Land!Y20=0,"",MaGic_AVM_Land!Y20),"")</f>
        <v/>
      </c>
      <c r="Z20" s="71" t="str">
        <f>IF(Z$2="Y",IF(MaGic_AVM_Land!Z20=0,"",MaGic_AVM_Land!Z20),"")</f>
        <v/>
      </c>
      <c r="AA20" s="69" t="str">
        <f t="shared" si="2"/>
        <v/>
      </c>
      <c r="AB20" s="69" t="str" cm="1">
        <f t="array" ref="AB20">_xlfn.UNIQUE(C20:Z20,TRUE,FALSE)</f>
        <v/>
      </c>
    </row>
    <row r="21" spans="1:28">
      <c r="A21" s="70">
        <v>19</v>
      </c>
      <c r="B21" s="70" t="s">
        <v>81</v>
      </c>
      <c r="C21" s="71" t="str">
        <f>IF(C$2="Y",IF(MaGic_AVM_Land!C21=0,"",MaGic_AVM_Land!C21),"")</f>
        <v/>
      </c>
      <c r="D21" s="71" t="str">
        <f>IF(D$2="Y",IF(MaGic_AVM_Land!D21=0,"",MaGic_AVM_Land!D21),"")</f>
        <v/>
      </c>
      <c r="E21" s="71" t="str">
        <f>IF(E$2="Y",IF(MaGic_AVM_Land!E21=0,"",MaGic_AVM_Land!E21),"")</f>
        <v/>
      </c>
      <c r="F21" s="71" t="str">
        <f>IF(F$2="Y",IF(MaGic_AVM_Land!F21=0,"",MaGic_AVM_Land!F21),"")</f>
        <v/>
      </c>
      <c r="G21" s="71" t="str">
        <f>IF(G$2="Y",IF(MaGic_AVM_Land!G21=0,"",MaGic_AVM_Land!G21),"")</f>
        <v/>
      </c>
      <c r="H21" s="71" t="str">
        <f>IF(H$2="Y",IF(MaGic_AVM_Land!H21=0,"",MaGic_AVM_Land!H21),"")</f>
        <v/>
      </c>
      <c r="I21" s="71" t="str">
        <f>IF(I$2="Y",IF(MaGic_AVM_Land!I21=0,"",MaGic_AVM_Land!I21),"")</f>
        <v/>
      </c>
      <c r="J21" s="71" t="str">
        <f>IF(J$2="Y",IF(MaGic_AVM_Land!J21=0,"",MaGic_AVM_Land!J21),"")</f>
        <v/>
      </c>
      <c r="K21" s="71" t="str">
        <f>IF(K$2="Y",IF(MaGic_AVM_Land!K21=0,"",MaGic_AVM_Land!K21),"")</f>
        <v/>
      </c>
      <c r="L21" s="71" t="str">
        <f>IF(L$2="Y",IF(MaGic_AVM_Land!L21=0,"",MaGic_AVM_Land!L21),"")</f>
        <v/>
      </c>
      <c r="M21" s="71" t="str">
        <f>IF(M$2="Y",IF(MaGic_AVM_Land!M21=0,"",MaGic_AVM_Land!M21),"")</f>
        <v/>
      </c>
      <c r="N21" s="71" t="str">
        <f>IF(N$2="Y",IF(MaGic_AVM_Land!N21=0,"",MaGic_AVM_Land!N21),"")</f>
        <v/>
      </c>
      <c r="O21" s="71" t="str">
        <f>IF(O$2="Y",IF(MaGic_AVM_Land!O21=0,"",MaGic_AVM_Land!O21),"")</f>
        <v/>
      </c>
      <c r="P21" s="71" t="str">
        <f>IF(P$2="Y",IF(MaGic_AVM_Land!P21=0,"",MaGic_AVM_Land!P21),"")</f>
        <v/>
      </c>
      <c r="Q21" s="71" t="str">
        <f>IF(Q$2="Y",IF(MaGic_AVM_Land!Q21=0,"",MaGic_AVM_Land!Q21),"")</f>
        <v/>
      </c>
      <c r="R21" s="71" t="str">
        <f>IF(R$2="Y",IF(MaGic_AVM_Land!R21=0,"",MaGic_AVM_Land!R21),"")</f>
        <v/>
      </c>
      <c r="S21" s="71" t="str">
        <f>IF(S$2="Y",IF(MaGic_AVM_Land!S21=0,"",MaGic_AVM_Land!S21),"")</f>
        <v/>
      </c>
      <c r="T21" s="71" t="str">
        <f>IF(T$2="Y",IF(MaGic_AVM_Land!T21=0,"",MaGic_AVM_Land!T21),"")</f>
        <v/>
      </c>
      <c r="U21" s="71" t="str">
        <f>IF(U$2="Y",IF(MaGic_AVM_Land!U21=0,"",MaGic_AVM_Land!U21),"")</f>
        <v/>
      </c>
      <c r="V21" s="71" t="str">
        <f>IF(V$2="Y",IF(MaGic_AVM_Land!V21=0,"",MaGic_AVM_Land!V21),"")</f>
        <v/>
      </c>
      <c r="W21" s="71" t="str">
        <f>IF(W$2="Y",IF(MaGic_AVM_Land!W21=0,"",MaGic_AVM_Land!W21),"")</f>
        <v/>
      </c>
      <c r="X21" s="71" t="str">
        <f>IF(X$2="Y",IF(MaGic_AVM_Land!X21=0,"",MaGic_AVM_Land!X21),"")</f>
        <v/>
      </c>
      <c r="Y21" s="71" t="str">
        <f>IF(Y$2="Y",IF(MaGic_AVM_Land!Y21=0,"",MaGic_AVM_Land!Y21),"")</f>
        <v/>
      </c>
      <c r="Z21" s="71" t="str">
        <f>IF(Z$2="Y",IF(MaGic_AVM_Land!Z21=0,"",MaGic_AVM_Land!Z21),"")</f>
        <v/>
      </c>
      <c r="AA21" s="69" t="str">
        <f t="shared" si="2"/>
        <v/>
      </c>
      <c r="AB21" s="69" t="str" cm="1">
        <f t="array" ref="AB21">_xlfn.UNIQUE(C21:Z21,TRUE,FALSE)</f>
        <v/>
      </c>
    </row>
    <row r="22" spans="1:28">
      <c r="A22" s="70">
        <v>20</v>
      </c>
      <c r="B22" s="70" t="s">
        <v>82</v>
      </c>
      <c r="C22" s="71" t="str">
        <f>IF(C$2="Y",IF(MaGic_AVM_Land!C22=0,"",MaGic_AVM_Land!C22),"")</f>
        <v/>
      </c>
      <c r="D22" s="71" t="str">
        <f>IF(D$2="Y",IF(MaGic_AVM_Land!D22=0,"",MaGic_AVM_Land!D22),"")</f>
        <v/>
      </c>
      <c r="E22" s="71" t="str">
        <f>IF(E$2="Y",IF(MaGic_AVM_Land!E22=0,"",MaGic_AVM_Land!E22),"")</f>
        <v/>
      </c>
      <c r="F22" s="71" t="str">
        <f>IF(F$2="Y",IF(MaGic_AVM_Land!F22=0,"",MaGic_AVM_Land!F22),"")</f>
        <v/>
      </c>
      <c r="G22" s="71" t="str">
        <f>IF(G$2="Y",IF(MaGic_AVM_Land!G22=0,"",MaGic_AVM_Land!G22),"")</f>
        <v/>
      </c>
      <c r="H22" s="71" t="str">
        <f>IF(H$2="Y",IF(MaGic_AVM_Land!H22=0,"",MaGic_AVM_Land!H22),"")</f>
        <v/>
      </c>
      <c r="I22" s="71" t="str">
        <f>IF(I$2="Y",IF(MaGic_AVM_Land!I22=0,"",MaGic_AVM_Land!I22),"")</f>
        <v/>
      </c>
      <c r="J22" s="71" t="str">
        <f>IF(J$2="Y",IF(MaGic_AVM_Land!J22=0,"",MaGic_AVM_Land!J22),"")</f>
        <v/>
      </c>
      <c r="K22" s="71" t="str">
        <f>IF(K$2="Y",IF(MaGic_AVM_Land!K22=0,"",MaGic_AVM_Land!K22),"")</f>
        <v/>
      </c>
      <c r="L22" s="71" t="str">
        <f>IF(L$2="Y",IF(MaGic_AVM_Land!L22=0,"",MaGic_AVM_Land!L22),"")</f>
        <v/>
      </c>
      <c r="M22" s="71" t="str">
        <f>IF(M$2="Y",IF(MaGic_AVM_Land!M22=0,"",MaGic_AVM_Land!M22),"")</f>
        <v/>
      </c>
      <c r="N22" s="71" t="str">
        <f>IF(N$2="Y",IF(MaGic_AVM_Land!N22=0,"",MaGic_AVM_Land!N22),"")</f>
        <v/>
      </c>
      <c r="O22" s="71" t="str">
        <f>IF(O$2="Y",IF(MaGic_AVM_Land!O22=0,"",MaGic_AVM_Land!O22),"")</f>
        <v/>
      </c>
      <c r="P22" s="71" t="str">
        <f>IF(P$2="Y",IF(MaGic_AVM_Land!P22=0,"",MaGic_AVM_Land!P22),"")</f>
        <v/>
      </c>
      <c r="Q22" s="71" t="str">
        <f>IF(Q$2="Y",IF(MaGic_AVM_Land!Q22=0,"",MaGic_AVM_Land!Q22),"")</f>
        <v/>
      </c>
      <c r="R22" s="71" t="str">
        <f>IF(R$2="Y",IF(MaGic_AVM_Land!R22=0,"",MaGic_AVM_Land!R22),"")</f>
        <v/>
      </c>
      <c r="S22" s="71" t="str">
        <f>IF(S$2="Y",IF(MaGic_AVM_Land!S22=0,"",MaGic_AVM_Land!S22),"")</f>
        <v/>
      </c>
      <c r="T22" s="71" t="str">
        <f>IF(T$2="Y",IF(MaGic_AVM_Land!T22=0,"",MaGic_AVM_Land!T22),"")</f>
        <v/>
      </c>
      <c r="U22" s="71" t="str">
        <f>IF(U$2="Y",IF(MaGic_AVM_Land!U22=0,"",MaGic_AVM_Land!U22),"")</f>
        <v/>
      </c>
      <c r="V22" s="71" t="str">
        <f>IF(V$2="Y",IF(MaGic_AVM_Land!V22=0,"",MaGic_AVM_Land!V22),"")</f>
        <v/>
      </c>
      <c r="W22" s="71" t="str">
        <f>IF(W$2="Y",IF(MaGic_AVM_Land!W22=0,"",MaGic_AVM_Land!W22),"")</f>
        <v/>
      </c>
      <c r="X22" s="71" t="str">
        <f>IF(X$2="Y",IF(MaGic_AVM_Land!X22=0,"",MaGic_AVM_Land!X22),"")</f>
        <v/>
      </c>
      <c r="Y22" s="71" t="str">
        <f>IF(Y$2="Y",IF(MaGic_AVM_Land!Y22=0,"",MaGic_AVM_Land!Y22),"")</f>
        <v/>
      </c>
      <c r="Z22" s="71" t="str">
        <f>IF(Z$2="Y",IF(MaGic_AVM_Land!Z22=0,"",MaGic_AVM_Land!Z22),"")</f>
        <v/>
      </c>
      <c r="AA22" s="69" t="str">
        <f t="shared" si="2"/>
        <v/>
      </c>
      <c r="AB22" s="69" t="str" cm="1">
        <f t="array" ref="AB22">_xlfn.UNIQUE(C22:Z22,TRUE,FALSE)</f>
        <v/>
      </c>
    </row>
    <row r="23" spans="1:28">
      <c r="A23" s="70">
        <v>21</v>
      </c>
      <c r="B23" s="70" t="s">
        <v>83</v>
      </c>
      <c r="C23" s="70" t="str">
        <f>IF(C$2="Y",IF(MaGic_AVM_Land!C23=0,"",MaGic_AVM_Land!C23),"")</f>
        <v/>
      </c>
      <c r="D23" s="70" t="str">
        <f>IF(D$2="Y",IF(MaGic_AVM_Land!D23=0,"",MaGic_AVM_Land!D23),"")</f>
        <v/>
      </c>
      <c r="E23" s="70" t="str">
        <f>IF(E$2="Y",IF(MaGic_AVM_Land!E23=0,"",MaGic_AVM_Land!E23),"")</f>
        <v/>
      </c>
      <c r="F23" s="70" t="str">
        <f>IF(F$2="Y",IF(MaGic_AVM_Land!F23=0,"",MaGic_AVM_Land!F23),"")</f>
        <v/>
      </c>
      <c r="G23" s="70" t="str">
        <f>IF(G$2="Y",IF(MaGic_AVM_Land!G23=0,"",MaGic_AVM_Land!G23),"")</f>
        <v/>
      </c>
      <c r="H23" s="70" t="str">
        <f>IF(H$2="Y",IF(MaGic_AVM_Land!H23=0,"",MaGic_AVM_Land!H23),"")</f>
        <v/>
      </c>
      <c r="I23" s="70" t="str">
        <f>IF(I$2="Y",IF(MaGic_AVM_Land!I23=0,"",MaGic_AVM_Land!I23),"")</f>
        <v/>
      </c>
      <c r="J23" s="70" t="str">
        <f>IF(J$2="Y",IF(MaGic_AVM_Land!J23=0,"",MaGic_AVM_Land!J23),"")</f>
        <v/>
      </c>
      <c r="K23" s="70" t="str">
        <f>IF(K$2="Y",IF(MaGic_AVM_Land!K23=0,"",MaGic_AVM_Land!K23),"")</f>
        <v/>
      </c>
      <c r="L23" s="70" t="str">
        <f>IF(L$2="Y",IF(MaGic_AVM_Land!L23=0,"",MaGic_AVM_Land!L23),"")</f>
        <v/>
      </c>
      <c r="M23" s="70" t="str">
        <f>IF(M$2="Y",IF(MaGic_AVM_Land!M23=0,"",MaGic_AVM_Land!M23),"")</f>
        <v/>
      </c>
      <c r="N23" s="70" t="str">
        <f>IF(N$2="Y",IF(MaGic_AVM_Land!N23=0,"",MaGic_AVM_Land!N23),"")</f>
        <v/>
      </c>
      <c r="O23" s="70" t="str">
        <f>IF(O$2="Y",IF(MaGic_AVM_Land!O23=0,"",MaGic_AVM_Land!O23),"")</f>
        <v/>
      </c>
      <c r="P23" s="70" t="str">
        <f>IF(P$2="Y",IF(MaGic_AVM_Land!P23=0,"",MaGic_AVM_Land!P23),"")</f>
        <v/>
      </c>
      <c r="Q23" s="70" t="str">
        <f>IF(Q$2="Y",IF(MaGic_AVM_Land!Q23=0,"",MaGic_AVM_Land!Q23),"")</f>
        <v/>
      </c>
      <c r="R23" s="70" t="str">
        <f>IF(R$2="Y",IF(MaGic_AVM_Land!R23=0,"",MaGic_AVM_Land!R23),"")</f>
        <v/>
      </c>
      <c r="S23" s="70" t="str">
        <f>IF(S$2="Y",IF(MaGic_AVM_Land!S23=0,"",MaGic_AVM_Land!S23),"")</f>
        <v/>
      </c>
      <c r="T23" s="70" t="str">
        <f>IF(T$2="Y",IF(MaGic_AVM_Land!T23=0,"",MaGic_AVM_Land!T23),"")</f>
        <v/>
      </c>
      <c r="U23" s="70" t="str">
        <f>IF(U$2="Y",IF(MaGic_AVM_Land!U23=0,"",MaGic_AVM_Land!U23),"")</f>
        <v/>
      </c>
      <c r="V23" s="70" t="str">
        <f>IF(V$2="Y",IF(MaGic_AVM_Land!V23=0,"",MaGic_AVM_Land!V23),"")</f>
        <v/>
      </c>
      <c r="W23" s="70" t="str">
        <f>IF(W$2="Y",IF(MaGic_AVM_Land!W23=0,"",MaGic_AVM_Land!W23),"")</f>
        <v/>
      </c>
      <c r="X23" s="70" t="str">
        <f>IF(X$2="Y",IF(MaGic_AVM_Land!X23=0,"",MaGic_AVM_Land!X23),"")</f>
        <v/>
      </c>
      <c r="Y23" s="70" t="str">
        <f>IF(Y$2="Y",IF(MaGic_AVM_Land!Y23=0,"",MaGic_AVM_Land!Y23),"")</f>
        <v/>
      </c>
      <c r="Z23" s="70" t="str">
        <f>IF(Z$2="Y",IF(MaGic_AVM_Land!Z23=0,"",MaGic_AVM_Land!Z23),"")</f>
        <v/>
      </c>
      <c r="AA23" s="69">
        <f>SUM(C23:Z23)</f>
        <v>0</v>
      </c>
      <c r="AB23" s="69" t="str" cm="1">
        <f t="array" ref="AB23">_xlfn.UNIQUE(C23:Z23,TRUE,FALSE)</f>
        <v/>
      </c>
    </row>
    <row r="24" spans="1:28">
      <c r="A24" s="70">
        <v>22</v>
      </c>
      <c r="B24" s="70" t="s">
        <v>84</v>
      </c>
      <c r="C24" s="70" t="str">
        <f>IF(C$2="Y",IF(MaGic_AVM_Land!C24=0,"",MaGic_AVM_Land!C24),"")</f>
        <v/>
      </c>
      <c r="D24" s="70" t="str">
        <f>IF(D$2="Y",IF(MaGic_AVM_Land!D24=0,"",MaGic_AVM_Land!D24),"")</f>
        <v/>
      </c>
      <c r="E24" s="70" t="str">
        <f>IF(E$2="Y",IF(MaGic_AVM_Land!E24=0,"",MaGic_AVM_Land!E24),"")</f>
        <v/>
      </c>
      <c r="F24" s="70" t="str">
        <f>IF(F$2="Y",IF(MaGic_AVM_Land!F24=0,"",MaGic_AVM_Land!F24),"")</f>
        <v/>
      </c>
      <c r="G24" s="70" t="str">
        <f>IF(G$2="Y",IF(MaGic_AVM_Land!G24=0,"",MaGic_AVM_Land!G24),"")</f>
        <v/>
      </c>
      <c r="H24" s="70" t="str">
        <f>IF(H$2="Y",IF(MaGic_AVM_Land!H24=0,"",MaGic_AVM_Land!H24),"")</f>
        <v/>
      </c>
      <c r="I24" s="70" t="str">
        <f>IF(I$2="Y",IF(MaGic_AVM_Land!I24=0,"",MaGic_AVM_Land!I24),"")</f>
        <v/>
      </c>
      <c r="J24" s="70" t="str">
        <f>IF(J$2="Y",IF(MaGic_AVM_Land!J24=0,"",MaGic_AVM_Land!J24),"")</f>
        <v/>
      </c>
      <c r="K24" s="70" t="str">
        <f>IF(K$2="Y",IF(MaGic_AVM_Land!K24=0,"",MaGic_AVM_Land!K24),"")</f>
        <v/>
      </c>
      <c r="L24" s="70" t="str">
        <f>IF(L$2="Y",IF(MaGic_AVM_Land!L24=0,"",MaGic_AVM_Land!L24),"")</f>
        <v/>
      </c>
      <c r="M24" s="70" t="str">
        <f>IF(M$2="Y",IF(MaGic_AVM_Land!M24=0,"",MaGic_AVM_Land!M24),"")</f>
        <v/>
      </c>
      <c r="N24" s="70" t="str">
        <f>IF(N$2="Y",IF(MaGic_AVM_Land!N24=0,"",MaGic_AVM_Land!N24),"")</f>
        <v/>
      </c>
      <c r="O24" s="70" t="str">
        <f>IF(O$2="Y",IF(MaGic_AVM_Land!O24=0,"",MaGic_AVM_Land!O24),"")</f>
        <v/>
      </c>
      <c r="P24" s="70" t="str">
        <f>IF(P$2="Y",IF(MaGic_AVM_Land!P24=0,"",MaGic_AVM_Land!P24),"")</f>
        <v/>
      </c>
      <c r="Q24" s="70" t="str">
        <f>IF(Q$2="Y",IF(MaGic_AVM_Land!Q24=0,"",MaGic_AVM_Land!Q24),"")</f>
        <v/>
      </c>
      <c r="R24" s="70" t="str">
        <f>IF(R$2="Y",IF(MaGic_AVM_Land!R24=0,"",MaGic_AVM_Land!R24),"")</f>
        <v/>
      </c>
      <c r="S24" s="70" t="str">
        <f>IF(S$2="Y",IF(MaGic_AVM_Land!S24=0,"",MaGic_AVM_Land!S24),"")</f>
        <v/>
      </c>
      <c r="T24" s="70" t="str">
        <f>IF(T$2="Y",IF(MaGic_AVM_Land!T24=0,"",MaGic_AVM_Land!T24),"")</f>
        <v/>
      </c>
      <c r="U24" s="70" t="str">
        <f>IF(U$2="Y",IF(MaGic_AVM_Land!U24=0,"",MaGic_AVM_Land!U24),"")</f>
        <v/>
      </c>
      <c r="V24" s="70" t="str">
        <f>IF(V$2="Y",IF(MaGic_AVM_Land!V24=0,"",MaGic_AVM_Land!V24),"")</f>
        <v/>
      </c>
      <c r="W24" s="70" t="str">
        <f>IF(W$2="Y",IF(MaGic_AVM_Land!W24=0,"",MaGic_AVM_Land!W24),"")</f>
        <v/>
      </c>
      <c r="X24" s="70" t="str">
        <f>IF(X$2="Y",IF(MaGic_AVM_Land!X24=0,"",MaGic_AVM_Land!X24),"")</f>
        <v/>
      </c>
      <c r="Y24" s="70" t="str">
        <f>IF(Y$2="Y",IF(MaGic_AVM_Land!Y24=0,"",MaGic_AVM_Land!Y24),"")</f>
        <v/>
      </c>
      <c r="Z24" s="70" t="str">
        <f>IF(Z$2="Y",IF(MaGic_AVM_Land!Z24=0,"",MaGic_AVM_Land!Z24),"")</f>
        <v/>
      </c>
      <c r="AA24" s="69" t="str">
        <f>_xlfn.TEXTJOIN(", ",TRUE,AB24:AZ24)</f>
        <v/>
      </c>
      <c r="AB24" s="69" t="str" cm="1">
        <f t="array" ref="AB24">_xlfn.UNIQUE(C24:Z24,TRUE,FALSE)</f>
        <v/>
      </c>
    </row>
    <row r="25" spans="1:28">
      <c r="A25" s="70"/>
      <c r="B25" s="70" t="s">
        <v>168</v>
      </c>
      <c r="C25" s="70" t="str">
        <f>IF(C$2="Y",IF(MaGic_AVM_Land!C25=0,"",MaGic_AVM_Land!C25),"")</f>
        <v/>
      </c>
      <c r="D25" s="70" t="str">
        <f>IF(D$2="Y",IF(MaGic_AVM_Land!D25=0,"",MaGic_AVM_Land!D25),"")</f>
        <v/>
      </c>
      <c r="E25" s="70" t="str">
        <f>IF(E$2="Y",IF(MaGic_AVM_Land!E25=0,"",MaGic_AVM_Land!E25),"")</f>
        <v/>
      </c>
      <c r="F25" s="70" t="str">
        <f>IF(F$2="Y",IF(MaGic_AVM_Land!F25=0,"",MaGic_AVM_Land!F25),"")</f>
        <v/>
      </c>
      <c r="G25" s="70" t="str">
        <f>IF(G$2="Y",IF(MaGic_AVM_Land!G25=0,"",MaGic_AVM_Land!G25),"")</f>
        <v/>
      </c>
      <c r="H25" s="70" t="str">
        <f>IF(H$2="Y",IF(MaGic_AVM_Land!H25=0,"",MaGic_AVM_Land!H25),"")</f>
        <v/>
      </c>
      <c r="I25" s="70" t="str">
        <f>IF(I$2="Y",IF(MaGic_AVM_Land!I25=0,"",MaGic_AVM_Land!I25),"")</f>
        <v/>
      </c>
      <c r="J25" s="70" t="str">
        <f>IF(J$2="Y",IF(MaGic_AVM_Land!J25=0,"",MaGic_AVM_Land!J25),"")</f>
        <v/>
      </c>
      <c r="K25" s="70" t="str">
        <f>IF(K$2="Y",IF(MaGic_AVM_Land!K25=0,"",MaGic_AVM_Land!K25),"")</f>
        <v/>
      </c>
      <c r="L25" s="70" t="str">
        <f>IF(L$2="Y",IF(MaGic_AVM_Land!L25=0,"",MaGic_AVM_Land!L25),"")</f>
        <v/>
      </c>
      <c r="M25" s="70" t="str">
        <f>IF(M$2="Y",IF(MaGic_AVM_Land!M25=0,"",MaGic_AVM_Land!M25),"")</f>
        <v/>
      </c>
      <c r="N25" s="70" t="str">
        <f>IF(N$2="Y",IF(MaGic_AVM_Land!N25=0,"",MaGic_AVM_Land!N25),"")</f>
        <v/>
      </c>
      <c r="O25" s="70" t="str">
        <f>IF(O$2="Y",IF(MaGic_AVM_Land!O25=0,"",MaGic_AVM_Land!O25),"")</f>
        <v/>
      </c>
      <c r="P25" s="70" t="str">
        <f>IF(P$2="Y",IF(MaGic_AVM_Land!P25=0,"",MaGic_AVM_Land!P25),"")</f>
        <v/>
      </c>
      <c r="Q25" s="70" t="str">
        <f>IF(Q$2="Y",IF(MaGic_AVM_Land!Q25=0,"",MaGic_AVM_Land!Q25),"")</f>
        <v/>
      </c>
      <c r="R25" s="70" t="str">
        <f>IF(R$2="Y",IF(MaGic_AVM_Land!R25=0,"",MaGic_AVM_Land!R25),"")</f>
        <v/>
      </c>
      <c r="S25" s="70" t="str">
        <f>IF(S$2="Y",IF(MaGic_AVM_Land!S25=0,"",MaGic_AVM_Land!S25),"")</f>
        <v/>
      </c>
      <c r="T25" s="70" t="str">
        <f>IF(T$2="Y",IF(MaGic_AVM_Land!T25=0,"",MaGic_AVM_Land!T25),"")</f>
        <v/>
      </c>
      <c r="U25" s="70" t="str">
        <f>IF(U$2="Y",IF(MaGic_AVM_Land!U25=0,"",MaGic_AVM_Land!U25),"")</f>
        <v/>
      </c>
      <c r="V25" s="70" t="str">
        <f>IF(V$2="Y",IF(MaGic_AVM_Land!V25=0,"",MaGic_AVM_Land!V25),"")</f>
        <v/>
      </c>
      <c r="W25" s="70" t="str">
        <f>IF(W$2="Y",IF(MaGic_AVM_Land!W25=0,"",MaGic_AVM_Land!W25),"")</f>
        <v/>
      </c>
      <c r="X25" s="70" t="str">
        <f>IF(X$2="Y",IF(MaGic_AVM_Land!X25=0,"",MaGic_AVM_Land!X25),"")</f>
        <v/>
      </c>
      <c r="Y25" s="70" t="str">
        <f>IF(Y$2="Y",IF(MaGic_AVM_Land!Y25=0,"",MaGic_AVM_Land!Y25),"")</f>
        <v/>
      </c>
      <c r="Z25" s="70" t="str">
        <f>IF(Z$2="Y",IF(MaGic_AVM_Land!Z25=0,"",MaGic_AVM_Land!Z25),"")</f>
        <v/>
      </c>
      <c r="AB25" s="69" t="str" cm="1">
        <f t="array" ref="AB25">_xlfn.UNIQUE(C25:Z25,TRUE,FALSE)</f>
        <v/>
      </c>
    </row>
    <row r="26" spans="1:28" s="68" customFormat="1">
      <c r="A26" s="72">
        <v>24</v>
      </c>
      <c r="B26" s="72" t="s">
        <v>91</v>
      </c>
      <c r="C26" s="72" t="str">
        <f>IF(C$2="Y",IF(MaGic_AVM_Land!C26=0,"",MaGic_AVM_Land!C26),"")</f>
        <v/>
      </c>
      <c r="D26" s="72" t="str">
        <f>IF(D$2="Y",IF(MaGic_AVM_Land!D26=0,"",MaGic_AVM_Land!D26),"")</f>
        <v/>
      </c>
      <c r="E26" s="72" t="str">
        <f>IF(E$2="Y",IF(MaGic_AVM_Land!E26=0,"",MaGic_AVM_Land!E26),"")</f>
        <v/>
      </c>
      <c r="F26" s="72" t="str">
        <f>IF(F$2="Y",IF(MaGic_AVM_Land!F26=0,"",MaGic_AVM_Land!F26),"")</f>
        <v/>
      </c>
      <c r="G26" s="72" t="str">
        <f>IF(G$2="Y",IF(MaGic_AVM_Land!G26=0,"",MaGic_AVM_Land!G26),"")</f>
        <v/>
      </c>
      <c r="H26" s="72" t="str">
        <f>IF(H$2="Y",IF(MaGic_AVM_Land!H26=0,"",MaGic_AVM_Land!H26),"")</f>
        <v/>
      </c>
      <c r="I26" s="72" t="str">
        <f>IF(I$2="Y",IF(MaGic_AVM_Land!I26=0,"",MaGic_AVM_Land!I26),"")</f>
        <v/>
      </c>
      <c r="J26" s="72" t="str">
        <f>IF(J$2="Y",IF(MaGic_AVM_Land!J26=0,"",MaGic_AVM_Land!J26),"")</f>
        <v/>
      </c>
      <c r="K26" s="72" t="str">
        <f>IF(K$2="Y",IF(MaGic_AVM_Land!K26=0,"",MaGic_AVM_Land!K26),"")</f>
        <v/>
      </c>
      <c r="L26" s="72" t="str">
        <f>IF(L$2="Y",IF(MaGic_AVM_Land!L26=0,"",MaGic_AVM_Land!L26),"")</f>
        <v/>
      </c>
      <c r="M26" s="72" t="str">
        <f>IF(M$2="Y",IF(MaGic_AVM_Land!M26=0,"",MaGic_AVM_Land!M26),"")</f>
        <v/>
      </c>
      <c r="N26" s="72" t="str">
        <f>IF(N$2="Y",IF(MaGic_AVM_Land!N26=0,"",MaGic_AVM_Land!N26),"")</f>
        <v/>
      </c>
      <c r="O26" s="72" t="str">
        <f>IF(O$2="Y",IF(MaGic_AVM_Land!O26=0,"",MaGic_AVM_Land!O26),"")</f>
        <v/>
      </c>
      <c r="P26" s="72" t="str">
        <f>IF(P$2="Y",IF(MaGic_AVM_Land!P26=0,"",MaGic_AVM_Land!P26),"")</f>
        <v/>
      </c>
      <c r="Q26" s="72" t="str">
        <f>IF(Q$2="Y",IF(MaGic_AVM_Land!Q26=0,"",MaGic_AVM_Land!Q26),"")</f>
        <v/>
      </c>
      <c r="R26" s="72" t="str">
        <f>IF(R$2="Y",IF(MaGic_AVM_Land!R26=0,"",MaGic_AVM_Land!R26),"")</f>
        <v/>
      </c>
      <c r="S26" s="72" t="str">
        <f>IF(S$2="Y",IF(MaGic_AVM_Land!S26=0,"",MaGic_AVM_Land!S26),"")</f>
        <v/>
      </c>
      <c r="T26" s="72" t="str">
        <f>IF(T$2="Y",IF(MaGic_AVM_Land!T26=0,"",MaGic_AVM_Land!T26),"")</f>
        <v/>
      </c>
      <c r="U26" s="72" t="str">
        <f>IF(U$2="Y",IF(MaGic_AVM_Land!U26=0,"",MaGic_AVM_Land!U26),"")</f>
        <v/>
      </c>
      <c r="V26" s="72" t="str">
        <f>IF(V$2="Y",IF(MaGic_AVM_Land!V26=0,"",MaGic_AVM_Land!V26),"")</f>
        <v/>
      </c>
      <c r="W26" s="72" t="str">
        <f>IF(W$2="Y",IF(MaGic_AVM_Land!W26=0,"",MaGic_AVM_Land!W26),"")</f>
        <v/>
      </c>
      <c r="X26" s="72" t="str">
        <f>IF(X$2="Y",IF(MaGic_AVM_Land!X26=0,"",MaGic_AVM_Land!X26),"")</f>
        <v/>
      </c>
      <c r="Y26" s="72" t="str">
        <f>IF(Y$2="Y",IF(MaGic_AVM_Land!Y26=0,"",MaGic_AVM_Land!Y26),"")</f>
        <v/>
      </c>
      <c r="Z26" s="72" t="str">
        <f>IF(Z$2="Y",IF(MaGic_AVM_Land!Z26=0,"",MaGic_AVM_Land!Z26),"")</f>
        <v/>
      </c>
      <c r="AA26" s="68" t="str">
        <f>_xlfn.TEXTJOIN(",",TRUE,AB26:AZ26)</f>
        <v/>
      </c>
      <c r="AB26" s="68" t="str" cm="1">
        <f t="array" ref="AB26">_xlfn.UNIQUE(C26:Z26,TRUE,FALSE)</f>
        <v/>
      </c>
    </row>
    <row r="27" spans="1:28" s="68" customFormat="1">
      <c r="A27" s="72">
        <v>25</v>
      </c>
      <c r="B27" s="72" t="s">
        <v>94</v>
      </c>
      <c r="C27" s="72" t="str">
        <f>IF(C$2="Y",IF(MaGic_AVM_Land!C27=0,"",MaGic_AVM_Land!C27),"")</f>
        <v/>
      </c>
      <c r="D27" s="72" t="str">
        <f>IF(D$2="Y",IF(MaGic_AVM_Land!D27=0,"",MaGic_AVM_Land!D27),"")</f>
        <v/>
      </c>
      <c r="E27" s="72" t="str">
        <f>IF(E$2="Y",IF(MaGic_AVM_Land!E27=0,"",MaGic_AVM_Land!E27),"")</f>
        <v/>
      </c>
      <c r="F27" s="72" t="str">
        <f>IF(F$2="Y",IF(MaGic_AVM_Land!F27=0,"",MaGic_AVM_Land!F27),"")</f>
        <v/>
      </c>
      <c r="G27" s="72" t="str">
        <f>IF(G$2="Y",IF(MaGic_AVM_Land!G27=0,"",MaGic_AVM_Land!G27),"")</f>
        <v/>
      </c>
      <c r="H27" s="72" t="str">
        <f>IF(H$2="Y",IF(MaGic_AVM_Land!H27=0,"",MaGic_AVM_Land!H27),"")</f>
        <v/>
      </c>
      <c r="I27" s="72" t="str">
        <f>IF(I$2="Y",IF(MaGic_AVM_Land!I27=0,"",MaGic_AVM_Land!I27),"")</f>
        <v/>
      </c>
      <c r="J27" s="72" t="str">
        <f>IF(J$2="Y",IF(MaGic_AVM_Land!J27=0,"",MaGic_AVM_Land!J27),"")</f>
        <v/>
      </c>
      <c r="K27" s="72" t="str">
        <f>IF(K$2="Y",IF(MaGic_AVM_Land!K27=0,"",MaGic_AVM_Land!K27),"")</f>
        <v/>
      </c>
      <c r="L27" s="72" t="str">
        <f>IF(L$2="Y",IF(MaGic_AVM_Land!L27=0,"",MaGic_AVM_Land!L27),"")</f>
        <v/>
      </c>
      <c r="M27" s="72" t="str">
        <f>IF(M$2="Y",IF(MaGic_AVM_Land!M27=0,"",MaGic_AVM_Land!M27),"")</f>
        <v/>
      </c>
      <c r="N27" s="72" t="str">
        <f>IF(N$2="Y",IF(MaGic_AVM_Land!N27=0,"",MaGic_AVM_Land!N27),"")</f>
        <v/>
      </c>
      <c r="O27" s="72" t="str">
        <f>IF(O$2="Y",IF(MaGic_AVM_Land!O27=0,"",MaGic_AVM_Land!O27),"")</f>
        <v/>
      </c>
      <c r="P27" s="72" t="str">
        <f>IF(P$2="Y",IF(MaGic_AVM_Land!P27=0,"",MaGic_AVM_Land!P27),"")</f>
        <v/>
      </c>
      <c r="Q27" s="72" t="str">
        <f>IF(Q$2="Y",IF(MaGic_AVM_Land!Q27=0,"",MaGic_AVM_Land!Q27),"")</f>
        <v/>
      </c>
      <c r="R27" s="72" t="str">
        <f>IF(R$2="Y",IF(MaGic_AVM_Land!R27=0,"",MaGic_AVM_Land!R27),"")</f>
        <v/>
      </c>
      <c r="S27" s="72" t="str">
        <f>IF(S$2="Y",IF(MaGic_AVM_Land!S27=0,"",MaGic_AVM_Land!S27),"")</f>
        <v/>
      </c>
      <c r="T27" s="72" t="str">
        <f>IF(T$2="Y",IF(MaGic_AVM_Land!T27=0,"",MaGic_AVM_Land!T27),"")</f>
        <v/>
      </c>
      <c r="U27" s="72" t="str">
        <f>IF(U$2="Y",IF(MaGic_AVM_Land!U27=0,"",MaGic_AVM_Land!U27),"")</f>
        <v/>
      </c>
      <c r="V27" s="72" t="str">
        <f>IF(V$2="Y",IF(MaGic_AVM_Land!V27=0,"",MaGic_AVM_Land!V27),"")</f>
        <v/>
      </c>
      <c r="W27" s="72" t="str">
        <f>IF(W$2="Y",IF(MaGic_AVM_Land!W27=0,"",MaGic_AVM_Land!W27),"")</f>
        <v/>
      </c>
      <c r="X27" s="72" t="str">
        <f>IF(X$2="Y",IF(MaGic_AVM_Land!X27=0,"",MaGic_AVM_Land!X27),"")</f>
        <v/>
      </c>
      <c r="Y27" s="72" t="str">
        <f>IF(Y$2="Y",IF(MaGic_AVM_Land!Y27=0,"",MaGic_AVM_Land!Y27),"")</f>
        <v/>
      </c>
      <c r="Z27" s="72" t="str">
        <f>IF(Z$2="Y",IF(MaGic_AVM_Land!Z27=0,"",MaGic_AVM_Land!Z27),"")</f>
        <v/>
      </c>
      <c r="AA27" s="68" t="str">
        <f t="shared" ref="AA27:AA29" si="3">_xlfn.TEXTJOIN(",",TRUE,AB27:AZ27)</f>
        <v/>
      </c>
      <c r="AB27" s="68" t="str" cm="1">
        <f t="array" ref="AB27">_xlfn.UNIQUE(C27:Z27,TRUE,FALSE)</f>
        <v/>
      </c>
    </row>
    <row r="28" spans="1:28" s="68" customFormat="1">
      <c r="A28" s="72">
        <v>26</v>
      </c>
      <c r="B28" s="72" t="s">
        <v>97</v>
      </c>
      <c r="C28" s="72" t="str">
        <f>IF(C$2="Y",IF(MaGic_AVM_Land!C28=0,"",MaGic_AVM_Land!C28),"")</f>
        <v/>
      </c>
      <c r="D28" s="72" t="str">
        <f>IF(D$2="Y",IF(MaGic_AVM_Land!D28=0,"",MaGic_AVM_Land!D28),"")</f>
        <v/>
      </c>
      <c r="E28" s="72" t="str">
        <f>IF(E$2="Y",IF(MaGic_AVM_Land!E28=0,"",MaGic_AVM_Land!E28),"")</f>
        <v/>
      </c>
      <c r="F28" s="72" t="str">
        <f>IF(F$2="Y",IF(MaGic_AVM_Land!F28=0,"",MaGic_AVM_Land!F28),"")</f>
        <v/>
      </c>
      <c r="G28" s="72" t="str">
        <f>IF(G$2="Y",IF(MaGic_AVM_Land!G28=0,"",MaGic_AVM_Land!G28),"")</f>
        <v/>
      </c>
      <c r="H28" s="72" t="str">
        <f>IF(H$2="Y",IF(MaGic_AVM_Land!H28=0,"",MaGic_AVM_Land!H28),"")</f>
        <v/>
      </c>
      <c r="I28" s="72" t="str">
        <f>IF(I$2="Y",IF(MaGic_AVM_Land!I28=0,"",MaGic_AVM_Land!I28),"")</f>
        <v/>
      </c>
      <c r="J28" s="72" t="str">
        <f>IF(J$2="Y",IF(MaGic_AVM_Land!J28=0,"",MaGic_AVM_Land!J28),"")</f>
        <v/>
      </c>
      <c r="K28" s="72" t="str">
        <f>IF(K$2="Y",IF(MaGic_AVM_Land!K28=0,"",MaGic_AVM_Land!K28),"")</f>
        <v/>
      </c>
      <c r="L28" s="72" t="str">
        <f>IF(L$2="Y",IF(MaGic_AVM_Land!L28=0,"",MaGic_AVM_Land!L28),"")</f>
        <v/>
      </c>
      <c r="M28" s="72" t="str">
        <f>IF(M$2="Y",IF(MaGic_AVM_Land!M28=0,"",MaGic_AVM_Land!M28),"")</f>
        <v/>
      </c>
      <c r="N28" s="72" t="str">
        <f>IF(N$2="Y",IF(MaGic_AVM_Land!N28=0,"",MaGic_AVM_Land!N28),"")</f>
        <v/>
      </c>
      <c r="O28" s="72" t="str">
        <f>IF(O$2="Y",IF(MaGic_AVM_Land!O28=0,"",MaGic_AVM_Land!O28),"")</f>
        <v/>
      </c>
      <c r="P28" s="72" t="str">
        <f>IF(P$2="Y",IF(MaGic_AVM_Land!P28=0,"",MaGic_AVM_Land!P28),"")</f>
        <v/>
      </c>
      <c r="Q28" s="72" t="str">
        <f>IF(Q$2="Y",IF(MaGic_AVM_Land!Q28=0,"",MaGic_AVM_Land!Q28),"")</f>
        <v/>
      </c>
      <c r="R28" s="72" t="str">
        <f>IF(R$2="Y",IF(MaGic_AVM_Land!R28=0,"",MaGic_AVM_Land!R28),"")</f>
        <v/>
      </c>
      <c r="S28" s="72" t="str">
        <f>IF(S$2="Y",IF(MaGic_AVM_Land!S28=0,"",MaGic_AVM_Land!S28),"")</f>
        <v/>
      </c>
      <c r="T28" s="72" t="str">
        <f>IF(T$2="Y",IF(MaGic_AVM_Land!T28=0,"",MaGic_AVM_Land!T28),"")</f>
        <v/>
      </c>
      <c r="U28" s="72" t="str">
        <f>IF(U$2="Y",IF(MaGic_AVM_Land!U28=0,"",MaGic_AVM_Land!U28),"")</f>
        <v/>
      </c>
      <c r="V28" s="72" t="str">
        <f>IF(V$2="Y",IF(MaGic_AVM_Land!V28=0,"",MaGic_AVM_Land!V28),"")</f>
        <v/>
      </c>
      <c r="W28" s="72" t="str">
        <f>IF(W$2="Y",IF(MaGic_AVM_Land!W28=0,"",MaGic_AVM_Land!W28),"")</f>
        <v/>
      </c>
      <c r="X28" s="72" t="str">
        <f>IF(X$2="Y",IF(MaGic_AVM_Land!X28=0,"",MaGic_AVM_Land!X28),"")</f>
        <v/>
      </c>
      <c r="Y28" s="72" t="str">
        <f>IF(Y$2="Y",IF(MaGic_AVM_Land!Y28=0,"",MaGic_AVM_Land!Y28),"")</f>
        <v/>
      </c>
      <c r="Z28" s="72" t="str">
        <f>IF(Z$2="Y",IF(MaGic_AVM_Land!Z28=0,"",MaGic_AVM_Land!Z28),"")</f>
        <v/>
      </c>
      <c r="AA28" s="68" t="str">
        <f t="shared" si="3"/>
        <v/>
      </c>
      <c r="AB28" s="68" t="str" cm="1">
        <f t="array" ref="AB28">_xlfn.UNIQUE(C28:Z28,TRUE,FALSE)</f>
        <v/>
      </c>
    </row>
    <row r="29" spans="1:28" s="68" customFormat="1">
      <c r="A29" s="72">
        <v>27</v>
      </c>
      <c r="B29" s="72" t="s">
        <v>100</v>
      </c>
      <c r="C29" s="72" t="str">
        <f>IF(C$2="Y",IF(MaGic_AVM_Land!C29=0,"",MaGic_AVM_Land!C29),"")</f>
        <v/>
      </c>
      <c r="D29" s="72" t="str">
        <f>IF(D$2="Y",IF(MaGic_AVM_Land!D29=0,"",MaGic_AVM_Land!D29),"")</f>
        <v/>
      </c>
      <c r="E29" s="72" t="str">
        <f>IF(E$2="Y",IF(MaGic_AVM_Land!E29=0,"",MaGic_AVM_Land!E29),"")</f>
        <v/>
      </c>
      <c r="F29" s="72" t="str">
        <f>IF(F$2="Y",IF(MaGic_AVM_Land!F29=0,"",MaGic_AVM_Land!F29),"")</f>
        <v/>
      </c>
      <c r="G29" s="72" t="str">
        <f>IF(G$2="Y",IF(MaGic_AVM_Land!G29=0,"",MaGic_AVM_Land!G29),"")</f>
        <v/>
      </c>
      <c r="H29" s="72" t="str">
        <f>IF(H$2="Y",IF(MaGic_AVM_Land!H29=0,"",MaGic_AVM_Land!H29),"")</f>
        <v/>
      </c>
      <c r="I29" s="72" t="str">
        <f>IF(I$2="Y",IF(MaGic_AVM_Land!I29=0,"",MaGic_AVM_Land!I29),"")</f>
        <v/>
      </c>
      <c r="J29" s="72" t="str">
        <f>IF(J$2="Y",IF(MaGic_AVM_Land!J29=0,"",MaGic_AVM_Land!J29),"")</f>
        <v/>
      </c>
      <c r="K29" s="72" t="str">
        <f>IF(K$2="Y",IF(MaGic_AVM_Land!K29=0,"",MaGic_AVM_Land!K29),"")</f>
        <v/>
      </c>
      <c r="L29" s="72" t="str">
        <f>IF(L$2="Y",IF(MaGic_AVM_Land!L29=0,"",MaGic_AVM_Land!L29),"")</f>
        <v/>
      </c>
      <c r="M29" s="72" t="str">
        <f>IF(M$2="Y",IF(MaGic_AVM_Land!M29=0,"",MaGic_AVM_Land!M29),"")</f>
        <v/>
      </c>
      <c r="N29" s="72" t="str">
        <f>IF(N$2="Y",IF(MaGic_AVM_Land!N29=0,"",MaGic_AVM_Land!N29),"")</f>
        <v/>
      </c>
      <c r="O29" s="72" t="str">
        <f>IF(O$2="Y",IF(MaGic_AVM_Land!O29=0,"",MaGic_AVM_Land!O29),"")</f>
        <v/>
      </c>
      <c r="P29" s="72" t="str">
        <f>IF(P$2="Y",IF(MaGic_AVM_Land!P29=0,"",MaGic_AVM_Land!P29),"")</f>
        <v/>
      </c>
      <c r="Q29" s="72" t="str">
        <f>IF(Q$2="Y",IF(MaGic_AVM_Land!Q29=0,"",MaGic_AVM_Land!Q29),"")</f>
        <v/>
      </c>
      <c r="R29" s="72" t="str">
        <f>IF(R$2="Y",IF(MaGic_AVM_Land!R29=0,"",MaGic_AVM_Land!R29),"")</f>
        <v/>
      </c>
      <c r="S29" s="72" t="str">
        <f>IF(S$2="Y",IF(MaGic_AVM_Land!S29=0,"",MaGic_AVM_Land!S29),"")</f>
        <v/>
      </c>
      <c r="T29" s="72" t="str">
        <f>IF(T$2="Y",IF(MaGic_AVM_Land!T29=0,"",MaGic_AVM_Land!T29),"")</f>
        <v/>
      </c>
      <c r="U29" s="72" t="str">
        <f>IF(U$2="Y",IF(MaGic_AVM_Land!U29=0,"",MaGic_AVM_Land!U29),"")</f>
        <v/>
      </c>
      <c r="V29" s="72" t="str">
        <f>IF(V$2="Y",IF(MaGic_AVM_Land!V29=0,"",MaGic_AVM_Land!V29),"")</f>
        <v/>
      </c>
      <c r="W29" s="72" t="str">
        <f>IF(W$2="Y",IF(MaGic_AVM_Land!W29=0,"",MaGic_AVM_Land!W29),"")</f>
        <v/>
      </c>
      <c r="X29" s="72" t="str">
        <f>IF(X$2="Y",IF(MaGic_AVM_Land!X29=0,"",MaGic_AVM_Land!X29),"")</f>
        <v/>
      </c>
      <c r="Y29" s="72" t="str">
        <f>IF(Y$2="Y",IF(MaGic_AVM_Land!Y29=0,"",MaGic_AVM_Land!Y29),"")</f>
        <v/>
      </c>
      <c r="Z29" s="72" t="str">
        <f>IF(Z$2="Y",IF(MaGic_AVM_Land!Z29=0,"",MaGic_AVM_Land!Z29),"")</f>
        <v/>
      </c>
      <c r="AA29" s="68" t="str">
        <f t="shared" si="3"/>
        <v/>
      </c>
      <c r="AB29" s="68" t="str" cm="1">
        <f t="array" ref="AB29">_xlfn.UNIQUE(C29:Z29,TRUE,FALSE)</f>
        <v/>
      </c>
    </row>
    <row r="30" spans="1:28">
      <c r="A30" s="70">
        <v>28</v>
      </c>
      <c r="B30" s="70" t="s">
        <v>175</v>
      </c>
      <c r="C30" s="70" t="str">
        <f>IF(C$2="Y",IF(MaGic_AVM_Land!C30=0,"",MaGic_AVM_Land!C30),"")</f>
        <v/>
      </c>
      <c r="D30" s="70" t="str">
        <f>IF(D$2="Y",IF(MaGic_AVM_Land!D30=0,"",MaGic_AVM_Land!D30),"")</f>
        <v/>
      </c>
      <c r="E30" s="70" t="str">
        <f>IF(E$2="Y",IF(MaGic_AVM_Land!E30=0,"",MaGic_AVM_Land!E30),"")</f>
        <v/>
      </c>
      <c r="F30" s="70" t="str">
        <f>IF(F$2="Y",IF(MaGic_AVM_Land!F30=0,"",MaGic_AVM_Land!F30),"")</f>
        <v/>
      </c>
      <c r="G30" s="70" t="str">
        <f>IF(G$2="Y",IF(MaGic_AVM_Land!G30=0,"",MaGic_AVM_Land!G30),"")</f>
        <v/>
      </c>
      <c r="H30" s="70" t="str">
        <f>IF(H$2="Y",IF(MaGic_AVM_Land!H30=0,"",MaGic_AVM_Land!H30),"")</f>
        <v/>
      </c>
      <c r="I30" s="70" t="str">
        <f>IF(I$2="Y",IF(MaGic_AVM_Land!I30=0,"",MaGic_AVM_Land!I30),"")</f>
        <v/>
      </c>
      <c r="J30" s="70" t="str">
        <f>IF(J$2="Y",IF(MaGic_AVM_Land!J30=0,"",MaGic_AVM_Land!J30),"")</f>
        <v/>
      </c>
      <c r="K30" s="70" t="str">
        <f>IF(K$2="Y",IF(MaGic_AVM_Land!K30=0,"",MaGic_AVM_Land!K30),"")</f>
        <v/>
      </c>
      <c r="L30" s="70" t="str">
        <f>IF(L$2="Y",IF(MaGic_AVM_Land!L30=0,"",MaGic_AVM_Land!L30),"")</f>
        <v/>
      </c>
      <c r="M30" s="70" t="str">
        <f>IF(M$2="Y",IF(MaGic_AVM_Land!M30=0,"",MaGic_AVM_Land!M30),"")</f>
        <v/>
      </c>
      <c r="N30" s="70" t="str">
        <f>IF(N$2="Y",IF(MaGic_AVM_Land!N30=0,"",MaGic_AVM_Land!N30),"")</f>
        <v/>
      </c>
      <c r="O30" s="70" t="str">
        <f>IF(O$2="Y",IF(MaGic_AVM_Land!O30=0,"",MaGic_AVM_Land!O30),"")</f>
        <v/>
      </c>
      <c r="P30" s="70" t="str">
        <f>IF(P$2="Y",IF(MaGic_AVM_Land!P30=0,"",MaGic_AVM_Land!P30),"")</f>
        <v/>
      </c>
      <c r="Q30" s="70" t="str">
        <f>IF(Q$2="Y",IF(MaGic_AVM_Land!Q30=0,"",MaGic_AVM_Land!Q30),"")</f>
        <v/>
      </c>
      <c r="R30" s="70" t="str">
        <f>IF(R$2="Y",IF(MaGic_AVM_Land!R30=0,"",MaGic_AVM_Land!R30),"")</f>
        <v/>
      </c>
      <c r="S30" s="70" t="str">
        <f>IF(S$2="Y",IF(MaGic_AVM_Land!S30=0,"",MaGic_AVM_Land!S30),"")</f>
        <v/>
      </c>
      <c r="T30" s="70" t="str">
        <f>IF(T$2="Y",IF(MaGic_AVM_Land!T30=0,"",MaGic_AVM_Land!T30),"")</f>
        <v/>
      </c>
      <c r="U30" s="70" t="str">
        <f>IF(U$2="Y",IF(MaGic_AVM_Land!U30=0,"",MaGic_AVM_Land!U30),"")</f>
        <v/>
      </c>
      <c r="V30" s="70" t="str">
        <f>IF(V$2="Y",IF(MaGic_AVM_Land!V30=0,"",MaGic_AVM_Land!V30),"")</f>
        <v/>
      </c>
      <c r="W30" s="70" t="str">
        <f>IF(W$2="Y",IF(MaGic_AVM_Land!W30=0,"",MaGic_AVM_Land!W30),"")</f>
        <v/>
      </c>
      <c r="X30" s="70" t="str">
        <f>IF(X$2="Y",IF(MaGic_AVM_Land!X30=0,"",MaGic_AVM_Land!X30),"")</f>
        <v/>
      </c>
      <c r="Y30" s="70" t="str">
        <f>IF(Y$2="Y",IF(MaGic_AVM_Land!Y30=0,"",MaGic_AVM_Land!Y30),"")</f>
        <v/>
      </c>
      <c r="Z30" s="70" t="str">
        <f>IF(Z$2="Y",IF(MaGic_AVM_Land!Z30=0,"",MaGic_AVM_Land!Z30),"")</f>
        <v/>
      </c>
      <c r="AB30" s="69" t="str" cm="1">
        <f t="array" ref="AB30">_xlfn.UNIQUE(C30:Z30,TRUE,FALSE)</f>
        <v/>
      </c>
    </row>
    <row r="31" spans="1:28">
      <c r="A31" s="70">
        <v>29</v>
      </c>
      <c r="B31" s="70" t="s">
        <v>1103</v>
      </c>
      <c r="C31" s="70" t="str">
        <f>IF(C$2="Y",IF(MaGic_AVM_Land!C31=0,"",MaGic_AVM_Land!C31),"")</f>
        <v/>
      </c>
      <c r="D31" s="70" t="str">
        <f>IF(D$2="Y",IF(MaGic_AVM_Land!D31=0,"",MaGic_AVM_Land!D31),"")</f>
        <v/>
      </c>
      <c r="E31" s="70" t="str">
        <f>IF(E$2="Y",IF(MaGic_AVM_Land!E31=0,"",MaGic_AVM_Land!E31),"")</f>
        <v/>
      </c>
      <c r="F31" s="70" t="str">
        <f>IF(F$2="Y",IF(MaGic_AVM_Land!F31=0,"",MaGic_AVM_Land!F31),"")</f>
        <v/>
      </c>
      <c r="G31" s="70" t="str">
        <f>IF(G$2="Y",IF(MaGic_AVM_Land!G31=0,"",MaGic_AVM_Land!G31),"")</f>
        <v/>
      </c>
      <c r="H31" s="70" t="str">
        <f>IF(H$2="Y",IF(MaGic_AVM_Land!H31=0,"",MaGic_AVM_Land!H31),"")</f>
        <v/>
      </c>
      <c r="I31" s="70" t="str">
        <f>IF(I$2="Y",IF(MaGic_AVM_Land!I31=0,"",MaGic_AVM_Land!I31),"")</f>
        <v/>
      </c>
      <c r="J31" s="70" t="str">
        <f>IF(J$2="Y",IF(MaGic_AVM_Land!J31=0,"",MaGic_AVM_Land!J31),"")</f>
        <v/>
      </c>
      <c r="K31" s="70" t="str">
        <f>IF(K$2="Y",IF(MaGic_AVM_Land!K31=0,"",MaGic_AVM_Land!K31),"")</f>
        <v/>
      </c>
      <c r="L31" s="70" t="str">
        <f>IF(L$2="Y",IF(MaGic_AVM_Land!L31=0,"",MaGic_AVM_Land!L31),"")</f>
        <v/>
      </c>
      <c r="M31" s="70" t="str">
        <f>IF(M$2="Y",IF(MaGic_AVM_Land!M31=0,"",MaGic_AVM_Land!M31),"")</f>
        <v/>
      </c>
      <c r="N31" s="70" t="str">
        <f>IF(N$2="Y",IF(MaGic_AVM_Land!N31=0,"",MaGic_AVM_Land!N31),"")</f>
        <v/>
      </c>
      <c r="O31" s="70" t="str">
        <f>IF(O$2="Y",IF(MaGic_AVM_Land!O31=0,"",MaGic_AVM_Land!O31),"")</f>
        <v/>
      </c>
      <c r="P31" s="70" t="str">
        <f>IF(P$2="Y",IF(MaGic_AVM_Land!P31=0,"",MaGic_AVM_Land!P31),"")</f>
        <v/>
      </c>
      <c r="Q31" s="70" t="str">
        <f>IF(Q$2="Y",IF(MaGic_AVM_Land!Q31=0,"",MaGic_AVM_Land!Q31),"")</f>
        <v/>
      </c>
      <c r="R31" s="70" t="str">
        <f>IF(R$2="Y",IF(MaGic_AVM_Land!R31=0,"",MaGic_AVM_Land!R31),"")</f>
        <v/>
      </c>
      <c r="S31" s="70" t="str">
        <f>IF(S$2="Y",IF(MaGic_AVM_Land!S31=0,"",MaGic_AVM_Land!S31),"")</f>
        <v/>
      </c>
      <c r="T31" s="70" t="str">
        <f>IF(T$2="Y",IF(MaGic_AVM_Land!T31=0,"",MaGic_AVM_Land!T31),"")</f>
        <v/>
      </c>
      <c r="U31" s="70" t="str">
        <f>IF(U$2="Y",IF(MaGic_AVM_Land!U31=0,"",MaGic_AVM_Land!U31),"")</f>
        <v/>
      </c>
      <c r="V31" s="70" t="str">
        <f>IF(V$2="Y",IF(MaGic_AVM_Land!V31=0,"",MaGic_AVM_Land!V31),"")</f>
        <v/>
      </c>
      <c r="W31" s="70" t="str">
        <f>IF(W$2="Y",IF(MaGic_AVM_Land!W31=0,"",MaGic_AVM_Land!W31),"")</f>
        <v/>
      </c>
      <c r="X31" s="70" t="str">
        <f>IF(X$2="Y",IF(MaGic_AVM_Land!X31=0,"",MaGic_AVM_Land!X31),"")</f>
        <v/>
      </c>
      <c r="Y31" s="70" t="str">
        <f>IF(Y$2="Y",IF(MaGic_AVM_Land!Y31=0,"",MaGic_AVM_Land!Y31),"")</f>
        <v/>
      </c>
      <c r="Z31" s="70" t="str">
        <f>IF(Z$2="Y",IF(MaGic_AVM_Land!Z31=0,"",MaGic_AVM_Land!Z31),"")</f>
        <v/>
      </c>
      <c r="AB31" s="69" t="str" cm="1">
        <f t="array" ref="AB31">_xlfn.UNIQUE(C31:Z31,TRUE,FALSE)</f>
        <v/>
      </c>
    </row>
    <row r="32" spans="1:28">
      <c r="A32" s="70">
        <v>30</v>
      </c>
      <c r="B32" s="70" t="s">
        <v>1104</v>
      </c>
      <c r="C32" s="70" t="str">
        <f>IF(C$2="Y",IF(MaGic_AVM_Land!C32=0,"",MaGic_AVM_Land!C32),"")</f>
        <v/>
      </c>
      <c r="D32" s="70" t="str">
        <f>IF(D$2="Y",IF(MaGic_AVM_Land!D32=0,"",MaGic_AVM_Land!D32),"")</f>
        <v/>
      </c>
      <c r="E32" s="70" t="str">
        <f>IF(E$2="Y",IF(MaGic_AVM_Land!E32=0,"",MaGic_AVM_Land!E32),"")</f>
        <v/>
      </c>
      <c r="F32" s="70" t="str">
        <f>IF(F$2="Y",IF(MaGic_AVM_Land!F32=0,"",MaGic_AVM_Land!F32),"")</f>
        <v/>
      </c>
      <c r="G32" s="70" t="str">
        <f>IF(G$2="Y",IF(MaGic_AVM_Land!G32=0,"",MaGic_AVM_Land!G32),"")</f>
        <v/>
      </c>
      <c r="H32" s="70" t="str">
        <f>IF(H$2="Y",IF(MaGic_AVM_Land!H32=0,"",MaGic_AVM_Land!H32),"")</f>
        <v/>
      </c>
      <c r="I32" s="70" t="str">
        <f>IF(I$2="Y",IF(MaGic_AVM_Land!I32=0,"",MaGic_AVM_Land!I32),"")</f>
        <v/>
      </c>
      <c r="J32" s="70" t="str">
        <f>IF(J$2="Y",IF(MaGic_AVM_Land!J32=0,"",MaGic_AVM_Land!J32),"")</f>
        <v/>
      </c>
      <c r="K32" s="70" t="str">
        <f>IF(K$2="Y",IF(MaGic_AVM_Land!K32=0,"",MaGic_AVM_Land!K32),"")</f>
        <v/>
      </c>
      <c r="L32" s="70" t="str">
        <f>IF(L$2="Y",IF(MaGic_AVM_Land!L32=0,"",MaGic_AVM_Land!L32),"")</f>
        <v/>
      </c>
      <c r="M32" s="70" t="str">
        <f>IF(M$2="Y",IF(MaGic_AVM_Land!M32=0,"",MaGic_AVM_Land!M32),"")</f>
        <v/>
      </c>
      <c r="N32" s="70" t="str">
        <f>IF(N$2="Y",IF(MaGic_AVM_Land!N32=0,"",MaGic_AVM_Land!N32),"")</f>
        <v/>
      </c>
      <c r="O32" s="70" t="str">
        <f>IF(O$2="Y",IF(MaGic_AVM_Land!O32=0,"",MaGic_AVM_Land!O32),"")</f>
        <v/>
      </c>
      <c r="P32" s="70" t="str">
        <f>IF(P$2="Y",IF(MaGic_AVM_Land!P32=0,"",MaGic_AVM_Land!P32),"")</f>
        <v/>
      </c>
      <c r="Q32" s="70" t="str">
        <f>IF(Q$2="Y",IF(MaGic_AVM_Land!Q32=0,"",MaGic_AVM_Land!Q32),"")</f>
        <v/>
      </c>
      <c r="R32" s="70" t="str">
        <f>IF(R$2="Y",IF(MaGic_AVM_Land!R32=0,"",MaGic_AVM_Land!R32),"")</f>
        <v/>
      </c>
      <c r="S32" s="70" t="str">
        <f>IF(S$2="Y",IF(MaGic_AVM_Land!S32=0,"",MaGic_AVM_Land!S32),"")</f>
        <v/>
      </c>
      <c r="T32" s="70" t="str">
        <f>IF(T$2="Y",IF(MaGic_AVM_Land!T32=0,"",MaGic_AVM_Land!T32),"")</f>
        <v/>
      </c>
      <c r="U32" s="70" t="str">
        <f>IF(U$2="Y",IF(MaGic_AVM_Land!U32=0,"",MaGic_AVM_Land!U32),"")</f>
        <v/>
      </c>
      <c r="V32" s="70" t="str">
        <f>IF(V$2="Y",IF(MaGic_AVM_Land!V32=0,"",MaGic_AVM_Land!V32),"")</f>
        <v/>
      </c>
      <c r="W32" s="70" t="str">
        <f>IF(W$2="Y",IF(MaGic_AVM_Land!W32=0,"",MaGic_AVM_Land!W32),"")</f>
        <v/>
      </c>
      <c r="X32" s="70" t="str">
        <f>IF(X$2="Y",IF(MaGic_AVM_Land!X32=0,"",MaGic_AVM_Land!X32),"")</f>
        <v/>
      </c>
      <c r="Y32" s="70" t="str">
        <f>IF(Y$2="Y",IF(MaGic_AVM_Land!Y32=0,"",MaGic_AVM_Land!Y32),"")</f>
        <v/>
      </c>
      <c r="Z32" s="70" t="str">
        <f>IF(Z$2="Y",IF(MaGic_AVM_Land!Z32=0,"",MaGic_AVM_Land!Z32),"")</f>
        <v/>
      </c>
      <c r="AB32" s="69" t="str" cm="1">
        <f t="array" ref="AB32">_xlfn.UNIQUE(C32:Z32,TRUE,FALSE)</f>
        <v/>
      </c>
    </row>
    <row r="33" spans="1:28">
      <c r="A33" s="70">
        <v>31</v>
      </c>
      <c r="B33" s="70" t="s">
        <v>1105</v>
      </c>
      <c r="C33" s="70" t="str">
        <f>IF(C$2="Y",IF(MaGic_AVM_Land!C33=0,"",MaGic_AVM_Land!C33),"")</f>
        <v/>
      </c>
      <c r="D33" s="70" t="str">
        <f>IF(D$2="Y",IF(MaGic_AVM_Land!D33=0,"",MaGic_AVM_Land!D33),"")</f>
        <v/>
      </c>
      <c r="E33" s="70" t="str">
        <f>IF(E$2="Y",IF(MaGic_AVM_Land!E33=0,"",MaGic_AVM_Land!E33),"")</f>
        <v/>
      </c>
      <c r="F33" s="70" t="str">
        <f>IF(F$2="Y",IF(MaGic_AVM_Land!F33=0,"",MaGic_AVM_Land!F33),"")</f>
        <v/>
      </c>
      <c r="G33" s="70" t="str">
        <f>IF(G$2="Y",IF(MaGic_AVM_Land!G33=0,"",MaGic_AVM_Land!G33),"")</f>
        <v/>
      </c>
      <c r="H33" s="70" t="str">
        <f>IF(H$2="Y",IF(MaGic_AVM_Land!H33=0,"",MaGic_AVM_Land!H33),"")</f>
        <v/>
      </c>
      <c r="I33" s="70" t="str">
        <f>IF(I$2="Y",IF(MaGic_AVM_Land!I33=0,"",MaGic_AVM_Land!I33),"")</f>
        <v/>
      </c>
      <c r="J33" s="70" t="str">
        <f>IF(J$2="Y",IF(MaGic_AVM_Land!J33=0,"",MaGic_AVM_Land!J33),"")</f>
        <v/>
      </c>
      <c r="K33" s="70" t="str">
        <f>IF(K$2="Y",IF(MaGic_AVM_Land!K33=0,"",MaGic_AVM_Land!K33),"")</f>
        <v/>
      </c>
      <c r="L33" s="70" t="str">
        <f>IF(L$2="Y",IF(MaGic_AVM_Land!L33=0,"",MaGic_AVM_Land!L33),"")</f>
        <v/>
      </c>
      <c r="M33" s="70" t="str">
        <f>IF(M$2="Y",IF(MaGic_AVM_Land!M33=0,"",MaGic_AVM_Land!M33),"")</f>
        <v/>
      </c>
      <c r="N33" s="70" t="str">
        <f>IF(N$2="Y",IF(MaGic_AVM_Land!N33=0,"",MaGic_AVM_Land!N33),"")</f>
        <v/>
      </c>
      <c r="O33" s="70" t="str">
        <f>IF(O$2="Y",IF(MaGic_AVM_Land!O33=0,"",MaGic_AVM_Land!O33),"")</f>
        <v/>
      </c>
      <c r="P33" s="70" t="str">
        <f>IF(P$2="Y",IF(MaGic_AVM_Land!P33=0,"",MaGic_AVM_Land!P33),"")</f>
        <v/>
      </c>
      <c r="Q33" s="70" t="str">
        <f>IF(Q$2="Y",IF(MaGic_AVM_Land!Q33=0,"",MaGic_AVM_Land!Q33),"")</f>
        <v/>
      </c>
      <c r="R33" s="70" t="str">
        <f>IF(R$2="Y",IF(MaGic_AVM_Land!R33=0,"",MaGic_AVM_Land!R33),"")</f>
        <v/>
      </c>
      <c r="S33" s="70" t="str">
        <f>IF(S$2="Y",IF(MaGic_AVM_Land!S33=0,"",MaGic_AVM_Land!S33),"")</f>
        <v/>
      </c>
      <c r="T33" s="70" t="str">
        <f>IF(T$2="Y",IF(MaGic_AVM_Land!T33=0,"",MaGic_AVM_Land!T33),"")</f>
        <v/>
      </c>
      <c r="U33" s="70" t="str">
        <f>IF(U$2="Y",IF(MaGic_AVM_Land!U33=0,"",MaGic_AVM_Land!U33),"")</f>
        <v/>
      </c>
      <c r="V33" s="70" t="str">
        <f>IF(V$2="Y",IF(MaGic_AVM_Land!V33=0,"",MaGic_AVM_Land!V33),"")</f>
        <v/>
      </c>
      <c r="W33" s="70" t="str">
        <f>IF(W$2="Y",IF(MaGic_AVM_Land!W33=0,"",MaGic_AVM_Land!W33),"")</f>
        <v/>
      </c>
      <c r="X33" s="70" t="str">
        <f>IF(X$2="Y",IF(MaGic_AVM_Land!X33=0,"",MaGic_AVM_Land!X33),"")</f>
        <v/>
      </c>
      <c r="Y33" s="70" t="str">
        <f>IF(Y$2="Y",IF(MaGic_AVM_Land!Y33=0,"",MaGic_AVM_Land!Y33),"")</f>
        <v/>
      </c>
      <c r="Z33" s="70" t="str">
        <f>IF(Z$2="Y",IF(MaGic_AVM_Land!Z33=0,"",MaGic_AVM_Land!Z33),"")</f>
        <v/>
      </c>
      <c r="AB33" s="69" t="str" cm="1">
        <f t="array" ref="AB33">_xlfn.UNIQUE(C33:Z33,TRUE,FALSE)</f>
        <v/>
      </c>
    </row>
    <row r="34" spans="1:28">
      <c r="A34" s="70"/>
      <c r="B34" s="70" t="s">
        <v>110</v>
      </c>
      <c r="C34" s="70" t="str">
        <f>IF(C$2="Y",IF(MaGic_AVM_Land!C34=0,"",MaGic_AVM_Land!C34),"")</f>
        <v/>
      </c>
      <c r="D34" s="70" t="str">
        <f>IF(D$2="Y",IF(MaGic_AVM_Land!D34=0,"",MaGic_AVM_Land!D34),"")</f>
        <v/>
      </c>
      <c r="E34" s="70" t="str">
        <f>IF(E$2="Y",IF(MaGic_AVM_Land!E34=0,"",MaGic_AVM_Land!E34),"")</f>
        <v/>
      </c>
      <c r="F34" s="70" t="str">
        <f>IF(F$2="Y",IF(MaGic_AVM_Land!F34=0,"",MaGic_AVM_Land!F34),"")</f>
        <v/>
      </c>
      <c r="G34" s="70" t="str">
        <f>IF(G$2="Y",IF(MaGic_AVM_Land!G34=0,"",MaGic_AVM_Land!G34),"")</f>
        <v/>
      </c>
      <c r="H34" s="70" t="str">
        <f>IF(H$2="Y",IF(MaGic_AVM_Land!H34=0,"",MaGic_AVM_Land!H34),"")</f>
        <v/>
      </c>
      <c r="I34" s="70" t="str">
        <f>IF(I$2="Y",IF(MaGic_AVM_Land!I34=0,"",MaGic_AVM_Land!I34),"")</f>
        <v/>
      </c>
      <c r="J34" s="70" t="str">
        <f>IF(J$2="Y",IF(MaGic_AVM_Land!J34=0,"",MaGic_AVM_Land!J34),"")</f>
        <v/>
      </c>
      <c r="K34" s="70" t="str">
        <f>IF(K$2="Y",IF(MaGic_AVM_Land!K34=0,"",MaGic_AVM_Land!K34),"")</f>
        <v/>
      </c>
      <c r="L34" s="70" t="str">
        <f>IF(L$2="Y",IF(MaGic_AVM_Land!L34=0,"",MaGic_AVM_Land!L34),"")</f>
        <v/>
      </c>
      <c r="M34" s="70" t="str">
        <f>IF(M$2="Y",IF(MaGic_AVM_Land!M34=0,"",MaGic_AVM_Land!M34),"")</f>
        <v/>
      </c>
      <c r="N34" s="70" t="str">
        <f>IF(N$2="Y",IF(MaGic_AVM_Land!N34=0,"",MaGic_AVM_Land!N34),"")</f>
        <v/>
      </c>
      <c r="O34" s="70" t="str">
        <f>IF(O$2="Y",IF(MaGic_AVM_Land!O34=0,"",MaGic_AVM_Land!O34),"")</f>
        <v/>
      </c>
      <c r="P34" s="70" t="str">
        <f>IF(P$2="Y",IF(MaGic_AVM_Land!P34=0,"",MaGic_AVM_Land!P34),"")</f>
        <v/>
      </c>
      <c r="Q34" s="70" t="str">
        <f>IF(Q$2="Y",IF(MaGic_AVM_Land!Q34=0,"",MaGic_AVM_Land!Q34),"")</f>
        <v/>
      </c>
      <c r="R34" s="70" t="str">
        <f>IF(R$2="Y",IF(MaGic_AVM_Land!R34=0,"",MaGic_AVM_Land!R34),"")</f>
        <v/>
      </c>
      <c r="S34" s="70" t="str">
        <f>IF(S$2="Y",IF(MaGic_AVM_Land!S34=0,"",MaGic_AVM_Land!S34),"")</f>
        <v/>
      </c>
      <c r="T34" s="70" t="str">
        <f>IF(T$2="Y",IF(MaGic_AVM_Land!T34=0,"",MaGic_AVM_Land!T34),"")</f>
        <v/>
      </c>
      <c r="U34" s="70" t="str">
        <f>IF(U$2="Y",IF(MaGic_AVM_Land!U34=0,"",MaGic_AVM_Land!U34),"")</f>
        <v/>
      </c>
      <c r="V34" s="70" t="str">
        <f>IF(V$2="Y",IF(MaGic_AVM_Land!V34=0,"",MaGic_AVM_Land!V34),"")</f>
        <v/>
      </c>
      <c r="W34" s="70" t="str">
        <f>IF(W$2="Y",IF(MaGic_AVM_Land!W34=0,"",MaGic_AVM_Land!W34),"")</f>
        <v/>
      </c>
      <c r="X34" s="70" t="str">
        <f>IF(X$2="Y",IF(MaGic_AVM_Land!X34=0,"",MaGic_AVM_Land!X34),"")</f>
        <v/>
      </c>
      <c r="Y34" s="70" t="str">
        <f>IF(Y$2="Y",IF(MaGic_AVM_Land!Y34=0,"",MaGic_AVM_Land!Y34),"")</f>
        <v/>
      </c>
      <c r="Z34" s="70" t="str">
        <f>IF(Z$2="Y",IF(MaGic_AVM_Land!Z34=0,"",MaGic_AVM_Land!Z34),"")</f>
        <v/>
      </c>
      <c r="AB34" s="69" t="str" cm="1">
        <f t="array" ref="AB34">_xlfn.UNIQUE(C34:Z34,TRUE,FALSE)</f>
        <v/>
      </c>
    </row>
    <row r="35" spans="1:28">
      <c r="A35" s="70">
        <v>1</v>
      </c>
      <c r="B35" s="70" t="s">
        <v>1106</v>
      </c>
      <c r="C35" s="70" t="str">
        <f>IF(C$2="Y",IF(MaGic_AVM_Land!C35=0,"",MaGic_AVM_Land!C35),"")</f>
        <v/>
      </c>
      <c r="D35" s="70" t="str">
        <f>IF(D$2="Y",IF(MaGic_AVM_Land!D35=0,"",MaGic_AVM_Land!D35),"")</f>
        <v/>
      </c>
      <c r="E35" s="70" t="str">
        <f>IF(E$2="Y",IF(MaGic_AVM_Land!E35=0,"",MaGic_AVM_Land!E35),"")</f>
        <v/>
      </c>
      <c r="F35" s="70" t="str">
        <f>IF(F$2="Y",IF(MaGic_AVM_Land!F35=0,"",MaGic_AVM_Land!F35),"")</f>
        <v/>
      </c>
      <c r="G35" s="70" t="str">
        <f>IF(G$2="Y",IF(MaGic_AVM_Land!G35=0,"",MaGic_AVM_Land!G35),"")</f>
        <v/>
      </c>
      <c r="H35" s="70" t="str">
        <f>IF(H$2="Y",IF(MaGic_AVM_Land!H35=0,"",MaGic_AVM_Land!H35),"")</f>
        <v/>
      </c>
      <c r="I35" s="70" t="str">
        <f>IF(I$2="Y",IF(MaGic_AVM_Land!I35=0,"",MaGic_AVM_Land!I35),"")</f>
        <v/>
      </c>
      <c r="J35" s="70" t="str">
        <f>IF(J$2="Y",IF(MaGic_AVM_Land!J35=0,"",MaGic_AVM_Land!J35),"")</f>
        <v/>
      </c>
      <c r="K35" s="70" t="str">
        <f>IF(K$2="Y",IF(MaGic_AVM_Land!K35=0,"",MaGic_AVM_Land!K35),"")</f>
        <v/>
      </c>
      <c r="L35" s="70" t="str">
        <f>IF(L$2="Y",IF(MaGic_AVM_Land!L35=0,"",MaGic_AVM_Land!L35),"")</f>
        <v/>
      </c>
      <c r="M35" s="70" t="str">
        <f>IF(M$2="Y",IF(MaGic_AVM_Land!M35=0,"",MaGic_AVM_Land!M35),"")</f>
        <v/>
      </c>
      <c r="N35" s="70" t="str">
        <f>IF(N$2="Y",IF(MaGic_AVM_Land!N35=0,"",MaGic_AVM_Land!N35),"")</f>
        <v/>
      </c>
      <c r="O35" s="70" t="str">
        <f>IF(O$2="Y",IF(MaGic_AVM_Land!O35=0,"",MaGic_AVM_Land!O35),"")</f>
        <v/>
      </c>
      <c r="P35" s="70" t="str">
        <f>IF(P$2="Y",IF(MaGic_AVM_Land!P35=0,"",MaGic_AVM_Land!P35),"")</f>
        <v/>
      </c>
      <c r="Q35" s="70" t="str">
        <f>IF(Q$2="Y",IF(MaGic_AVM_Land!Q35=0,"",MaGic_AVM_Land!Q35),"")</f>
        <v/>
      </c>
      <c r="R35" s="70" t="str">
        <f>IF(R$2="Y",IF(MaGic_AVM_Land!R35=0,"",MaGic_AVM_Land!R35),"")</f>
        <v/>
      </c>
      <c r="S35" s="70" t="str">
        <f>IF(S$2="Y",IF(MaGic_AVM_Land!S35=0,"",MaGic_AVM_Land!S35),"")</f>
        <v/>
      </c>
      <c r="T35" s="70" t="str">
        <f>IF(T$2="Y",IF(MaGic_AVM_Land!T35=0,"",MaGic_AVM_Land!T35),"")</f>
        <v/>
      </c>
      <c r="U35" s="70" t="str">
        <f>IF(U$2="Y",IF(MaGic_AVM_Land!U35=0,"",MaGic_AVM_Land!U35),"")</f>
        <v/>
      </c>
      <c r="V35" s="70" t="str">
        <f>IF(V$2="Y",IF(MaGic_AVM_Land!V35=0,"",MaGic_AVM_Land!V35),"")</f>
        <v/>
      </c>
      <c r="W35" s="70" t="str">
        <f>IF(W$2="Y",IF(MaGic_AVM_Land!W35=0,"",MaGic_AVM_Land!W35),"")</f>
        <v/>
      </c>
      <c r="X35" s="70" t="str">
        <f>IF(X$2="Y",IF(MaGic_AVM_Land!X35=0,"",MaGic_AVM_Land!X35),"")</f>
        <v/>
      </c>
      <c r="Y35" s="70" t="str">
        <f>IF(Y$2="Y",IF(MaGic_AVM_Land!Y35=0,"",MaGic_AVM_Land!Y35),"")</f>
        <v/>
      </c>
      <c r="Z35" s="70" t="str">
        <f>IF(Z$2="Y",IF(MaGic_AVM_Land!Z35=0,"",MaGic_AVM_Land!Z35),"")</f>
        <v/>
      </c>
      <c r="AB35" s="69" t="str" cm="1">
        <f t="array" ref="AB35">_xlfn.UNIQUE(C35:Z35,TRUE,FALSE)</f>
        <v/>
      </c>
    </row>
    <row r="36" spans="1:28">
      <c r="A36" s="70">
        <v>2</v>
      </c>
      <c r="B36" s="70" t="s">
        <v>112</v>
      </c>
      <c r="C36" s="70" t="str">
        <f>IF(C$2="Y",IF(MaGic_AVM_Land!C36=0,"",MaGic_AVM_Land!C36),"")</f>
        <v/>
      </c>
      <c r="D36" s="70" t="str">
        <f>IF(D$2="Y",IF(MaGic_AVM_Land!D36=0,"",MaGic_AVM_Land!D36),"")</f>
        <v/>
      </c>
      <c r="E36" s="70" t="str">
        <f>IF(E$2="Y",IF(MaGic_AVM_Land!E36=0,"",MaGic_AVM_Land!E36),"")</f>
        <v/>
      </c>
      <c r="F36" s="70" t="str">
        <f>IF(F$2="Y",IF(MaGic_AVM_Land!F36=0,"",MaGic_AVM_Land!F36),"")</f>
        <v/>
      </c>
      <c r="G36" s="70" t="str">
        <f>IF(G$2="Y",IF(MaGic_AVM_Land!G36=0,"",MaGic_AVM_Land!G36),"")</f>
        <v/>
      </c>
      <c r="H36" s="70" t="str">
        <f>IF(H$2="Y",IF(MaGic_AVM_Land!H36=0,"",MaGic_AVM_Land!H36),"")</f>
        <v/>
      </c>
      <c r="I36" s="70" t="str">
        <f>IF(I$2="Y",IF(MaGic_AVM_Land!I36=0,"",MaGic_AVM_Land!I36),"")</f>
        <v/>
      </c>
      <c r="J36" s="70" t="str">
        <f>IF(J$2="Y",IF(MaGic_AVM_Land!J36=0,"",MaGic_AVM_Land!J36),"")</f>
        <v/>
      </c>
      <c r="K36" s="70" t="str">
        <f>IF(K$2="Y",IF(MaGic_AVM_Land!K36=0,"",MaGic_AVM_Land!K36),"")</f>
        <v/>
      </c>
      <c r="L36" s="70" t="str">
        <f>IF(L$2="Y",IF(MaGic_AVM_Land!L36=0,"",MaGic_AVM_Land!L36),"")</f>
        <v/>
      </c>
      <c r="M36" s="70" t="str">
        <f>IF(M$2="Y",IF(MaGic_AVM_Land!M36=0,"",MaGic_AVM_Land!M36),"")</f>
        <v/>
      </c>
      <c r="N36" s="70" t="str">
        <f>IF(N$2="Y",IF(MaGic_AVM_Land!N36=0,"",MaGic_AVM_Land!N36),"")</f>
        <v/>
      </c>
      <c r="O36" s="70" t="str">
        <f>IF(O$2="Y",IF(MaGic_AVM_Land!O36=0,"",MaGic_AVM_Land!O36),"")</f>
        <v/>
      </c>
      <c r="P36" s="70" t="str">
        <f>IF(P$2="Y",IF(MaGic_AVM_Land!P36=0,"",MaGic_AVM_Land!P36),"")</f>
        <v/>
      </c>
      <c r="Q36" s="70" t="str">
        <f>IF(Q$2="Y",IF(MaGic_AVM_Land!Q36=0,"",MaGic_AVM_Land!Q36),"")</f>
        <v/>
      </c>
      <c r="R36" s="70" t="str">
        <f>IF(R$2="Y",IF(MaGic_AVM_Land!R36=0,"",MaGic_AVM_Land!R36),"")</f>
        <v/>
      </c>
      <c r="S36" s="70" t="str">
        <f>IF(S$2="Y",IF(MaGic_AVM_Land!S36=0,"",MaGic_AVM_Land!S36),"")</f>
        <v/>
      </c>
      <c r="T36" s="70" t="str">
        <f>IF(T$2="Y",IF(MaGic_AVM_Land!T36=0,"",MaGic_AVM_Land!T36),"")</f>
        <v/>
      </c>
      <c r="U36" s="70" t="str">
        <f>IF(U$2="Y",IF(MaGic_AVM_Land!U36=0,"",MaGic_AVM_Land!U36),"")</f>
        <v/>
      </c>
      <c r="V36" s="70" t="str">
        <f>IF(V$2="Y",IF(MaGic_AVM_Land!V36=0,"",MaGic_AVM_Land!V36),"")</f>
        <v/>
      </c>
      <c r="W36" s="70" t="str">
        <f>IF(W$2="Y",IF(MaGic_AVM_Land!W36=0,"",MaGic_AVM_Land!W36),"")</f>
        <v/>
      </c>
      <c r="X36" s="70" t="str">
        <f>IF(X$2="Y",IF(MaGic_AVM_Land!X36=0,"",MaGic_AVM_Land!X36),"")</f>
        <v/>
      </c>
      <c r="Y36" s="70" t="str">
        <f>IF(Y$2="Y",IF(MaGic_AVM_Land!Y36=0,"",MaGic_AVM_Land!Y36),"")</f>
        <v/>
      </c>
      <c r="Z36" s="70" t="str">
        <f>IF(Z$2="Y",IF(MaGic_AVM_Land!Z36=0,"",MaGic_AVM_Land!Z36),"")</f>
        <v/>
      </c>
      <c r="AB36" s="69" t="str" cm="1">
        <f t="array" ref="AB36">_xlfn.UNIQUE(C36:Z36,TRUE,FALSE)</f>
        <v/>
      </c>
    </row>
    <row r="37" spans="1:28">
      <c r="A37" s="70">
        <v>3</v>
      </c>
      <c r="B37" s="70" t="s">
        <v>113</v>
      </c>
      <c r="C37" s="70" t="str">
        <f>IF(C$2="Y",IF(MaGic_AVM_Land!C37=0,"",MaGic_AVM_Land!C37),"")</f>
        <v/>
      </c>
      <c r="D37" s="70" t="str">
        <f>IF(D$2="Y",IF(MaGic_AVM_Land!D37=0,"",MaGic_AVM_Land!D37),"")</f>
        <v/>
      </c>
      <c r="E37" s="70" t="str">
        <f>IF(E$2="Y",IF(MaGic_AVM_Land!E37=0,"",MaGic_AVM_Land!E37),"")</f>
        <v/>
      </c>
      <c r="F37" s="70" t="str">
        <f>IF(F$2="Y",IF(MaGic_AVM_Land!F37=0,"",MaGic_AVM_Land!F37),"")</f>
        <v/>
      </c>
      <c r="G37" s="70" t="str">
        <f>IF(G$2="Y",IF(MaGic_AVM_Land!G37=0,"",MaGic_AVM_Land!G37),"")</f>
        <v/>
      </c>
      <c r="H37" s="70" t="str">
        <f>IF(H$2="Y",IF(MaGic_AVM_Land!H37=0,"",MaGic_AVM_Land!H37),"")</f>
        <v/>
      </c>
      <c r="I37" s="70" t="str">
        <f>IF(I$2="Y",IF(MaGic_AVM_Land!I37=0,"",MaGic_AVM_Land!I37),"")</f>
        <v/>
      </c>
      <c r="J37" s="70" t="str">
        <f>IF(J$2="Y",IF(MaGic_AVM_Land!J37=0,"",MaGic_AVM_Land!J37),"")</f>
        <v/>
      </c>
      <c r="K37" s="70" t="str">
        <f>IF(K$2="Y",IF(MaGic_AVM_Land!K37=0,"",MaGic_AVM_Land!K37),"")</f>
        <v/>
      </c>
      <c r="L37" s="70" t="str">
        <f>IF(L$2="Y",IF(MaGic_AVM_Land!L37=0,"",MaGic_AVM_Land!L37),"")</f>
        <v/>
      </c>
      <c r="M37" s="70" t="str">
        <f>IF(M$2="Y",IF(MaGic_AVM_Land!M37=0,"",MaGic_AVM_Land!M37),"")</f>
        <v/>
      </c>
      <c r="N37" s="70" t="str">
        <f>IF(N$2="Y",IF(MaGic_AVM_Land!N37=0,"",MaGic_AVM_Land!N37),"")</f>
        <v/>
      </c>
      <c r="O37" s="70" t="str">
        <f>IF(O$2="Y",IF(MaGic_AVM_Land!O37=0,"",MaGic_AVM_Land!O37),"")</f>
        <v/>
      </c>
      <c r="P37" s="70" t="str">
        <f>IF(P$2="Y",IF(MaGic_AVM_Land!P37=0,"",MaGic_AVM_Land!P37),"")</f>
        <v/>
      </c>
      <c r="Q37" s="70" t="str">
        <f>IF(Q$2="Y",IF(MaGic_AVM_Land!Q37=0,"",MaGic_AVM_Land!Q37),"")</f>
        <v/>
      </c>
      <c r="R37" s="70" t="str">
        <f>IF(R$2="Y",IF(MaGic_AVM_Land!R37=0,"",MaGic_AVM_Land!R37),"")</f>
        <v/>
      </c>
      <c r="S37" s="70" t="str">
        <f>IF(S$2="Y",IF(MaGic_AVM_Land!S37=0,"",MaGic_AVM_Land!S37),"")</f>
        <v/>
      </c>
      <c r="T37" s="70" t="str">
        <f>IF(T$2="Y",IF(MaGic_AVM_Land!T37=0,"",MaGic_AVM_Land!T37),"")</f>
        <v/>
      </c>
      <c r="U37" s="70" t="str">
        <f>IF(U$2="Y",IF(MaGic_AVM_Land!U37=0,"",MaGic_AVM_Land!U37),"")</f>
        <v/>
      </c>
      <c r="V37" s="70" t="str">
        <f>IF(V$2="Y",IF(MaGic_AVM_Land!V37=0,"",MaGic_AVM_Land!V37),"")</f>
        <v/>
      </c>
      <c r="W37" s="70" t="str">
        <f>IF(W$2="Y",IF(MaGic_AVM_Land!W37=0,"",MaGic_AVM_Land!W37),"")</f>
        <v/>
      </c>
      <c r="X37" s="70" t="str">
        <f>IF(X$2="Y",IF(MaGic_AVM_Land!X37=0,"",MaGic_AVM_Land!X37),"")</f>
        <v/>
      </c>
      <c r="Y37" s="70" t="str">
        <f>IF(Y$2="Y",IF(MaGic_AVM_Land!Y37=0,"",MaGic_AVM_Land!Y37),"")</f>
        <v/>
      </c>
      <c r="Z37" s="70" t="str">
        <f>IF(Z$2="Y",IF(MaGic_AVM_Land!Z37=0,"",MaGic_AVM_Land!Z37),"")</f>
        <v/>
      </c>
      <c r="AB37" s="69" t="str" cm="1">
        <f t="array" ref="AB37">_xlfn.UNIQUE(C37:Z37,TRUE,FALSE)</f>
        <v/>
      </c>
    </row>
    <row r="38" spans="1:28">
      <c r="A38" s="70">
        <v>4</v>
      </c>
      <c r="B38" s="70" t="s">
        <v>114</v>
      </c>
      <c r="C38" s="70"/>
      <c r="D38" s="70"/>
      <c r="E38" s="70"/>
      <c r="F38" s="70"/>
      <c r="G38" s="70"/>
      <c r="H38" s="70"/>
      <c r="I38" s="70"/>
      <c r="J38" s="70"/>
      <c r="K38" s="70"/>
      <c r="L38" s="70"/>
      <c r="M38" s="70"/>
      <c r="N38" s="70"/>
      <c r="O38" s="70"/>
      <c r="P38" s="70"/>
      <c r="Q38" s="70"/>
      <c r="R38" s="70"/>
      <c r="S38" s="70"/>
      <c r="T38" s="70"/>
      <c r="U38" s="70"/>
      <c r="V38" s="70"/>
      <c r="W38" s="70"/>
      <c r="X38" s="70"/>
      <c r="Y38" s="70"/>
      <c r="Z38" s="70"/>
      <c r="AB38" s="69" cm="1">
        <f t="array" ref="AB38">_xlfn.UNIQUE(C38:Z38,TRUE,FALSE)</f>
        <v>0</v>
      </c>
    </row>
    <row r="39" spans="1:28">
      <c r="A39" s="70">
        <v>5</v>
      </c>
      <c r="B39" s="70" t="s">
        <v>115</v>
      </c>
      <c r="C39" s="70"/>
      <c r="D39" s="70"/>
      <c r="E39" s="70"/>
      <c r="F39" s="70"/>
      <c r="G39" s="70"/>
      <c r="H39" s="70"/>
      <c r="I39" s="70"/>
      <c r="J39" s="70"/>
      <c r="K39" s="70"/>
      <c r="L39" s="70"/>
      <c r="M39" s="70"/>
      <c r="N39" s="70"/>
      <c r="O39" s="70"/>
      <c r="P39" s="70"/>
      <c r="Q39" s="70"/>
      <c r="R39" s="70"/>
      <c r="S39" s="70"/>
      <c r="T39" s="70"/>
      <c r="U39" s="70"/>
      <c r="V39" s="70"/>
      <c r="W39" s="70"/>
      <c r="X39" s="70"/>
      <c r="Y39" s="70"/>
      <c r="Z39" s="70"/>
      <c r="AB39" s="69" cm="1">
        <f t="array" ref="AB39">_xlfn.UNIQUE(C39:Z39,TRUE,FALSE)</f>
        <v>0</v>
      </c>
    </row>
    <row r="40" spans="1:28">
      <c r="A40" s="70">
        <v>6</v>
      </c>
      <c r="B40" s="70" t="s">
        <v>116</v>
      </c>
      <c r="C40" s="70"/>
      <c r="D40" s="70"/>
      <c r="E40" s="70"/>
      <c r="F40" s="70"/>
      <c r="G40" s="70"/>
      <c r="H40" s="70"/>
      <c r="I40" s="70"/>
      <c r="J40" s="70"/>
      <c r="K40" s="70"/>
      <c r="L40" s="70"/>
      <c r="M40" s="70"/>
      <c r="N40" s="70"/>
      <c r="O40" s="70"/>
      <c r="P40" s="70"/>
      <c r="Q40" s="70"/>
      <c r="R40" s="70"/>
      <c r="S40" s="70"/>
      <c r="T40" s="70"/>
      <c r="U40" s="70"/>
      <c r="V40" s="70"/>
      <c r="W40" s="70"/>
      <c r="X40" s="70"/>
      <c r="Y40" s="70"/>
      <c r="Z40" s="70"/>
      <c r="AB40" s="69" cm="1">
        <f t="array" ref="AB40">_xlfn.UNIQUE(C40:Z40,TRUE,FALSE)</f>
        <v>0</v>
      </c>
    </row>
    <row r="41" spans="1:28">
      <c r="A41" s="70"/>
      <c r="B41" s="70" t="s">
        <v>117</v>
      </c>
      <c r="C41" s="70"/>
      <c r="D41" s="70"/>
      <c r="E41" s="70"/>
      <c r="F41" s="70"/>
      <c r="G41" s="70"/>
      <c r="H41" s="70"/>
      <c r="I41" s="70"/>
      <c r="J41" s="70"/>
      <c r="K41" s="70"/>
      <c r="L41" s="70"/>
      <c r="M41" s="70"/>
      <c r="N41" s="70"/>
      <c r="O41" s="70"/>
      <c r="P41" s="70"/>
      <c r="Q41" s="70"/>
      <c r="R41" s="70"/>
      <c r="S41" s="70"/>
      <c r="T41" s="70"/>
      <c r="U41" s="70"/>
      <c r="V41" s="70"/>
      <c r="W41" s="70"/>
      <c r="X41" s="70"/>
      <c r="Y41" s="70"/>
      <c r="Z41" s="70"/>
      <c r="AB41" s="69" cm="1">
        <f t="array" ref="AB41">_xlfn.UNIQUE(C41:Z41,TRUE,FALSE)</f>
        <v>0</v>
      </c>
    </row>
    <row r="42" spans="1:28">
      <c r="A42" s="70">
        <v>1</v>
      </c>
      <c r="B42" s="70" t="s">
        <v>118</v>
      </c>
      <c r="C42" s="70"/>
      <c r="D42" s="70"/>
      <c r="E42" s="70"/>
      <c r="F42" s="70"/>
      <c r="G42" s="70"/>
      <c r="H42" s="70"/>
      <c r="I42" s="70"/>
      <c r="J42" s="70"/>
      <c r="K42" s="70"/>
      <c r="L42" s="70"/>
      <c r="M42" s="70"/>
      <c r="N42" s="70"/>
      <c r="O42" s="70"/>
      <c r="P42" s="70"/>
      <c r="Q42" s="70"/>
      <c r="R42" s="70"/>
      <c r="S42" s="70"/>
      <c r="T42" s="70"/>
      <c r="U42" s="70"/>
      <c r="V42" s="70"/>
      <c r="W42" s="70"/>
      <c r="X42" s="70"/>
      <c r="Y42" s="70"/>
      <c r="Z42" s="70"/>
      <c r="AB42" s="69" cm="1">
        <f t="array" ref="AB42">_xlfn.UNIQUE(C42:Z42,TRUE,FALSE)</f>
        <v>0</v>
      </c>
    </row>
    <row r="43" spans="1:28">
      <c r="A43" s="70">
        <v>2</v>
      </c>
      <c r="B43" s="70" t="s">
        <v>119</v>
      </c>
      <c r="C43" s="70"/>
      <c r="D43" s="70"/>
      <c r="E43" s="70"/>
      <c r="F43" s="70"/>
      <c r="G43" s="70"/>
      <c r="H43" s="70"/>
      <c r="I43" s="70"/>
      <c r="J43" s="70"/>
      <c r="K43" s="70"/>
      <c r="L43" s="70"/>
      <c r="M43" s="70"/>
      <c r="N43" s="70"/>
      <c r="O43" s="70"/>
      <c r="P43" s="70"/>
      <c r="Q43" s="70"/>
      <c r="R43" s="70"/>
      <c r="S43" s="70"/>
      <c r="T43" s="70"/>
      <c r="U43" s="70"/>
      <c r="V43" s="70"/>
      <c r="W43" s="70"/>
      <c r="X43" s="70"/>
      <c r="Y43" s="70"/>
      <c r="Z43" s="70"/>
      <c r="AB43" s="69" cm="1">
        <f t="array" ref="AB43">_xlfn.UNIQUE(C43:Z43,TRUE,FALSE)</f>
        <v>0</v>
      </c>
    </row>
    <row r="44" spans="1:28">
      <c r="A44" s="70">
        <v>3</v>
      </c>
      <c r="B44" s="70" t="s">
        <v>120</v>
      </c>
      <c r="C44" s="70"/>
      <c r="D44" s="70"/>
      <c r="E44" s="70"/>
      <c r="F44" s="70"/>
      <c r="G44" s="70"/>
      <c r="H44" s="70"/>
      <c r="I44" s="70"/>
      <c r="J44" s="70"/>
      <c r="K44" s="70"/>
      <c r="L44" s="70"/>
      <c r="M44" s="70"/>
      <c r="N44" s="70"/>
      <c r="O44" s="70"/>
      <c r="P44" s="70"/>
      <c r="Q44" s="70"/>
      <c r="R44" s="70"/>
      <c r="S44" s="70"/>
      <c r="T44" s="70"/>
      <c r="U44" s="70"/>
      <c r="V44" s="70"/>
      <c r="W44" s="70"/>
      <c r="X44" s="70"/>
      <c r="Y44" s="70"/>
      <c r="Z44" s="70"/>
      <c r="AB44" s="69" cm="1">
        <f t="array" ref="AB44">_xlfn.UNIQUE(C44:Z44,TRUE,FALSE)</f>
        <v>0</v>
      </c>
    </row>
    <row r="45" spans="1:28">
      <c r="A45" s="70">
        <v>4</v>
      </c>
      <c r="B45" s="70" t="s">
        <v>121</v>
      </c>
      <c r="C45" s="70"/>
      <c r="D45" s="70"/>
      <c r="E45" s="70"/>
      <c r="F45" s="70"/>
      <c r="G45" s="70"/>
      <c r="H45" s="70"/>
      <c r="I45" s="70"/>
      <c r="J45" s="70"/>
      <c r="K45" s="70"/>
      <c r="L45" s="70"/>
      <c r="M45" s="70"/>
      <c r="N45" s="70"/>
      <c r="O45" s="70"/>
      <c r="P45" s="70"/>
      <c r="Q45" s="70"/>
      <c r="R45" s="70"/>
      <c r="S45" s="70"/>
      <c r="T45" s="70"/>
      <c r="U45" s="70"/>
      <c r="V45" s="70"/>
      <c r="W45" s="70"/>
      <c r="X45" s="70"/>
      <c r="Y45" s="70"/>
      <c r="Z45" s="70"/>
      <c r="AB45" s="69" cm="1">
        <f t="array" ref="AB45">_xlfn.UNIQUE(C45:Z45,TRUE,FALSE)</f>
        <v>0</v>
      </c>
    </row>
    <row r="46" spans="1:28" ht="48" customHeight="1"/>
    <row r="47" spans="1:28" hidden="1"/>
    <row r="48" spans="1:2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spans="3:27" hidden="1"/>
    <row r="98" spans="3:27" hidden="1"/>
    <row r="99" spans="3:27" hidden="1"/>
    <row r="100" spans="3:27" hidden="1"/>
    <row r="101" spans="3:27" ht="170.25" customHeight="1">
      <c r="C101" s="19" t="str">
        <f>IF(C23="","",CONCATENATE(C23," Ares of land in ",IF(C20="","",CONCATENATE($B$20,C20,", ")),IF(C21="","",CONCATENATE($B$21,C21,", ")),IF(C22="","",CONCATENATE($B$22,C22,", ")),IF(C17="","",CONCATENATE($B$17,C17,", ")),IF(C18="","",CONCATENATE($B$18,C18,", ")),IF(C19="","",CONCATENATE($B$19,C19,", ")),IF(C14="","",CONCATENATE($B$14,C14,", ")),IF(C15="","",CONCATENATE($B$15,C15,", ")),IF(C16="","",CONCATENATE($B$16,C16))))</f>
        <v/>
      </c>
      <c r="D101" s="19" t="str">
        <f>IF(D23="","",CONCATENATE(D23," Ares of land in ",IF(D20="","",CONCATENATE($B$20,D20,", ")),IF(D21="","",CONCATENATE($B$21,D21,", ")),IF(D22="","",CONCATENATE($B$22,D22,", ")),IF(D17="","",CONCATENATE($B$17,D17,", ")),IF(D18="","",CONCATENATE($B$18,D18,", ")),IF(D19="","",CONCATENATE($B$19,D19,", ")),IF(D14="","",CONCATENATE($B$14,D14,", ")),IF(D15="","",CONCATENATE($B$15,D15,", ")),IF(D16="","",CONCATENATE($B$16,D16))))</f>
        <v/>
      </c>
      <c r="E101" s="19" t="str">
        <f t="shared" ref="E101:Z101" si="4">IF(E23="","",CONCATENATE(E23," Ares of land in ",IF(E20="","",CONCATENATE($B$20,E20,", ")),IF(E21="","",CONCATENATE($B$21,E21,", ")),IF(E22="","",CONCATENATE($B$22,E22,", ")),IF(E17="","",CONCATENATE($B$17,E17,", ")),IF(E18="","",CONCATENATE($B$18,E18,", ")),IF(E19="","",CONCATENATE($B$19,E19,", ")),IF(E14="","",CONCATENATE($B$14,E14,", ")),IF(E15="","",CONCATENATE($B$15,E15,", ")),IF(E16="","",CONCATENATE($B$16,E16))))</f>
        <v/>
      </c>
      <c r="F101" s="19" t="str">
        <f t="shared" si="4"/>
        <v/>
      </c>
      <c r="G101" s="19" t="str">
        <f t="shared" si="4"/>
        <v/>
      </c>
      <c r="H101" s="19" t="str">
        <f t="shared" si="4"/>
        <v/>
      </c>
      <c r="I101" s="19" t="str">
        <f t="shared" si="4"/>
        <v/>
      </c>
      <c r="J101" s="19" t="str">
        <f t="shared" si="4"/>
        <v/>
      </c>
      <c r="K101" s="19" t="str">
        <f t="shared" si="4"/>
        <v/>
      </c>
      <c r="L101" s="19" t="str">
        <f t="shared" si="4"/>
        <v/>
      </c>
      <c r="M101" s="19" t="str">
        <f t="shared" si="4"/>
        <v/>
      </c>
      <c r="N101" s="19" t="str">
        <f t="shared" si="4"/>
        <v/>
      </c>
      <c r="O101" s="19" t="str">
        <f t="shared" si="4"/>
        <v/>
      </c>
      <c r="P101" s="19" t="str">
        <f t="shared" si="4"/>
        <v/>
      </c>
      <c r="Q101" s="19" t="str">
        <f t="shared" si="4"/>
        <v/>
      </c>
      <c r="R101" s="19" t="str">
        <f t="shared" si="4"/>
        <v/>
      </c>
      <c r="S101" s="19" t="str">
        <f t="shared" si="4"/>
        <v/>
      </c>
      <c r="T101" s="19" t="str">
        <f t="shared" si="4"/>
        <v/>
      </c>
      <c r="U101" s="19" t="str">
        <f t="shared" si="4"/>
        <v/>
      </c>
      <c r="V101" s="19" t="str">
        <f t="shared" si="4"/>
        <v/>
      </c>
      <c r="W101" s="19" t="str">
        <f t="shared" si="4"/>
        <v/>
      </c>
      <c r="X101" s="19" t="str">
        <f t="shared" si="4"/>
        <v/>
      </c>
      <c r="Y101" s="19" t="str">
        <f t="shared" si="4"/>
        <v/>
      </c>
      <c r="Z101" s="19" t="str">
        <f t="shared" si="4"/>
        <v/>
      </c>
      <c r="AA101" s="19" t="str">
        <f>_xlfn.TEXTJOIN(" and ",TRUE,C101:Z101)</f>
        <v/>
      </c>
    </row>
    <row r="102" spans="3:27">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v>0</v>
      </c>
      <c r="AA102" s="19" t="s">
        <v>212</v>
      </c>
    </row>
    <row r="103" spans="3:27">
      <c r="Z103" s="19">
        <v>1</v>
      </c>
      <c r="AA103" s="19" t="str">
        <f>CONCATENATE(AA101," located in ",AA11,", ",AA10,", ",AA8,". ")</f>
        <v>located in  Village,  Taluk,  District.</v>
      </c>
    </row>
    <row r="104" spans="3:27" ht="146.25" customHeight="1">
      <c r="Z104" s="69">
        <v>2</v>
      </c>
      <c r="AA104" s="19" t="str">
        <f>CONCATENATE("A total of ",AA23," ares of land, comprising ",AA101," located in ",AA11,", ",AA10,", ",AA8,". ")</f>
        <v>A total of 0 ares of land, comprising  located in  Village,  Taluk,  District.</v>
      </c>
    </row>
    <row r="105" spans="3:27" ht="84.65" customHeight="1">
      <c r="Y105" s="477" t="s">
        <v>1107</v>
      </c>
      <c r="Z105" s="477"/>
      <c r="AA105" s="467" t="str">
        <f>IF(AA2&gt;2,AA104,VLOOKUP(AA2,Z102:AA104,2,FALSE))</f>
        <v>NA</v>
      </c>
    </row>
    <row r="106" spans="3:27">
      <c r="Y106" s="477"/>
      <c r="Z106" s="477"/>
      <c r="AA106" s="467"/>
    </row>
    <row r="107" spans="3:27">
      <c r="Y107" s="477" t="s">
        <v>1109</v>
      </c>
      <c r="Z107" s="477"/>
      <c r="AA107" s="467" t="s">
        <v>1110</v>
      </c>
    </row>
    <row r="108" spans="3:27">
      <c r="D108" s="69">
        <v>0</v>
      </c>
      <c r="Y108" s="477"/>
      <c r="Z108" s="477"/>
      <c r="AA108" s="467"/>
    </row>
    <row r="109" spans="3:27">
      <c r="Y109" s="477"/>
      <c r="Z109" s="477"/>
      <c r="AA109" s="467"/>
    </row>
    <row r="110" spans="3:27">
      <c r="Y110" s="477"/>
      <c r="Z110" s="477"/>
      <c r="AA110" s="467"/>
    </row>
    <row r="111" spans="3:27">
      <c r="Y111" s="477"/>
      <c r="Z111" s="477"/>
      <c r="AA111" s="467"/>
    </row>
    <row r="112" spans="3:27">
      <c r="Y112" s="477"/>
      <c r="Z112" s="477"/>
      <c r="AA112" s="467"/>
    </row>
    <row r="113" spans="25:27">
      <c r="Y113" s="477"/>
      <c r="Z113" s="477"/>
      <c r="AA113" s="467"/>
    </row>
  </sheetData>
  <mergeCells count="4">
    <mergeCell ref="AA105:AA106"/>
    <mergeCell ref="AA107:AA113"/>
    <mergeCell ref="Y105:Z106"/>
    <mergeCell ref="Y107:Z113"/>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0"/>
  <dimension ref="A2:AB113"/>
  <sheetViews>
    <sheetView workbookViewId="0"/>
  </sheetViews>
  <sheetFormatPr defaultColWidth="9.26953125" defaultRowHeight="14.5"/>
  <cols>
    <col min="1" max="1" width="3" style="69" customWidth="1"/>
    <col min="2" max="2" width="23.26953125" style="69" customWidth="1"/>
    <col min="3" max="3" width="11.54296875" style="69" customWidth="1"/>
    <col min="4" max="4" width="14" style="69" customWidth="1"/>
    <col min="5" max="5" width="11.54296875" style="69" customWidth="1"/>
    <col min="6" max="26" width="9.26953125" style="69"/>
    <col min="27" max="27" width="52.7265625" style="69" customWidth="1"/>
    <col min="28" max="28" width="15.54296875" style="69" customWidth="1"/>
    <col min="29" max="29" width="25.26953125" style="69" customWidth="1"/>
    <col min="30" max="31" width="29.26953125" style="69" customWidth="1"/>
    <col min="32" max="16384" width="9.26953125" style="69"/>
  </cols>
  <sheetData>
    <row r="2" spans="1:28">
      <c r="A2" s="70"/>
      <c r="B2" s="70"/>
      <c r="C2" s="70" t="str">
        <f>IF(MaGic_AVM_Land!C2="Building Certificate","Y","N")</f>
        <v>N</v>
      </c>
      <c r="D2" s="70" t="str">
        <f>IF(MaGic_AVM_Land!D2="Building Certificate","Y","N")</f>
        <v>N</v>
      </c>
      <c r="E2" s="70" t="str">
        <f>IF(MaGic_AVM_Land!E2="Building Certificate","Y","N")</f>
        <v>N</v>
      </c>
      <c r="F2" s="70" t="str">
        <f>IF(MaGic_AVM_Land!F2="Building Certificate","Y","N")</f>
        <v>N</v>
      </c>
      <c r="G2" s="70" t="str">
        <f>IF(MaGic_AVM_Land!G2="Building Certificate","Y","N")</f>
        <v>N</v>
      </c>
      <c r="H2" s="70" t="str">
        <f>IF(MaGic_AVM_Land!H2="Building Certificate","Y","N")</f>
        <v>N</v>
      </c>
      <c r="I2" s="70" t="str">
        <f>IF(MaGic_AVM_Land!I2="Building Certificate","Y","N")</f>
        <v>N</v>
      </c>
      <c r="J2" s="70" t="str">
        <f>IF(MaGic_AVM_Land!J2="Building Certificate","Y","N")</f>
        <v>N</v>
      </c>
      <c r="K2" s="70" t="str">
        <f>IF(MaGic_AVM_Land!K2="Building Certificate","Y","N")</f>
        <v>N</v>
      </c>
      <c r="L2" s="70" t="str">
        <f>IF(MaGic_AVM_Land!L2="Building Certificate","Y","N")</f>
        <v>N</v>
      </c>
      <c r="M2" s="70" t="str">
        <f>IF(MaGic_AVM_Land!M2="Building Certificate","Y","N")</f>
        <v>N</v>
      </c>
      <c r="N2" s="70" t="str">
        <f>IF(MaGic_AVM_Land!N2="Building Certificate","Y","N")</f>
        <v>N</v>
      </c>
      <c r="O2" s="70" t="str">
        <f>IF(MaGic_AVM_Land!O2="Building Certificate","Y","N")</f>
        <v>N</v>
      </c>
      <c r="P2" s="70" t="str">
        <f>IF(MaGic_AVM_Land!P2="Building Certificate","Y","N")</f>
        <v>N</v>
      </c>
      <c r="Q2" s="70" t="str">
        <f>IF(MaGic_AVM_Land!Q2="Building Certificate","Y","N")</f>
        <v>N</v>
      </c>
      <c r="R2" s="70" t="str">
        <f>IF(MaGic_AVM_Land!R2="Building Certificate","Y","N")</f>
        <v>N</v>
      </c>
      <c r="S2" s="70" t="str">
        <f>IF(MaGic_AVM_Land!S2="Building Certificate","Y","N")</f>
        <v>N</v>
      </c>
      <c r="T2" s="70" t="str">
        <f>IF(MaGic_AVM_Land!T2="Building Certificate","Y","N")</f>
        <v>N</v>
      </c>
      <c r="U2" s="70" t="str">
        <f>IF(MaGic_AVM_Land!U2="Building Certificate","Y","N")</f>
        <v>N</v>
      </c>
      <c r="V2" s="70" t="str">
        <f>IF(MaGic_AVM_Land!V2="Building Certificate","Y","N")</f>
        <v>N</v>
      </c>
      <c r="W2" s="70" t="str">
        <f>IF(MaGic_AVM_Land!W2="Building Certificate","Y","N")</f>
        <v>N</v>
      </c>
      <c r="X2" s="70" t="str">
        <f>IF(MaGic_AVM_Land!X2="Building Certificate","Y","N")</f>
        <v>N</v>
      </c>
      <c r="Y2" s="70" t="str">
        <f>IF(MaGic_AVM_Land!Y2="Building Certificate","Y","N")</f>
        <v>N</v>
      </c>
      <c r="Z2" s="70" t="str">
        <f>IF(MaGic_AVM_Land!Z2="Building Certificate","Y","N")</f>
        <v>N</v>
      </c>
      <c r="AA2" s="69">
        <f>COUNTIF(C2:Z2,"Y")</f>
        <v>0</v>
      </c>
      <c r="AB2" s="69" t="str" cm="1">
        <f t="array" ref="AB2">_xlfn.UNIQUE(C2:Z2,TRUE,FALSE)</f>
        <v>N</v>
      </c>
    </row>
    <row r="3" spans="1:28">
      <c r="A3" s="70">
        <v>1</v>
      </c>
      <c r="B3" s="70" t="s">
        <v>48</v>
      </c>
      <c r="C3" s="70" t="str">
        <f>IF(C$2="Y",IF(MaGic_AVM_Land!C3=0,"",MaGic_AVM_Land!C3),"")</f>
        <v/>
      </c>
      <c r="D3" s="70" t="str">
        <f>IF(D$2="Y",IF(MaGic_AVM_Land!D3=0,"",MaGic_AVM_Land!D3),"")</f>
        <v/>
      </c>
      <c r="E3" s="70" t="str">
        <f>IF(E$2="Y",IF(MaGic_AVM_Land!E3=0,"",MaGic_AVM_Land!E3),"")</f>
        <v/>
      </c>
      <c r="F3" s="70" t="str">
        <f>IF(F$2="Y",IF(MaGic_AVM_Land!F3=0,"",MaGic_AVM_Land!F3),"")</f>
        <v/>
      </c>
      <c r="G3" s="70" t="str">
        <f>IF(G$2="Y",IF(MaGic_AVM_Land!G3=0,"",MaGic_AVM_Land!G3),"")</f>
        <v/>
      </c>
      <c r="H3" s="70" t="str">
        <f>IF(H$2="Y",IF(MaGic_AVM_Land!H3=0,"",MaGic_AVM_Land!H3),"")</f>
        <v/>
      </c>
      <c r="I3" s="70" t="str">
        <f>IF(I$2="Y",IF(MaGic_AVM_Land!I3=0,"",MaGic_AVM_Land!I3),"")</f>
        <v/>
      </c>
      <c r="J3" s="70" t="str">
        <f>IF(J$2="Y",IF(MaGic_AVM_Land!J3=0,"",MaGic_AVM_Land!J3),"")</f>
        <v/>
      </c>
      <c r="K3" s="70" t="str">
        <f>IF(K$2="Y",IF(MaGic_AVM_Land!K3=0,"",MaGic_AVM_Land!K3),"")</f>
        <v/>
      </c>
      <c r="L3" s="70" t="str">
        <f>IF(L$2="Y",IF(MaGic_AVM_Land!L3=0,"",MaGic_AVM_Land!L3),"")</f>
        <v/>
      </c>
      <c r="M3" s="70" t="str">
        <f>IF(M$2="Y",IF(MaGic_AVM_Land!M3=0,"",MaGic_AVM_Land!M3),"")</f>
        <v/>
      </c>
      <c r="N3" s="70" t="str">
        <f>IF(N$2="Y",IF(MaGic_AVM_Land!N3=0,"",MaGic_AVM_Land!N3),"")</f>
        <v/>
      </c>
      <c r="O3" s="70" t="str">
        <f>IF(O$2="Y",IF(MaGic_AVM_Land!O3=0,"",MaGic_AVM_Land!O3),"")</f>
        <v/>
      </c>
      <c r="P3" s="70" t="str">
        <f>IF(P$2="Y",IF(MaGic_AVM_Land!P3=0,"",MaGic_AVM_Land!P3),"")</f>
        <v/>
      </c>
      <c r="Q3" s="70" t="str">
        <f>IF(Q$2="Y",IF(MaGic_AVM_Land!Q3=0,"",MaGic_AVM_Land!Q3),"")</f>
        <v/>
      </c>
      <c r="R3" s="70" t="str">
        <f>IF(R$2="Y",IF(MaGic_AVM_Land!R3=0,"",MaGic_AVM_Land!R3),"")</f>
        <v/>
      </c>
      <c r="S3" s="70" t="str">
        <f>IF(S$2="Y",IF(MaGic_AVM_Land!S3=0,"",MaGic_AVM_Land!S3),"")</f>
        <v/>
      </c>
      <c r="T3" s="70" t="str">
        <f>IF(T$2="Y",IF(MaGic_AVM_Land!T3=0,"",MaGic_AVM_Land!T3),"")</f>
        <v/>
      </c>
      <c r="U3" s="70" t="str">
        <f>IF(U$2="Y",IF(MaGic_AVM_Land!U3=0,"",MaGic_AVM_Land!U3),"")</f>
        <v/>
      </c>
      <c r="V3" s="70" t="str">
        <f>IF(V$2="Y",IF(MaGic_AVM_Land!V3=0,"",MaGic_AVM_Land!V3),"")</f>
        <v/>
      </c>
      <c r="W3" s="70" t="str">
        <f>IF(W$2="Y",IF(MaGic_AVM_Land!W3=0,"",MaGic_AVM_Land!W3),"")</f>
        <v/>
      </c>
      <c r="X3" s="70" t="str">
        <f>IF(X$2="Y",IF(MaGic_AVM_Land!X3=0,"",MaGic_AVM_Land!X3),"")</f>
        <v/>
      </c>
      <c r="Y3" s="70" t="str">
        <f>IF(Y$2="Y",IF(MaGic_AVM_Land!Y3=0,"",MaGic_AVM_Land!Y3),"")</f>
        <v/>
      </c>
      <c r="Z3" s="70" t="str">
        <f>IF(Z$2="Y",IF(MaGic_AVM_Land!Z3=0,"",MaGic_AVM_Land!Z3),"")</f>
        <v/>
      </c>
      <c r="AA3" s="69" t="str">
        <f t="shared" ref="AA3:AA7" si="0">_xlfn.TEXTJOIN(", ",TRUE,AB3:AZ3)</f>
        <v/>
      </c>
      <c r="AB3" s="69" t="str" cm="1">
        <f t="array" ref="AB3">_xlfn.UNIQUE(C3:Z3,TRUE,FALSE)</f>
        <v/>
      </c>
    </row>
    <row r="4" spans="1:28">
      <c r="A4" s="70">
        <v>2</v>
      </c>
      <c r="B4" s="70" t="s">
        <v>51</v>
      </c>
      <c r="C4" s="70" t="str">
        <f>IF(C$2="Y",IF(MaGic_AVM_Land!C4=0,"",MaGic_AVM_Land!C4),"")</f>
        <v/>
      </c>
      <c r="D4" s="70" t="str">
        <f>IF(D$2="Y",IF(MaGic_AVM_Land!D4=0,"",MaGic_AVM_Land!D4),"")</f>
        <v/>
      </c>
      <c r="E4" s="70" t="str">
        <f>IF(E$2="Y",IF(MaGic_AVM_Land!E4=0,"",MaGic_AVM_Land!E4),"")</f>
        <v/>
      </c>
      <c r="F4" s="70" t="str">
        <f>IF(F$2="Y",IF(MaGic_AVM_Land!F4=0,"",MaGic_AVM_Land!F4),"")</f>
        <v/>
      </c>
      <c r="G4" s="70" t="str">
        <f>IF(G$2="Y",IF(MaGic_AVM_Land!G4=0,"",MaGic_AVM_Land!G4),"")</f>
        <v/>
      </c>
      <c r="H4" s="70" t="str">
        <f>IF(H$2="Y",IF(MaGic_AVM_Land!H4=0,"",MaGic_AVM_Land!H4),"")</f>
        <v/>
      </c>
      <c r="I4" s="70" t="str">
        <f>IF(I$2="Y",IF(MaGic_AVM_Land!I4=0,"",MaGic_AVM_Land!I4),"")</f>
        <v/>
      </c>
      <c r="J4" s="70" t="str">
        <f>IF(J$2="Y",IF(MaGic_AVM_Land!J4=0,"",MaGic_AVM_Land!J4),"")</f>
        <v/>
      </c>
      <c r="K4" s="70" t="str">
        <f>IF(K$2="Y",IF(MaGic_AVM_Land!K4=0,"",MaGic_AVM_Land!K4),"")</f>
        <v/>
      </c>
      <c r="L4" s="70" t="str">
        <f>IF(L$2="Y",IF(MaGic_AVM_Land!L4=0,"",MaGic_AVM_Land!L4),"")</f>
        <v/>
      </c>
      <c r="M4" s="70" t="str">
        <f>IF(M$2="Y",IF(MaGic_AVM_Land!M4=0,"",MaGic_AVM_Land!M4),"")</f>
        <v/>
      </c>
      <c r="N4" s="70" t="str">
        <f>IF(N$2="Y",IF(MaGic_AVM_Land!N4=0,"",MaGic_AVM_Land!N4),"")</f>
        <v/>
      </c>
      <c r="O4" s="70" t="str">
        <f>IF(O$2="Y",IF(MaGic_AVM_Land!O4=0,"",MaGic_AVM_Land!O4),"")</f>
        <v/>
      </c>
      <c r="P4" s="70" t="str">
        <f>IF(P$2="Y",IF(MaGic_AVM_Land!P4=0,"",MaGic_AVM_Land!P4),"")</f>
        <v/>
      </c>
      <c r="Q4" s="70" t="str">
        <f>IF(Q$2="Y",IF(MaGic_AVM_Land!Q4=0,"",MaGic_AVM_Land!Q4),"")</f>
        <v/>
      </c>
      <c r="R4" s="70" t="str">
        <f>IF(R$2="Y",IF(MaGic_AVM_Land!R4=0,"",MaGic_AVM_Land!R4),"")</f>
        <v/>
      </c>
      <c r="S4" s="70" t="str">
        <f>IF(S$2="Y",IF(MaGic_AVM_Land!S4=0,"",MaGic_AVM_Land!S4),"")</f>
        <v/>
      </c>
      <c r="T4" s="70" t="str">
        <f>IF(T$2="Y",IF(MaGic_AVM_Land!T4=0,"",MaGic_AVM_Land!T4),"")</f>
        <v/>
      </c>
      <c r="U4" s="70" t="str">
        <f>IF(U$2="Y",IF(MaGic_AVM_Land!U4=0,"",MaGic_AVM_Land!U4),"")</f>
        <v/>
      </c>
      <c r="V4" s="70" t="str">
        <f>IF(V$2="Y",IF(MaGic_AVM_Land!V4=0,"",MaGic_AVM_Land!V4),"")</f>
        <v/>
      </c>
      <c r="W4" s="70" t="str">
        <f>IF(W$2="Y",IF(MaGic_AVM_Land!W4=0,"",MaGic_AVM_Land!W4),"")</f>
        <v/>
      </c>
      <c r="X4" s="70" t="str">
        <f>IF(X$2="Y",IF(MaGic_AVM_Land!X4=0,"",MaGic_AVM_Land!X4),"")</f>
        <v/>
      </c>
      <c r="Y4" s="70" t="str">
        <f>IF(Y$2="Y",IF(MaGic_AVM_Land!Y4=0,"",MaGic_AVM_Land!Y4),"")</f>
        <v/>
      </c>
      <c r="Z4" s="70" t="str">
        <f>IF(Z$2="Y",IF(MaGic_AVM_Land!Z4=0,"",MaGic_AVM_Land!Z4),"")</f>
        <v/>
      </c>
      <c r="AA4" s="69" t="str">
        <f t="shared" si="0"/>
        <v/>
      </c>
      <c r="AB4" s="69" t="str" cm="1">
        <f t="array" ref="AB4">_xlfn.UNIQUE(C4:Z4,TRUE,FALSE)</f>
        <v/>
      </c>
    </row>
    <row r="5" spans="1:28">
      <c r="A5" s="70">
        <v>3</v>
      </c>
      <c r="B5" s="70" t="s">
        <v>52</v>
      </c>
      <c r="C5" s="70" t="str">
        <f>IF(C$2="Y",IF(MaGic_AVM_Land!C5=0,"",MaGic_AVM_Land!C5),"")</f>
        <v/>
      </c>
      <c r="D5" s="70" t="str">
        <f>IF(D$2="Y",IF(MaGic_AVM_Land!D5=0,"",MaGic_AVM_Land!D5),"")</f>
        <v/>
      </c>
      <c r="E5" s="70" t="str">
        <f>IF(E$2="Y",IF(MaGic_AVM_Land!E5=0,"",MaGic_AVM_Land!E5),"")</f>
        <v/>
      </c>
      <c r="F5" s="70" t="str">
        <f>IF(F$2="Y",IF(MaGic_AVM_Land!F5=0,"",MaGic_AVM_Land!F5),"")</f>
        <v/>
      </c>
      <c r="G5" s="70" t="str">
        <f>IF(G$2="Y",IF(MaGic_AVM_Land!G5=0,"",MaGic_AVM_Land!G5),"")</f>
        <v/>
      </c>
      <c r="H5" s="70" t="str">
        <f>IF(H$2="Y",IF(MaGic_AVM_Land!H5=0,"",MaGic_AVM_Land!H5),"")</f>
        <v/>
      </c>
      <c r="I5" s="70" t="str">
        <f>IF(I$2="Y",IF(MaGic_AVM_Land!I5=0,"",MaGic_AVM_Land!I5),"")</f>
        <v/>
      </c>
      <c r="J5" s="70" t="str">
        <f>IF(J$2="Y",IF(MaGic_AVM_Land!J5=0,"",MaGic_AVM_Land!J5),"")</f>
        <v/>
      </c>
      <c r="K5" s="70" t="str">
        <f>IF(K$2="Y",IF(MaGic_AVM_Land!K5=0,"",MaGic_AVM_Land!K5),"")</f>
        <v/>
      </c>
      <c r="L5" s="70" t="str">
        <f>IF(L$2="Y",IF(MaGic_AVM_Land!L5=0,"",MaGic_AVM_Land!L5),"")</f>
        <v/>
      </c>
      <c r="M5" s="70" t="str">
        <f>IF(M$2="Y",IF(MaGic_AVM_Land!M5=0,"",MaGic_AVM_Land!M5),"")</f>
        <v/>
      </c>
      <c r="N5" s="70" t="str">
        <f>IF(N$2="Y",IF(MaGic_AVM_Land!N5=0,"",MaGic_AVM_Land!N5),"")</f>
        <v/>
      </c>
      <c r="O5" s="70" t="str">
        <f>IF(O$2="Y",IF(MaGic_AVM_Land!O5=0,"",MaGic_AVM_Land!O5),"")</f>
        <v/>
      </c>
      <c r="P5" s="70" t="str">
        <f>IF(P$2="Y",IF(MaGic_AVM_Land!P5=0,"",MaGic_AVM_Land!P5),"")</f>
        <v/>
      </c>
      <c r="Q5" s="70" t="str">
        <f>IF(Q$2="Y",IF(MaGic_AVM_Land!Q5=0,"",MaGic_AVM_Land!Q5),"")</f>
        <v/>
      </c>
      <c r="R5" s="70" t="str">
        <f>IF(R$2="Y",IF(MaGic_AVM_Land!R5=0,"",MaGic_AVM_Land!R5),"")</f>
        <v/>
      </c>
      <c r="S5" s="70" t="str">
        <f>IF(S$2="Y",IF(MaGic_AVM_Land!S5=0,"",MaGic_AVM_Land!S5),"")</f>
        <v/>
      </c>
      <c r="T5" s="70" t="str">
        <f>IF(T$2="Y",IF(MaGic_AVM_Land!T5=0,"",MaGic_AVM_Land!T5),"")</f>
        <v/>
      </c>
      <c r="U5" s="70" t="str">
        <f>IF(U$2="Y",IF(MaGic_AVM_Land!U5=0,"",MaGic_AVM_Land!U5),"")</f>
        <v/>
      </c>
      <c r="V5" s="70" t="str">
        <f>IF(V$2="Y",IF(MaGic_AVM_Land!V5=0,"",MaGic_AVM_Land!V5),"")</f>
        <v/>
      </c>
      <c r="W5" s="70" t="str">
        <f>IF(W$2="Y",IF(MaGic_AVM_Land!W5=0,"",MaGic_AVM_Land!W5),"")</f>
        <v/>
      </c>
      <c r="X5" s="70" t="str">
        <f>IF(X$2="Y",IF(MaGic_AVM_Land!X5=0,"",MaGic_AVM_Land!X5),"")</f>
        <v/>
      </c>
      <c r="Y5" s="70" t="str">
        <f>IF(Y$2="Y",IF(MaGic_AVM_Land!Y5=0,"",MaGic_AVM_Land!Y5),"")</f>
        <v/>
      </c>
      <c r="Z5" s="70" t="str">
        <f>IF(Z$2="Y",IF(MaGic_AVM_Land!Z5=0,"",MaGic_AVM_Land!Z5),"")</f>
        <v/>
      </c>
      <c r="AA5" s="69" t="str">
        <f t="shared" si="0"/>
        <v/>
      </c>
      <c r="AB5" s="69" t="str" cm="1">
        <f t="array" ref="AB5">_xlfn.UNIQUE(C5:Z5,TRUE,FALSE)</f>
        <v/>
      </c>
    </row>
    <row r="6" spans="1:28">
      <c r="A6" s="70">
        <v>4</v>
      </c>
      <c r="B6" s="70" t="s">
        <v>1101</v>
      </c>
      <c r="C6" s="70" t="str">
        <f>IF(C$2="Y",IF(MaGic_AVM_Land!C6=0,"",MaGic_AVM_Land!C6),"")</f>
        <v/>
      </c>
      <c r="D6" s="70" t="str">
        <f>IF(D$2="Y",IF(MaGic_AVM_Land!D6=0,"",MaGic_AVM_Land!D6),"")</f>
        <v/>
      </c>
      <c r="E6" s="70" t="str">
        <f>IF(E$2="Y",IF(MaGic_AVM_Land!E6=0,"",MaGic_AVM_Land!E6),"")</f>
        <v/>
      </c>
      <c r="F6" s="70" t="str">
        <f>IF(F$2="Y",IF(MaGic_AVM_Land!F6=0,"",MaGic_AVM_Land!F6),"")</f>
        <v/>
      </c>
      <c r="G6" s="70" t="str">
        <f>IF(G$2="Y",IF(MaGic_AVM_Land!G6=0,"",MaGic_AVM_Land!G6),"")</f>
        <v/>
      </c>
      <c r="H6" s="70" t="str">
        <f>IF(H$2="Y",IF(MaGic_AVM_Land!H6=0,"",MaGic_AVM_Land!H6),"")</f>
        <v/>
      </c>
      <c r="I6" s="70" t="str">
        <f>IF(I$2="Y",IF(MaGic_AVM_Land!I6=0,"",MaGic_AVM_Land!I6),"")</f>
        <v/>
      </c>
      <c r="J6" s="70" t="str">
        <f>IF(J$2="Y",IF(MaGic_AVM_Land!J6=0,"",MaGic_AVM_Land!J6),"")</f>
        <v/>
      </c>
      <c r="K6" s="70" t="str">
        <f>IF(K$2="Y",IF(MaGic_AVM_Land!K6=0,"",MaGic_AVM_Land!K6),"")</f>
        <v/>
      </c>
      <c r="L6" s="70" t="str">
        <f>IF(L$2="Y",IF(MaGic_AVM_Land!L6=0,"",MaGic_AVM_Land!L6),"")</f>
        <v/>
      </c>
      <c r="M6" s="70" t="str">
        <f>IF(M$2="Y",IF(MaGic_AVM_Land!M6=0,"",MaGic_AVM_Land!M6),"")</f>
        <v/>
      </c>
      <c r="N6" s="70" t="str">
        <f>IF(N$2="Y",IF(MaGic_AVM_Land!N6=0,"",MaGic_AVM_Land!N6),"")</f>
        <v/>
      </c>
      <c r="O6" s="70" t="str">
        <f>IF(O$2="Y",IF(MaGic_AVM_Land!O6=0,"",MaGic_AVM_Land!O6),"")</f>
        <v/>
      </c>
      <c r="P6" s="70" t="str">
        <f>IF(P$2="Y",IF(MaGic_AVM_Land!P6=0,"",MaGic_AVM_Land!P6),"")</f>
        <v/>
      </c>
      <c r="Q6" s="70" t="str">
        <f>IF(Q$2="Y",IF(MaGic_AVM_Land!Q6=0,"",MaGic_AVM_Land!Q6),"")</f>
        <v/>
      </c>
      <c r="R6" s="70" t="str">
        <f>IF(R$2="Y",IF(MaGic_AVM_Land!R6=0,"",MaGic_AVM_Land!R6),"")</f>
        <v/>
      </c>
      <c r="S6" s="70" t="str">
        <f>IF(S$2="Y",IF(MaGic_AVM_Land!S6=0,"",MaGic_AVM_Land!S6),"")</f>
        <v/>
      </c>
      <c r="T6" s="70" t="str">
        <f>IF(T$2="Y",IF(MaGic_AVM_Land!T6=0,"",MaGic_AVM_Land!T6),"")</f>
        <v/>
      </c>
      <c r="U6" s="70" t="str">
        <f>IF(U$2="Y",IF(MaGic_AVM_Land!U6=0,"",MaGic_AVM_Land!U6),"")</f>
        <v/>
      </c>
      <c r="V6" s="70" t="str">
        <f>IF(V$2="Y",IF(MaGic_AVM_Land!V6=0,"",MaGic_AVM_Land!V6),"")</f>
        <v/>
      </c>
      <c r="W6" s="70" t="str">
        <f>IF(W$2="Y",IF(MaGic_AVM_Land!W6=0,"",MaGic_AVM_Land!W6),"")</f>
        <v/>
      </c>
      <c r="X6" s="70" t="str">
        <f>IF(X$2="Y",IF(MaGic_AVM_Land!X6=0,"",MaGic_AVM_Land!X6),"")</f>
        <v/>
      </c>
      <c r="Y6" s="70" t="str">
        <f>IF(Y$2="Y",IF(MaGic_AVM_Land!Y6=0,"",MaGic_AVM_Land!Y6),"")</f>
        <v/>
      </c>
      <c r="Z6" s="70" t="str">
        <f>IF(Z$2="Y",IF(MaGic_AVM_Land!Z6=0,"",MaGic_AVM_Land!Z6),"")</f>
        <v/>
      </c>
      <c r="AA6" s="69" t="str">
        <f t="shared" si="0"/>
        <v/>
      </c>
      <c r="AB6" s="69" t="str" cm="1">
        <f t="array" ref="AB6">_xlfn.UNIQUE(C6:Z6,TRUE,FALSE)</f>
        <v/>
      </c>
    </row>
    <row r="7" spans="1:28">
      <c r="A7" s="70">
        <v>2</v>
      </c>
      <c r="B7" s="70" t="s">
        <v>1102</v>
      </c>
      <c r="C7" s="70" t="str">
        <f>IF(C$2="Y",IF(MaGic_AVM_Land!C7=0,"",MaGic_AVM_Land!C7),"")</f>
        <v/>
      </c>
      <c r="D7" s="70" t="str">
        <f>IF(D$2="Y",IF(MaGic_AVM_Land!D7=0,"",MaGic_AVM_Land!D7),"")</f>
        <v/>
      </c>
      <c r="E7" s="70" t="str">
        <f>IF(E$2="Y",IF(MaGic_AVM_Land!E7=0,"",MaGic_AVM_Land!E7),"")</f>
        <v/>
      </c>
      <c r="F7" s="70" t="str">
        <f>IF(F$2="Y",IF(MaGic_AVM_Land!F7=0,"",MaGic_AVM_Land!F7),"")</f>
        <v/>
      </c>
      <c r="G7" s="70" t="str">
        <f>IF(G$2="Y",IF(MaGic_AVM_Land!G7=0,"",MaGic_AVM_Land!G7),"")</f>
        <v/>
      </c>
      <c r="H7" s="70" t="str">
        <f>IF(H$2="Y",IF(MaGic_AVM_Land!H7=0,"",MaGic_AVM_Land!H7),"")</f>
        <v/>
      </c>
      <c r="I7" s="70" t="str">
        <f>IF(I$2="Y",IF(MaGic_AVM_Land!I7=0,"",MaGic_AVM_Land!I7),"")</f>
        <v/>
      </c>
      <c r="J7" s="70" t="str">
        <f>IF(J$2="Y",IF(MaGic_AVM_Land!J7=0,"",MaGic_AVM_Land!J7),"")</f>
        <v/>
      </c>
      <c r="K7" s="70" t="str">
        <f>IF(K$2="Y",IF(MaGic_AVM_Land!K7=0,"",MaGic_AVM_Land!K7),"")</f>
        <v/>
      </c>
      <c r="L7" s="70" t="str">
        <f>IF(L$2="Y",IF(MaGic_AVM_Land!L7=0,"",MaGic_AVM_Land!L7),"")</f>
        <v/>
      </c>
      <c r="M7" s="70" t="str">
        <f>IF(M$2="Y",IF(MaGic_AVM_Land!M7=0,"",MaGic_AVM_Land!M7),"")</f>
        <v/>
      </c>
      <c r="N7" s="70" t="str">
        <f>IF(N$2="Y",IF(MaGic_AVM_Land!N7=0,"",MaGic_AVM_Land!N7),"")</f>
        <v/>
      </c>
      <c r="O7" s="70" t="str">
        <f>IF(O$2="Y",IF(MaGic_AVM_Land!O7=0,"",MaGic_AVM_Land!O7),"")</f>
        <v/>
      </c>
      <c r="P7" s="70" t="str">
        <f>IF(P$2="Y",IF(MaGic_AVM_Land!P7=0,"",MaGic_AVM_Land!P7),"")</f>
        <v/>
      </c>
      <c r="Q7" s="70" t="str">
        <f>IF(Q$2="Y",IF(MaGic_AVM_Land!Q7=0,"",MaGic_AVM_Land!Q7),"")</f>
        <v/>
      </c>
      <c r="R7" s="70" t="str">
        <f>IF(R$2="Y",IF(MaGic_AVM_Land!R7=0,"",MaGic_AVM_Land!R7),"")</f>
        <v/>
      </c>
      <c r="S7" s="70" t="str">
        <f>IF(S$2="Y",IF(MaGic_AVM_Land!S7=0,"",MaGic_AVM_Land!S7),"")</f>
        <v/>
      </c>
      <c r="T7" s="70" t="str">
        <f>IF(T$2="Y",IF(MaGic_AVM_Land!T7=0,"",MaGic_AVM_Land!T7),"")</f>
        <v/>
      </c>
      <c r="U7" s="70" t="str">
        <f>IF(U$2="Y",IF(MaGic_AVM_Land!U7=0,"",MaGic_AVM_Land!U7),"")</f>
        <v/>
      </c>
      <c r="V7" s="70" t="str">
        <f>IF(V$2="Y",IF(MaGic_AVM_Land!V7=0,"",MaGic_AVM_Land!V7),"")</f>
        <v/>
      </c>
      <c r="W7" s="70" t="str">
        <f>IF(W$2="Y",IF(MaGic_AVM_Land!W7=0,"",MaGic_AVM_Land!W7),"")</f>
        <v/>
      </c>
      <c r="X7" s="70" t="str">
        <f>IF(X$2="Y",IF(MaGic_AVM_Land!X7=0,"",MaGic_AVM_Land!X7),"")</f>
        <v/>
      </c>
      <c r="Y7" s="70" t="str">
        <f>IF(Y$2="Y",IF(MaGic_AVM_Land!Y7=0,"",MaGic_AVM_Land!Y7),"")</f>
        <v/>
      </c>
      <c r="Z7" s="70" t="str">
        <f>IF(Z$2="Y",IF(MaGic_AVM_Land!Z7=0,"",MaGic_AVM_Land!Z7),"")</f>
        <v/>
      </c>
      <c r="AA7" s="69" t="str">
        <f t="shared" si="0"/>
        <v/>
      </c>
      <c r="AB7" s="69" t="str" cm="1">
        <f t="array" ref="AB7">_xlfn.UNIQUE(C7:Z7,TRUE,FALSE)</f>
        <v/>
      </c>
    </row>
    <row r="8" spans="1:28">
      <c r="A8" s="70">
        <v>6</v>
      </c>
      <c r="B8" s="70" t="s">
        <v>31</v>
      </c>
      <c r="C8" s="70" t="str">
        <f>IF(C$2="Y",IF(MaGic_AVM_Land!C8=0,"",MaGic_AVM_Land!C8),"")</f>
        <v/>
      </c>
      <c r="D8" s="70" t="str">
        <f>IF(D$2="Y",IF(MaGic_AVM_Land!D8=0,"",MaGic_AVM_Land!D8),"")</f>
        <v/>
      </c>
      <c r="E8" s="70" t="str">
        <f>IF(E$2="Y",IF(MaGic_AVM_Land!E8=0,"",MaGic_AVM_Land!E8),"")</f>
        <v/>
      </c>
      <c r="F8" s="70" t="str">
        <f>IF(F$2="Y",IF(MaGic_AVM_Land!F8=0,"",MaGic_AVM_Land!F8),"")</f>
        <v/>
      </c>
      <c r="G8" s="70" t="str">
        <f>IF(G$2="Y",IF(MaGic_AVM_Land!G8=0,"",MaGic_AVM_Land!G8),"")</f>
        <v/>
      </c>
      <c r="H8" s="70" t="str">
        <f>IF(H$2="Y",IF(MaGic_AVM_Land!H8=0,"",MaGic_AVM_Land!H8),"")</f>
        <v/>
      </c>
      <c r="I8" s="70" t="str">
        <f>IF(I$2="Y",IF(MaGic_AVM_Land!I8=0,"",MaGic_AVM_Land!I8),"")</f>
        <v/>
      </c>
      <c r="J8" s="70" t="str">
        <f>IF(J$2="Y",IF(MaGic_AVM_Land!J8=0,"",MaGic_AVM_Land!J8),"")</f>
        <v/>
      </c>
      <c r="K8" s="70" t="str">
        <f>IF(K$2="Y",IF(MaGic_AVM_Land!K8=0,"",MaGic_AVM_Land!K8),"")</f>
        <v/>
      </c>
      <c r="L8" s="70" t="str">
        <f>IF(L$2="Y",IF(MaGic_AVM_Land!L8=0,"",MaGic_AVM_Land!L8),"")</f>
        <v/>
      </c>
      <c r="M8" s="70" t="str">
        <f>IF(M$2="Y",IF(MaGic_AVM_Land!M8=0,"",MaGic_AVM_Land!M8),"")</f>
        <v/>
      </c>
      <c r="N8" s="70" t="str">
        <f>IF(N$2="Y",IF(MaGic_AVM_Land!N8=0,"",MaGic_AVM_Land!N8),"")</f>
        <v/>
      </c>
      <c r="O8" s="70" t="str">
        <f>IF(O$2="Y",IF(MaGic_AVM_Land!O8=0,"",MaGic_AVM_Land!O8),"")</f>
        <v/>
      </c>
      <c r="P8" s="70" t="str">
        <f>IF(P$2="Y",IF(MaGic_AVM_Land!P8=0,"",MaGic_AVM_Land!P8),"")</f>
        <v/>
      </c>
      <c r="Q8" s="70" t="str">
        <f>IF(Q$2="Y",IF(MaGic_AVM_Land!Q8=0,"",MaGic_AVM_Land!Q8),"")</f>
        <v/>
      </c>
      <c r="R8" s="70" t="str">
        <f>IF(R$2="Y",IF(MaGic_AVM_Land!R8=0,"",MaGic_AVM_Land!R8),"")</f>
        <v/>
      </c>
      <c r="S8" s="70" t="str">
        <f>IF(S$2="Y",IF(MaGic_AVM_Land!S8=0,"",MaGic_AVM_Land!S8),"")</f>
        <v/>
      </c>
      <c r="T8" s="70" t="str">
        <f>IF(T$2="Y",IF(MaGic_AVM_Land!T8=0,"",MaGic_AVM_Land!T8),"")</f>
        <v/>
      </c>
      <c r="U8" s="70" t="str">
        <f>IF(U$2="Y",IF(MaGic_AVM_Land!U8=0,"",MaGic_AVM_Land!U8),"")</f>
        <v/>
      </c>
      <c r="V8" s="70" t="str">
        <f>IF(V$2="Y",IF(MaGic_AVM_Land!V8=0,"",MaGic_AVM_Land!V8),"")</f>
        <v/>
      </c>
      <c r="W8" s="70" t="str">
        <f>IF(W$2="Y",IF(MaGic_AVM_Land!W8=0,"",MaGic_AVM_Land!W8),"")</f>
        <v/>
      </c>
      <c r="X8" s="70" t="str">
        <f>IF(X$2="Y",IF(MaGic_AVM_Land!X8=0,"",MaGic_AVM_Land!X8),"")</f>
        <v/>
      </c>
      <c r="Y8" s="70" t="str">
        <f>IF(Y$2="Y",IF(MaGic_AVM_Land!Y8=0,"",MaGic_AVM_Land!Y8),"")</f>
        <v/>
      </c>
      <c r="Z8" s="70" t="str">
        <f>IF(Z$2="Y",IF(MaGic_AVM_Land!Z8=0,"",MaGic_AVM_Land!Z8),"")</f>
        <v/>
      </c>
      <c r="AA8" s="69" t="str">
        <f>CONCATENATE(IF(AB8="",AC8,AB8)," District")</f>
        <v>District</v>
      </c>
      <c r="AB8" s="69" t="str" cm="1">
        <f t="array" ref="AB8">_xlfn.UNIQUE(C8:Z8,TRUE,FALSE)</f>
        <v/>
      </c>
    </row>
    <row r="9" spans="1:28">
      <c r="A9" s="70">
        <v>7</v>
      </c>
      <c r="B9" s="70" t="s">
        <v>59</v>
      </c>
      <c r="C9" s="70" t="str">
        <f>IF(C$2="Y",IF(MaGic_AVM_Land!C9=0,"",MaGic_AVM_Land!C9),"")</f>
        <v/>
      </c>
      <c r="D9" s="70" t="str">
        <f>IF(D$2="Y",IF(MaGic_AVM_Land!D9=0,"",MaGic_AVM_Land!D9),"")</f>
        <v/>
      </c>
      <c r="E9" s="70" t="str">
        <f>IF(E$2="Y",IF(MaGic_AVM_Land!E9=0,"",MaGic_AVM_Land!E9),"")</f>
        <v/>
      </c>
      <c r="F9" s="70" t="str">
        <f>IF(F$2="Y",IF(MaGic_AVM_Land!F9=0,"",MaGic_AVM_Land!F9),"")</f>
        <v/>
      </c>
      <c r="G9" s="70" t="str">
        <f>IF(G$2="Y",IF(MaGic_AVM_Land!G9=0,"",MaGic_AVM_Land!G9),"")</f>
        <v/>
      </c>
      <c r="H9" s="70" t="str">
        <f>IF(H$2="Y",IF(MaGic_AVM_Land!H9=0,"",MaGic_AVM_Land!H9),"")</f>
        <v/>
      </c>
      <c r="I9" s="70" t="str">
        <f>IF(I$2="Y",IF(MaGic_AVM_Land!I9=0,"",MaGic_AVM_Land!I9),"")</f>
        <v/>
      </c>
      <c r="J9" s="70" t="str">
        <f>IF(J$2="Y",IF(MaGic_AVM_Land!J9=0,"",MaGic_AVM_Land!J9),"")</f>
        <v/>
      </c>
      <c r="K9" s="70" t="str">
        <f>IF(K$2="Y",IF(MaGic_AVM_Land!K9=0,"",MaGic_AVM_Land!K9),"")</f>
        <v/>
      </c>
      <c r="L9" s="70" t="str">
        <f>IF(L$2="Y",IF(MaGic_AVM_Land!L9=0,"",MaGic_AVM_Land!L9),"")</f>
        <v/>
      </c>
      <c r="M9" s="70" t="str">
        <f>IF(M$2="Y",IF(MaGic_AVM_Land!M9=0,"",MaGic_AVM_Land!M9),"")</f>
        <v/>
      </c>
      <c r="N9" s="70" t="str">
        <f>IF(N$2="Y",IF(MaGic_AVM_Land!N9=0,"",MaGic_AVM_Land!N9),"")</f>
        <v/>
      </c>
      <c r="O9" s="70" t="str">
        <f>IF(O$2="Y",IF(MaGic_AVM_Land!O9=0,"",MaGic_AVM_Land!O9),"")</f>
        <v/>
      </c>
      <c r="P9" s="70" t="str">
        <f>IF(P$2="Y",IF(MaGic_AVM_Land!P9=0,"",MaGic_AVM_Land!P9),"")</f>
        <v/>
      </c>
      <c r="Q9" s="70" t="str">
        <f>IF(Q$2="Y",IF(MaGic_AVM_Land!Q9=0,"",MaGic_AVM_Land!Q9),"")</f>
        <v/>
      </c>
      <c r="R9" s="70" t="str">
        <f>IF(R$2="Y",IF(MaGic_AVM_Land!R9=0,"",MaGic_AVM_Land!R9),"")</f>
        <v/>
      </c>
      <c r="S9" s="70" t="str">
        <f>IF(S$2="Y",IF(MaGic_AVM_Land!S9=0,"",MaGic_AVM_Land!S9),"")</f>
        <v/>
      </c>
      <c r="T9" s="70" t="str">
        <f>IF(T$2="Y",IF(MaGic_AVM_Land!T9=0,"",MaGic_AVM_Land!T9),"")</f>
        <v/>
      </c>
      <c r="U9" s="70" t="str">
        <f>IF(U$2="Y",IF(MaGic_AVM_Land!U9=0,"",MaGic_AVM_Land!U9),"")</f>
        <v/>
      </c>
      <c r="V9" s="70" t="str">
        <f>IF(V$2="Y",IF(MaGic_AVM_Land!V9=0,"",MaGic_AVM_Land!V9),"")</f>
        <v/>
      </c>
      <c r="W9" s="70" t="str">
        <f>IF(W$2="Y",IF(MaGic_AVM_Land!W9=0,"",MaGic_AVM_Land!W9),"")</f>
        <v/>
      </c>
      <c r="X9" s="70" t="str">
        <f>IF(X$2="Y",IF(MaGic_AVM_Land!X9=0,"",MaGic_AVM_Land!X9),"")</f>
        <v/>
      </c>
      <c r="Y9" s="70" t="str">
        <f>IF(Y$2="Y",IF(MaGic_AVM_Land!Y9=0,"",MaGic_AVM_Land!Y9),"")</f>
        <v/>
      </c>
      <c r="Z9" s="70" t="str">
        <f>IF(Z$2="Y",IF(MaGic_AVM_Land!Z9=0,"",MaGic_AVM_Land!Z9),"")</f>
        <v/>
      </c>
      <c r="AA9" s="69" t="str">
        <f>CONCATENATE(IF(AB9="",AC9,AB9)," SRO")</f>
        <v>SRO</v>
      </c>
      <c r="AB9" s="69" t="str" cm="1">
        <f t="array" ref="AB9">_xlfn.UNIQUE(C9:Z9,TRUE,FALSE)</f>
        <v/>
      </c>
    </row>
    <row r="10" spans="1:28">
      <c r="A10" s="70">
        <v>8</v>
      </c>
      <c r="B10" s="70" t="s">
        <v>61</v>
      </c>
      <c r="C10" s="70" t="str">
        <f>IF(C$2="Y",IF(MaGic_AVM_Land!C10=0,"",MaGic_AVM_Land!C10),"")</f>
        <v/>
      </c>
      <c r="D10" s="70" t="str">
        <f>IF(D$2="Y",IF(MaGic_AVM_Land!D10=0,"",MaGic_AVM_Land!D10),"")</f>
        <v/>
      </c>
      <c r="E10" s="70" t="str">
        <f>IF(E$2="Y",IF(MaGic_AVM_Land!E10=0,"",MaGic_AVM_Land!E10),"")</f>
        <v/>
      </c>
      <c r="F10" s="70" t="str">
        <f>IF(F$2="Y",IF(MaGic_AVM_Land!F10=0,"",MaGic_AVM_Land!F10),"")</f>
        <v/>
      </c>
      <c r="G10" s="70" t="str">
        <f>IF(G$2="Y",IF(MaGic_AVM_Land!G10=0,"",MaGic_AVM_Land!G10),"")</f>
        <v/>
      </c>
      <c r="H10" s="70" t="str">
        <f>IF(H$2="Y",IF(MaGic_AVM_Land!H10=0,"",MaGic_AVM_Land!H10),"")</f>
        <v/>
      </c>
      <c r="I10" s="70" t="str">
        <f>IF(I$2="Y",IF(MaGic_AVM_Land!I10=0,"",MaGic_AVM_Land!I10),"")</f>
        <v/>
      </c>
      <c r="J10" s="70" t="str">
        <f>IF(J$2="Y",IF(MaGic_AVM_Land!J10=0,"",MaGic_AVM_Land!J10),"")</f>
        <v/>
      </c>
      <c r="K10" s="70" t="str">
        <f>IF(K$2="Y",IF(MaGic_AVM_Land!K10=0,"",MaGic_AVM_Land!K10),"")</f>
        <v/>
      </c>
      <c r="L10" s="70" t="str">
        <f>IF(L$2="Y",IF(MaGic_AVM_Land!L10=0,"",MaGic_AVM_Land!L10),"")</f>
        <v/>
      </c>
      <c r="M10" s="70" t="str">
        <f>IF(M$2="Y",IF(MaGic_AVM_Land!M10=0,"",MaGic_AVM_Land!M10),"")</f>
        <v/>
      </c>
      <c r="N10" s="70" t="str">
        <f>IF(N$2="Y",IF(MaGic_AVM_Land!N10=0,"",MaGic_AVM_Land!N10),"")</f>
        <v/>
      </c>
      <c r="O10" s="70" t="str">
        <f>IF(O$2="Y",IF(MaGic_AVM_Land!O10=0,"",MaGic_AVM_Land!O10),"")</f>
        <v/>
      </c>
      <c r="P10" s="70" t="str">
        <f>IF(P$2="Y",IF(MaGic_AVM_Land!P10=0,"",MaGic_AVM_Land!P10),"")</f>
        <v/>
      </c>
      <c r="Q10" s="70" t="str">
        <f>IF(Q$2="Y",IF(MaGic_AVM_Land!Q10=0,"",MaGic_AVM_Land!Q10),"")</f>
        <v/>
      </c>
      <c r="R10" s="70" t="str">
        <f>IF(R$2="Y",IF(MaGic_AVM_Land!R10=0,"",MaGic_AVM_Land!R10),"")</f>
        <v/>
      </c>
      <c r="S10" s="70" t="str">
        <f>IF(S$2="Y",IF(MaGic_AVM_Land!S10=0,"",MaGic_AVM_Land!S10),"")</f>
        <v/>
      </c>
      <c r="T10" s="70" t="str">
        <f>IF(T$2="Y",IF(MaGic_AVM_Land!T10=0,"",MaGic_AVM_Land!T10),"")</f>
        <v/>
      </c>
      <c r="U10" s="70" t="str">
        <f>IF(U$2="Y",IF(MaGic_AVM_Land!U10=0,"",MaGic_AVM_Land!U10),"")</f>
        <v/>
      </c>
      <c r="V10" s="70" t="str">
        <f>IF(V$2="Y",IF(MaGic_AVM_Land!V10=0,"",MaGic_AVM_Land!V10),"")</f>
        <v/>
      </c>
      <c r="W10" s="70" t="str">
        <f>IF(W$2="Y",IF(MaGic_AVM_Land!W10=0,"",MaGic_AVM_Land!W10),"")</f>
        <v/>
      </c>
      <c r="X10" s="70" t="str">
        <f>IF(X$2="Y",IF(MaGic_AVM_Land!X10=0,"",MaGic_AVM_Land!X10),"")</f>
        <v/>
      </c>
      <c r="Y10" s="70" t="str">
        <f>IF(Y$2="Y",IF(MaGic_AVM_Land!Y10=0,"",MaGic_AVM_Land!Y10),"")</f>
        <v/>
      </c>
      <c r="Z10" s="70" t="str">
        <f>IF(Z$2="Y",IF(MaGic_AVM_Land!Z10=0,"",MaGic_AVM_Land!Z10),"")</f>
        <v/>
      </c>
      <c r="AA10" s="69" t="str">
        <f>CONCATENATE(IF(AB10="",AC10,AB10)," Taluk")</f>
        <v>Taluk</v>
      </c>
      <c r="AB10" s="69" t="str" cm="1">
        <f t="array" ref="AB10">_xlfn.UNIQUE(C10:Z10,TRUE,FALSE)</f>
        <v/>
      </c>
    </row>
    <row r="11" spans="1:28">
      <c r="A11" s="70">
        <v>9</v>
      </c>
      <c r="B11" s="70" t="s">
        <v>63</v>
      </c>
      <c r="C11" s="70" t="str">
        <f>IF(C$2="Y",IF(MaGic_AVM_Land!C11=0,"",MaGic_AVM_Land!C11),"")</f>
        <v/>
      </c>
      <c r="D11" s="70" t="str">
        <f>IF(D$2="Y",IF(MaGic_AVM_Land!D11=0,"",MaGic_AVM_Land!D11),"")</f>
        <v/>
      </c>
      <c r="E11" s="70" t="str">
        <f>IF(E$2="Y",IF(MaGic_AVM_Land!E11=0,"",MaGic_AVM_Land!E11),"")</f>
        <v/>
      </c>
      <c r="F11" s="70" t="str">
        <f>IF(F$2="Y",IF(MaGic_AVM_Land!F11=0,"",MaGic_AVM_Land!F11),"")</f>
        <v/>
      </c>
      <c r="G11" s="70" t="str">
        <f>IF(G$2="Y",IF(MaGic_AVM_Land!G11=0,"",MaGic_AVM_Land!G11),"")</f>
        <v/>
      </c>
      <c r="H11" s="70" t="str">
        <f>IF(H$2="Y",IF(MaGic_AVM_Land!H11=0,"",MaGic_AVM_Land!H11),"")</f>
        <v/>
      </c>
      <c r="I11" s="70" t="str">
        <f>IF(I$2="Y",IF(MaGic_AVM_Land!I11=0,"",MaGic_AVM_Land!I11),"")</f>
        <v/>
      </c>
      <c r="J11" s="70" t="str">
        <f>IF(J$2="Y",IF(MaGic_AVM_Land!J11=0,"",MaGic_AVM_Land!J11),"")</f>
        <v/>
      </c>
      <c r="K11" s="70" t="str">
        <f>IF(K$2="Y",IF(MaGic_AVM_Land!K11=0,"",MaGic_AVM_Land!K11),"")</f>
        <v/>
      </c>
      <c r="L11" s="70" t="str">
        <f>IF(L$2="Y",IF(MaGic_AVM_Land!L11=0,"",MaGic_AVM_Land!L11),"")</f>
        <v/>
      </c>
      <c r="M11" s="70" t="str">
        <f>IF(M$2="Y",IF(MaGic_AVM_Land!M11=0,"",MaGic_AVM_Land!M11),"")</f>
        <v/>
      </c>
      <c r="N11" s="70" t="str">
        <f>IF(N$2="Y",IF(MaGic_AVM_Land!N11=0,"",MaGic_AVM_Land!N11),"")</f>
        <v/>
      </c>
      <c r="O11" s="70" t="str">
        <f>IF(O$2="Y",IF(MaGic_AVM_Land!O11=0,"",MaGic_AVM_Land!O11),"")</f>
        <v/>
      </c>
      <c r="P11" s="70" t="str">
        <f>IF(P$2="Y",IF(MaGic_AVM_Land!P11=0,"",MaGic_AVM_Land!P11),"")</f>
        <v/>
      </c>
      <c r="Q11" s="70" t="str">
        <f>IF(Q$2="Y",IF(MaGic_AVM_Land!Q11=0,"",MaGic_AVM_Land!Q11),"")</f>
        <v/>
      </c>
      <c r="R11" s="70" t="str">
        <f>IF(R$2="Y",IF(MaGic_AVM_Land!R11=0,"",MaGic_AVM_Land!R11),"")</f>
        <v/>
      </c>
      <c r="S11" s="70" t="str">
        <f>IF(S$2="Y",IF(MaGic_AVM_Land!S11=0,"",MaGic_AVM_Land!S11),"")</f>
        <v/>
      </c>
      <c r="T11" s="70" t="str">
        <f>IF(T$2="Y",IF(MaGic_AVM_Land!T11=0,"",MaGic_AVM_Land!T11),"")</f>
        <v/>
      </c>
      <c r="U11" s="70" t="str">
        <f>IF(U$2="Y",IF(MaGic_AVM_Land!U11=0,"",MaGic_AVM_Land!U11),"")</f>
        <v/>
      </c>
      <c r="V11" s="70" t="str">
        <f>IF(V$2="Y",IF(MaGic_AVM_Land!V11=0,"",MaGic_AVM_Land!V11),"")</f>
        <v/>
      </c>
      <c r="W11" s="70" t="str">
        <f>IF(W$2="Y",IF(MaGic_AVM_Land!W11=0,"",MaGic_AVM_Land!W11),"")</f>
        <v/>
      </c>
      <c r="X11" s="70" t="str">
        <f>IF(X$2="Y",IF(MaGic_AVM_Land!X11=0,"",MaGic_AVM_Land!X11),"")</f>
        <v/>
      </c>
      <c r="Y11" s="70" t="str">
        <f>IF(Y$2="Y",IF(MaGic_AVM_Land!Y11=0,"",MaGic_AVM_Land!Y11),"")</f>
        <v/>
      </c>
      <c r="Z11" s="70" t="str">
        <f>IF(Z$2="Y",IF(MaGic_AVM_Land!Z11=0,"",MaGic_AVM_Land!Z11),"")</f>
        <v/>
      </c>
      <c r="AA11" s="69" t="str">
        <f>CONCATENATE(IF(AB11="",AC11,AB11)," Village")</f>
        <v>Village</v>
      </c>
      <c r="AB11" s="69" t="str" cm="1">
        <f t="array" ref="AB11">_xlfn.UNIQUE(C11:Z11,TRUE,FALSE)</f>
        <v/>
      </c>
    </row>
    <row r="12" spans="1:28">
      <c r="A12" s="70">
        <v>10</v>
      </c>
      <c r="B12" s="70" t="s">
        <v>65</v>
      </c>
      <c r="C12" s="70" t="str">
        <f>IF(C$2="Y",IF(MaGic_AVM_Land!C12=0,"",MaGic_AVM_Land!C12),"")</f>
        <v/>
      </c>
      <c r="D12" s="70" t="str">
        <f>IF(D$2="Y",IF(MaGic_AVM_Land!D12=0,"",MaGic_AVM_Land!D12),"")</f>
        <v/>
      </c>
      <c r="E12" s="70" t="str">
        <f>IF(E$2="Y",IF(MaGic_AVM_Land!E12=0,"",MaGic_AVM_Land!E12),"")</f>
        <v/>
      </c>
      <c r="F12" s="70" t="str">
        <f>IF(F$2="Y",IF(MaGic_AVM_Land!F12=0,"",MaGic_AVM_Land!F12),"")</f>
        <v/>
      </c>
      <c r="G12" s="70" t="str">
        <f>IF(G$2="Y",IF(MaGic_AVM_Land!G12=0,"",MaGic_AVM_Land!G12),"")</f>
        <v/>
      </c>
      <c r="H12" s="70" t="str">
        <f>IF(H$2="Y",IF(MaGic_AVM_Land!H12=0,"",MaGic_AVM_Land!H12),"")</f>
        <v/>
      </c>
      <c r="I12" s="70" t="str">
        <f>IF(I$2="Y",IF(MaGic_AVM_Land!I12=0,"",MaGic_AVM_Land!I12),"")</f>
        <v/>
      </c>
      <c r="J12" s="70" t="str">
        <f>IF(J$2="Y",IF(MaGic_AVM_Land!J12=0,"",MaGic_AVM_Land!J12),"")</f>
        <v/>
      </c>
      <c r="K12" s="70" t="str">
        <f>IF(K$2="Y",IF(MaGic_AVM_Land!K12=0,"",MaGic_AVM_Land!K12),"")</f>
        <v/>
      </c>
      <c r="L12" s="70" t="str">
        <f>IF(L$2="Y",IF(MaGic_AVM_Land!L12=0,"",MaGic_AVM_Land!L12),"")</f>
        <v/>
      </c>
      <c r="M12" s="70" t="str">
        <f>IF(M$2="Y",IF(MaGic_AVM_Land!M12=0,"",MaGic_AVM_Land!M12),"")</f>
        <v/>
      </c>
      <c r="N12" s="70" t="str">
        <f>IF(N$2="Y",IF(MaGic_AVM_Land!N12=0,"",MaGic_AVM_Land!N12),"")</f>
        <v/>
      </c>
      <c r="O12" s="70" t="str">
        <f>IF(O$2="Y",IF(MaGic_AVM_Land!O12=0,"",MaGic_AVM_Land!O12),"")</f>
        <v/>
      </c>
      <c r="P12" s="70" t="str">
        <f>IF(P$2="Y",IF(MaGic_AVM_Land!P12=0,"",MaGic_AVM_Land!P12),"")</f>
        <v/>
      </c>
      <c r="Q12" s="70" t="str">
        <f>IF(Q$2="Y",IF(MaGic_AVM_Land!Q12=0,"",MaGic_AVM_Land!Q12),"")</f>
        <v/>
      </c>
      <c r="R12" s="70" t="str">
        <f>IF(R$2="Y",IF(MaGic_AVM_Land!R12=0,"",MaGic_AVM_Land!R12),"")</f>
        <v/>
      </c>
      <c r="S12" s="70" t="str">
        <f>IF(S$2="Y",IF(MaGic_AVM_Land!S12=0,"",MaGic_AVM_Land!S12),"")</f>
        <v/>
      </c>
      <c r="T12" s="70" t="str">
        <f>IF(T$2="Y",IF(MaGic_AVM_Land!T12=0,"",MaGic_AVM_Land!T12),"")</f>
        <v/>
      </c>
      <c r="U12" s="70" t="str">
        <f>IF(U$2="Y",IF(MaGic_AVM_Land!U12=0,"",MaGic_AVM_Land!U12),"")</f>
        <v/>
      </c>
      <c r="V12" s="70" t="str">
        <f>IF(V$2="Y",IF(MaGic_AVM_Land!V12=0,"",MaGic_AVM_Land!V12),"")</f>
        <v/>
      </c>
      <c r="W12" s="70" t="str">
        <f>IF(W$2="Y",IF(MaGic_AVM_Land!W12=0,"",MaGic_AVM_Land!W12),"")</f>
        <v/>
      </c>
      <c r="X12" s="70" t="str">
        <f>IF(X$2="Y",IF(MaGic_AVM_Land!X12=0,"",MaGic_AVM_Land!X12),"")</f>
        <v/>
      </c>
      <c r="Y12" s="70" t="str">
        <f>IF(Y$2="Y",IF(MaGic_AVM_Land!Y12=0,"",MaGic_AVM_Land!Y12),"")</f>
        <v/>
      </c>
      <c r="Z12" s="70" t="str">
        <f>IF(Z$2="Y",IF(MaGic_AVM_Land!Z12=0,"",MaGic_AVM_Land!Z12),"")</f>
        <v/>
      </c>
      <c r="AA12" s="69" t="str">
        <f>CONCATENATE(IF(AB12="",AC12,AB12))</f>
        <v/>
      </c>
      <c r="AB12" s="69" t="str" cm="1">
        <f t="array" ref="AB12">_xlfn.UNIQUE(C12:Z12,TRUE,FALSE)</f>
        <v/>
      </c>
    </row>
    <row r="13" spans="1:28">
      <c r="A13" s="70">
        <v>11</v>
      </c>
      <c r="B13" s="70" t="s">
        <v>67</v>
      </c>
      <c r="C13" s="71" t="str">
        <f>IF(C$2="Y",IF(MaGic_AVM_Land!C13=0,"",MaGic_AVM_Land!C13),"")</f>
        <v/>
      </c>
      <c r="D13" s="71" t="str">
        <f>IF(D$2="Y",IF(MaGic_AVM_Land!D13=0,"",MaGic_AVM_Land!D13),"")</f>
        <v/>
      </c>
      <c r="E13" s="71" t="str">
        <f>IF(E$2="Y",IF(MaGic_AVM_Land!E13=0,"",MaGic_AVM_Land!E13),"")</f>
        <v/>
      </c>
      <c r="F13" s="71" t="str">
        <f>IF(F$2="Y",IF(MaGic_AVM_Land!F13=0,"",MaGic_AVM_Land!F13),"")</f>
        <v/>
      </c>
      <c r="G13" s="71" t="str">
        <f>IF(G$2="Y",IF(MaGic_AVM_Land!G13=0,"",MaGic_AVM_Land!G13),"")</f>
        <v/>
      </c>
      <c r="H13" s="71" t="str">
        <f>IF(H$2="Y",IF(MaGic_AVM_Land!H13=0,"",MaGic_AVM_Land!H13),"")</f>
        <v/>
      </c>
      <c r="I13" s="71" t="str">
        <f>IF(I$2="Y",IF(MaGic_AVM_Land!I13=0,"",MaGic_AVM_Land!I13),"")</f>
        <v/>
      </c>
      <c r="J13" s="71" t="str">
        <f>IF(J$2="Y",IF(MaGic_AVM_Land!J13=0,"",MaGic_AVM_Land!J13),"")</f>
        <v/>
      </c>
      <c r="K13" s="71" t="str">
        <f>IF(K$2="Y",IF(MaGic_AVM_Land!K13=0,"",MaGic_AVM_Land!K13),"")</f>
        <v/>
      </c>
      <c r="L13" s="71" t="str">
        <f>IF(L$2="Y",IF(MaGic_AVM_Land!L13=0,"",MaGic_AVM_Land!L13),"")</f>
        <v/>
      </c>
      <c r="M13" s="71" t="str">
        <f>IF(M$2="Y",IF(MaGic_AVM_Land!M13=0,"",MaGic_AVM_Land!M13),"")</f>
        <v/>
      </c>
      <c r="N13" s="71" t="str">
        <f>IF(N$2="Y",IF(MaGic_AVM_Land!N13=0,"",MaGic_AVM_Land!N13),"")</f>
        <v/>
      </c>
      <c r="O13" s="71" t="str">
        <f>IF(O$2="Y",IF(MaGic_AVM_Land!O13=0,"",MaGic_AVM_Land!O13),"")</f>
        <v/>
      </c>
      <c r="P13" s="71" t="str">
        <f>IF(P$2="Y",IF(MaGic_AVM_Land!P13=0,"",MaGic_AVM_Land!P13),"")</f>
        <v/>
      </c>
      <c r="Q13" s="71" t="str">
        <f>IF(Q$2="Y",IF(MaGic_AVM_Land!Q13=0,"",MaGic_AVM_Land!Q13),"")</f>
        <v/>
      </c>
      <c r="R13" s="71" t="str">
        <f>IF(R$2="Y",IF(MaGic_AVM_Land!R13=0,"",MaGic_AVM_Land!R13),"")</f>
        <v/>
      </c>
      <c r="S13" s="71" t="str">
        <f>IF(S$2="Y",IF(MaGic_AVM_Land!S13=0,"",MaGic_AVM_Land!S13),"")</f>
        <v/>
      </c>
      <c r="T13" s="71" t="str">
        <f>IF(T$2="Y",IF(MaGic_AVM_Land!T13=0,"",MaGic_AVM_Land!T13),"")</f>
        <v/>
      </c>
      <c r="U13" s="71" t="str">
        <f>IF(U$2="Y",IF(MaGic_AVM_Land!U13=0,"",MaGic_AVM_Land!U13),"")</f>
        <v/>
      </c>
      <c r="V13" s="71" t="str">
        <f>IF(V$2="Y",IF(MaGic_AVM_Land!V13=0,"",MaGic_AVM_Land!V13),"")</f>
        <v/>
      </c>
      <c r="W13" s="71" t="str">
        <f>IF(W$2="Y",IF(MaGic_AVM_Land!W13=0,"",MaGic_AVM_Land!W13),"")</f>
        <v/>
      </c>
      <c r="X13" s="71" t="str">
        <f>IF(X$2="Y",IF(MaGic_AVM_Land!X13=0,"",MaGic_AVM_Land!X13),"")</f>
        <v/>
      </c>
      <c r="Y13" s="71" t="str">
        <f>IF(Y$2="Y",IF(MaGic_AVM_Land!Y13=0,"",MaGic_AVM_Land!Y13),"")</f>
        <v/>
      </c>
      <c r="Z13" s="71" t="str">
        <f>IF(Z$2="Y",IF(MaGic_AVM_Land!Z13=0,"",MaGic_AVM_Land!Z13),"")</f>
        <v/>
      </c>
      <c r="AA13" s="69" t="str">
        <f>CONCATENATE(IF(AB13="",AC13,AB13)," ",AA12)</f>
        <v/>
      </c>
      <c r="AB13" s="69" t="str" cm="1">
        <f t="array" ref="AB13">_xlfn.UNIQUE(C13:Z13,TRUE,FALSE)</f>
        <v/>
      </c>
    </row>
    <row r="14" spans="1:28">
      <c r="A14" s="70">
        <v>12</v>
      </c>
      <c r="B14" s="70" t="s">
        <v>69</v>
      </c>
      <c r="C14" s="71" t="str">
        <f>IF(C$2="Y",IF(MaGic_AVM_Land!C14=0,"",MaGic_AVM_Land!C14),"")</f>
        <v/>
      </c>
      <c r="D14" s="71" t="str">
        <f>IF(D$2="Y",IF(MaGic_AVM_Land!D14=0,"",MaGic_AVM_Land!D14),"")</f>
        <v/>
      </c>
      <c r="E14" s="71" t="str">
        <f>IF(E$2="Y",IF(MaGic_AVM_Land!E14=0,"",MaGic_AVM_Land!E14),"")</f>
        <v/>
      </c>
      <c r="F14" s="71" t="str">
        <f>IF(F$2="Y",IF(MaGic_AVM_Land!F14=0,"",MaGic_AVM_Land!F14),"")</f>
        <v/>
      </c>
      <c r="G14" s="71" t="str">
        <f>IF(G$2="Y",IF(MaGic_AVM_Land!G14=0,"",MaGic_AVM_Land!G14),"")</f>
        <v/>
      </c>
      <c r="H14" s="71" t="str">
        <f>IF(H$2="Y",IF(MaGic_AVM_Land!H14=0,"",MaGic_AVM_Land!H14),"")</f>
        <v/>
      </c>
      <c r="I14" s="71" t="str">
        <f>IF(I$2="Y",IF(MaGic_AVM_Land!I14=0,"",MaGic_AVM_Land!I14),"")</f>
        <v/>
      </c>
      <c r="J14" s="71" t="str">
        <f>IF(J$2="Y",IF(MaGic_AVM_Land!J14=0,"",MaGic_AVM_Land!J14),"")</f>
        <v/>
      </c>
      <c r="K14" s="71" t="str">
        <f>IF(K$2="Y",IF(MaGic_AVM_Land!K14=0,"",MaGic_AVM_Land!K14),"")</f>
        <v/>
      </c>
      <c r="L14" s="71" t="str">
        <f>IF(L$2="Y",IF(MaGic_AVM_Land!L14=0,"",MaGic_AVM_Land!L14),"")</f>
        <v/>
      </c>
      <c r="M14" s="71" t="str">
        <f>IF(M$2="Y",IF(MaGic_AVM_Land!M14=0,"",MaGic_AVM_Land!M14),"")</f>
        <v/>
      </c>
      <c r="N14" s="71" t="str">
        <f>IF(N$2="Y",IF(MaGic_AVM_Land!N14=0,"",MaGic_AVM_Land!N14),"")</f>
        <v/>
      </c>
      <c r="O14" s="71" t="str">
        <f>IF(O$2="Y",IF(MaGic_AVM_Land!O14=0,"",MaGic_AVM_Land!O14),"")</f>
        <v/>
      </c>
      <c r="P14" s="71" t="str">
        <f>IF(P$2="Y",IF(MaGic_AVM_Land!P14=0,"",MaGic_AVM_Land!P14),"")</f>
        <v/>
      </c>
      <c r="Q14" s="71" t="str">
        <f>IF(Q$2="Y",IF(MaGic_AVM_Land!Q14=0,"",MaGic_AVM_Land!Q14),"")</f>
        <v/>
      </c>
      <c r="R14" s="71" t="str">
        <f>IF(R$2="Y",IF(MaGic_AVM_Land!R14=0,"",MaGic_AVM_Land!R14),"")</f>
        <v/>
      </c>
      <c r="S14" s="71" t="str">
        <f>IF(S$2="Y",IF(MaGic_AVM_Land!S14=0,"",MaGic_AVM_Land!S14),"")</f>
        <v/>
      </c>
      <c r="T14" s="71" t="str">
        <f>IF(T$2="Y",IF(MaGic_AVM_Land!T14=0,"",MaGic_AVM_Land!T14),"")</f>
        <v/>
      </c>
      <c r="U14" s="71" t="str">
        <f>IF(U$2="Y",IF(MaGic_AVM_Land!U14=0,"",MaGic_AVM_Land!U14),"")</f>
        <v/>
      </c>
      <c r="V14" s="71" t="str">
        <f>IF(V$2="Y",IF(MaGic_AVM_Land!V14=0,"",MaGic_AVM_Land!V14),"")</f>
        <v/>
      </c>
      <c r="W14" s="71" t="str">
        <f>IF(W$2="Y",IF(MaGic_AVM_Land!W14=0,"",MaGic_AVM_Land!W14),"")</f>
        <v/>
      </c>
      <c r="X14" s="71" t="str">
        <f>IF(X$2="Y",IF(MaGic_AVM_Land!X14=0,"",MaGic_AVM_Land!X14),"")</f>
        <v/>
      </c>
      <c r="Y14" s="71" t="str">
        <f>IF(Y$2="Y",IF(MaGic_AVM_Land!Y14=0,"",MaGic_AVM_Land!Y14),"")</f>
        <v/>
      </c>
      <c r="Z14" s="71" t="str">
        <f>IF(Z$2="Y",IF(MaGic_AVM_Land!Z14=0,"",MaGic_AVM_Land!Z14),"")</f>
        <v/>
      </c>
      <c r="AA14" s="69" t="str">
        <f t="shared" ref="AA14:AA18" si="1">_xlfn.TEXTJOIN(",",TRUE,AB14:AZ14)</f>
        <v/>
      </c>
      <c r="AB14" s="69" t="str" cm="1">
        <f t="array" ref="AB14">_xlfn.UNIQUE(C14:Z14,TRUE,FALSE)</f>
        <v/>
      </c>
    </row>
    <row r="15" spans="1:28">
      <c r="A15" s="70">
        <v>13</v>
      </c>
      <c r="B15" s="70" t="s">
        <v>70</v>
      </c>
      <c r="C15" s="71" t="str">
        <f>IF(C$2="Y",IF(MaGic_AVM_Land!C15=0,"",MaGic_AVM_Land!C15),"")</f>
        <v/>
      </c>
      <c r="D15" s="71" t="str">
        <f>IF(D$2="Y",IF(MaGic_AVM_Land!D15=0,"",MaGic_AVM_Land!D15),"")</f>
        <v/>
      </c>
      <c r="E15" s="71" t="str">
        <f>IF(E$2="Y",IF(MaGic_AVM_Land!E15=0,"",MaGic_AVM_Land!E15),"")</f>
        <v/>
      </c>
      <c r="F15" s="71" t="str">
        <f>IF(F$2="Y",IF(MaGic_AVM_Land!F15=0,"",MaGic_AVM_Land!F15),"")</f>
        <v/>
      </c>
      <c r="G15" s="71" t="str">
        <f>IF(G$2="Y",IF(MaGic_AVM_Land!G15=0,"",MaGic_AVM_Land!G15),"")</f>
        <v/>
      </c>
      <c r="H15" s="71" t="str">
        <f>IF(H$2="Y",IF(MaGic_AVM_Land!H15=0,"",MaGic_AVM_Land!H15),"")</f>
        <v/>
      </c>
      <c r="I15" s="71" t="str">
        <f>IF(I$2="Y",IF(MaGic_AVM_Land!I15=0,"",MaGic_AVM_Land!I15),"")</f>
        <v/>
      </c>
      <c r="J15" s="71" t="str">
        <f>IF(J$2="Y",IF(MaGic_AVM_Land!J15=0,"",MaGic_AVM_Land!J15),"")</f>
        <v/>
      </c>
      <c r="K15" s="71" t="str">
        <f>IF(K$2="Y",IF(MaGic_AVM_Land!K15=0,"",MaGic_AVM_Land!K15),"")</f>
        <v/>
      </c>
      <c r="L15" s="71" t="str">
        <f>IF(L$2="Y",IF(MaGic_AVM_Land!L15=0,"",MaGic_AVM_Land!L15),"")</f>
        <v/>
      </c>
      <c r="M15" s="71" t="str">
        <f>IF(M$2="Y",IF(MaGic_AVM_Land!M15=0,"",MaGic_AVM_Land!M15),"")</f>
        <v/>
      </c>
      <c r="N15" s="71" t="str">
        <f>IF(N$2="Y",IF(MaGic_AVM_Land!N15=0,"",MaGic_AVM_Land!N15),"")</f>
        <v/>
      </c>
      <c r="O15" s="71" t="str">
        <f>IF(O$2="Y",IF(MaGic_AVM_Land!O15=0,"",MaGic_AVM_Land!O15),"")</f>
        <v/>
      </c>
      <c r="P15" s="71" t="str">
        <f>IF(P$2="Y",IF(MaGic_AVM_Land!P15=0,"",MaGic_AVM_Land!P15),"")</f>
        <v/>
      </c>
      <c r="Q15" s="71" t="str">
        <f>IF(Q$2="Y",IF(MaGic_AVM_Land!Q15=0,"",MaGic_AVM_Land!Q15),"")</f>
        <v/>
      </c>
      <c r="R15" s="71" t="str">
        <f>IF(R$2="Y",IF(MaGic_AVM_Land!R15=0,"",MaGic_AVM_Land!R15),"")</f>
        <v/>
      </c>
      <c r="S15" s="71" t="str">
        <f>IF(S$2="Y",IF(MaGic_AVM_Land!S15=0,"",MaGic_AVM_Land!S15),"")</f>
        <v/>
      </c>
      <c r="T15" s="71" t="str">
        <f>IF(T$2="Y",IF(MaGic_AVM_Land!T15=0,"",MaGic_AVM_Land!T15),"")</f>
        <v/>
      </c>
      <c r="U15" s="71" t="str">
        <f>IF(U$2="Y",IF(MaGic_AVM_Land!U15=0,"",MaGic_AVM_Land!U15),"")</f>
        <v/>
      </c>
      <c r="V15" s="71" t="str">
        <f>IF(V$2="Y",IF(MaGic_AVM_Land!V15=0,"",MaGic_AVM_Land!V15),"")</f>
        <v/>
      </c>
      <c r="W15" s="71" t="str">
        <f>IF(W$2="Y",IF(MaGic_AVM_Land!W15=0,"",MaGic_AVM_Land!W15),"")</f>
        <v/>
      </c>
      <c r="X15" s="71" t="str">
        <f>IF(X$2="Y",IF(MaGic_AVM_Land!X15=0,"",MaGic_AVM_Land!X15),"")</f>
        <v/>
      </c>
      <c r="Y15" s="71" t="str">
        <f>IF(Y$2="Y",IF(MaGic_AVM_Land!Y15=0,"",MaGic_AVM_Land!Y15),"")</f>
        <v/>
      </c>
      <c r="Z15" s="71" t="str">
        <f>IF(Z$2="Y",IF(MaGic_AVM_Land!Z15=0,"",MaGic_AVM_Land!Z15),"")</f>
        <v/>
      </c>
      <c r="AA15" s="69" t="str">
        <f t="shared" si="1"/>
        <v/>
      </c>
      <c r="AB15" s="69" t="str" cm="1">
        <f t="array" ref="AB15">_xlfn.UNIQUE(C15:Z15,TRUE,FALSE)</f>
        <v/>
      </c>
    </row>
    <row r="16" spans="1:28">
      <c r="A16" s="70">
        <v>14</v>
      </c>
      <c r="B16" s="70" t="s">
        <v>71</v>
      </c>
      <c r="C16" s="71" t="str">
        <f>IF(C$2="Y",IF(MaGic_AVM_Land!C16=0,"",MaGic_AVM_Land!C16),"")</f>
        <v/>
      </c>
      <c r="D16" s="71" t="str">
        <f>IF(D$2="Y",IF(MaGic_AVM_Land!D16=0,"",MaGic_AVM_Land!D16),"")</f>
        <v/>
      </c>
      <c r="E16" s="71" t="str">
        <f>IF(E$2="Y",IF(MaGic_AVM_Land!E16=0,"",MaGic_AVM_Land!E16),"")</f>
        <v/>
      </c>
      <c r="F16" s="71" t="str">
        <f>IF(F$2="Y",IF(MaGic_AVM_Land!F16=0,"",MaGic_AVM_Land!F16),"")</f>
        <v/>
      </c>
      <c r="G16" s="71" t="str">
        <f>IF(G$2="Y",IF(MaGic_AVM_Land!G16=0,"",MaGic_AVM_Land!G16),"")</f>
        <v/>
      </c>
      <c r="H16" s="71" t="str">
        <f>IF(H$2="Y",IF(MaGic_AVM_Land!H16=0,"",MaGic_AVM_Land!H16),"")</f>
        <v/>
      </c>
      <c r="I16" s="71" t="str">
        <f>IF(I$2="Y",IF(MaGic_AVM_Land!I16=0,"",MaGic_AVM_Land!I16),"")</f>
        <v/>
      </c>
      <c r="J16" s="71" t="str">
        <f>IF(J$2="Y",IF(MaGic_AVM_Land!J16=0,"",MaGic_AVM_Land!J16),"")</f>
        <v/>
      </c>
      <c r="K16" s="71" t="str">
        <f>IF(K$2="Y",IF(MaGic_AVM_Land!K16=0,"",MaGic_AVM_Land!K16),"")</f>
        <v/>
      </c>
      <c r="L16" s="71" t="str">
        <f>IF(L$2="Y",IF(MaGic_AVM_Land!L16=0,"",MaGic_AVM_Land!L16),"")</f>
        <v/>
      </c>
      <c r="M16" s="71" t="str">
        <f>IF(M$2="Y",IF(MaGic_AVM_Land!M16=0,"",MaGic_AVM_Land!M16),"")</f>
        <v/>
      </c>
      <c r="N16" s="71" t="str">
        <f>IF(N$2="Y",IF(MaGic_AVM_Land!N16=0,"",MaGic_AVM_Land!N16),"")</f>
        <v/>
      </c>
      <c r="O16" s="71" t="str">
        <f>IF(O$2="Y",IF(MaGic_AVM_Land!O16=0,"",MaGic_AVM_Land!O16),"")</f>
        <v/>
      </c>
      <c r="P16" s="71" t="str">
        <f>IF(P$2="Y",IF(MaGic_AVM_Land!P16=0,"",MaGic_AVM_Land!P16),"")</f>
        <v/>
      </c>
      <c r="Q16" s="71" t="str">
        <f>IF(Q$2="Y",IF(MaGic_AVM_Land!Q16=0,"",MaGic_AVM_Land!Q16),"")</f>
        <v/>
      </c>
      <c r="R16" s="71" t="str">
        <f>IF(R$2="Y",IF(MaGic_AVM_Land!R16=0,"",MaGic_AVM_Land!R16),"")</f>
        <v/>
      </c>
      <c r="S16" s="71" t="str">
        <f>IF(S$2="Y",IF(MaGic_AVM_Land!S16=0,"",MaGic_AVM_Land!S16),"")</f>
        <v/>
      </c>
      <c r="T16" s="71" t="str">
        <f>IF(T$2="Y",IF(MaGic_AVM_Land!T16=0,"",MaGic_AVM_Land!T16),"")</f>
        <v/>
      </c>
      <c r="U16" s="71" t="str">
        <f>IF(U$2="Y",IF(MaGic_AVM_Land!U16=0,"",MaGic_AVM_Land!U16),"")</f>
        <v/>
      </c>
      <c r="V16" s="71" t="str">
        <f>IF(V$2="Y",IF(MaGic_AVM_Land!V16=0,"",MaGic_AVM_Land!V16),"")</f>
        <v/>
      </c>
      <c r="W16" s="71" t="str">
        <f>IF(W$2="Y",IF(MaGic_AVM_Land!W16=0,"",MaGic_AVM_Land!W16),"")</f>
        <v/>
      </c>
      <c r="X16" s="71" t="str">
        <f>IF(X$2="Y",IF(MaGic_AVM_Land!X16=0,"",MaGic_AVM_Land!X16),"")</f>
        <v/>
      </c>
      <c r="Y16" s="71" t="str">
        <f>IF(Y$2="Y",IF(MaGic_AVM_Land!Y16=0,"",MaGic_AVM_Land!Y16),"")</f>
        <v/>
      </c>
      <c r="Z16" s="71" t="str">
        <f>IF(Z$2="Y",IF(MaGic_AVM_Land!Z16=0,"",MaGic_AVM_Land!Z16),"")</f>
        <v/>
      </c>
      <c r="AA16" s="69" t="str">
        <f t="shared" si="1"/>
        <v/>
      </c>
      <c r="AB16" s="69" t="str" cm="1">
        <f t="array" ref="AB16">_xlfn.UNIQUE(C16:Z16,TRUE,FALSE)</f>
        <v/>
      </c>
    </row>
    <row r="17" spans="1:28">
      <c r="A17" s="70">
        <v>15</v>
      </c>
      <c r="B17" s="70" t="s">
        <v>77</v>
      </c>
      <c r="C17" s="71" t="str">
        <f>IF(C$2="Y",IF(MaGic_AVM_Land!C17=0,"",MaGic_AVM_Land!C17),"")</f>
        <v/>
      </c>
      <c r="D17" s="71" t="str">
        <f>IF(D$2="Y",IF(MaGic_AVM_Land!D17=0,"",MaGic_AVM_Land!D17),"")</f>
        <v/>
      </c>
      <c r="E17" s="71" t="str">
        <f>IF(E$2="Y",IF(MaGic_AVM_Land!E17=0,"",MaGic_AVM_Land!E17),"")</f>
        <v/>
      </c>
      <c r="F17" s="71" t="str">
        <f>IF(F$2="Y",IF(MaGic_AVM_Land!F17=0,"",MaGic_AVM_Land!F17),"")</f>
        <v/>
      </c>
      <c r="G17" s="71" t="str">
        <f>IF(G$2="Y",IF(MaGic_AVM_Land!G17=0,"",MaGic_AVM_Land!G17),"")</f>
        <v/>
      </c>
      <c r="H17" s="71" t="str">
        <f>IF(H$2="Y",IF(MaGic_AVM_Land!H17=0,"",MaGic_AVM_Land!H17),"")</f>
        <v/>
      </c>
      <c r="I17" s="71" t="str">
        <f>IF(I$2="Y",IF(MaGic_AVM_Land!I17=0,"",MaGic_AVM_Land!I17),"")</f>
        <v/>
      </c>
      <c r="J17" s="71" t="str">
        <f>IF(J$2="Y",IF(MaGic_AVM_Land!J17=0,"",MaGic_AVM_Land!J17),"")</f>
        <v/>
      </c>
      <c r="K17" s="71" t="str">
        <f>IF(K$2="Y",IF(MaGic_AVM_Land!K17=0,"",MaGic_AVM_Land!K17),"")</f>
        <v/>
      </c>
      <c r="L17" s="71" t="str">
        <f>IF(L$2="Y",IF(MaGic_AVM_Land!L17=0,"",MaGic_AVM_Land!L17),"")</f>
        <v/>
      </c>
      <c r="M17" s="71" t="str">
        <f>IF(M$2="Y",IF(MaGic_AVM_Land!M17=0,"",MaGic_AVM_Land!M17),"")</f>
        <v/>
      </c>
      <c r="N17" s="71" t="str">
        <f>IF(N$2="Y",IF(MaGic_AVM_Land!N17=0,"",MaGic_AVM_Land!N17),"")</f>
        <v/>
      </c>
      <c r="O17" s="71" t="str">
        <f>IF(O$2="Y",IF(MaGic_AVM_Land!O17=0,"",MaGic_AVM_Land!O17),"")</f>
        <v/>
      </c>
      <c r="P17" s="71" t="str">
        <f>IF(P$2="Y",IF(MaGic_AVM_Land!P17=0,"",MaGic_AVM_Land!P17),"")</f>
        <v/>
      </c>
      <c r="Q17" s="71" t="str">
        <f>IF(Q$2="Y",IF(MaGic_AVM_Land!Q17=0,"",MaGic_AVM_Land!Q17),"")</f>
        <v/>
      </c>
      <c r="R17" s="71" t="str">
        <f>IF(R$2="Y",IF(MaGic_AVM_Land!R17=0,"",MaGic_AVM_Land!R17),"")</f>
        <v/>
      </c>
      <c r="S17" s="71" t="str">
        <f>IF(S$2="Y",IF(MaGic_AVM_Land!S17=0,"",MaGic_AVM_Land!S17),"")</f>
        <v/>
      </c>
      <c r="T17" s="71" t="str">
        <f>IF(T$2="Y",IF(MaGic_AVM_Land!T17=0,"",MaGic_AVM_Land!T17),"")</f>
        <v/>
      </c>
      <c r="U17" s="71" t="str">
        <f>IF(U$2="Y",IF(MaGic_AVM_Land!U17=0,"",MaGic_AVM_Land!U17),"")</f>
        <v/>
      </c>
      <c r="V17" s="71" t="str">
        <f>IF(V$2="Y",IF(MaGic_AVM_Land!V17=0,"",MaGic_AVM_Land!V17),"")</f>
        <v/>
      </c>
      <c r="W17" s="71" t="str">
        <f>IF(W$2="Y",IF(MaGic_AVM_Land!W17=0,"",MaGic_AVM_Land!W17),"")</f>
        <v/>
      </c>
      <c r="X17" s="71" t="str">
        <f>IF(X$2="Y",IF(MaGic_AVM_Land!X17=0,"",MaGic_AVM_Land!X17),"")</f>
        <v/>
      </c>
      <c r="Y17" s="71" t="str">
        <f>IF(Y$2="Y",IF(MaGic_AVM_Land!Y17=0,"",MaGic_AVM_Land!Y17),"")</f>
        <v/>
      </c>
      <c r="Z17" s="71" t="str">
        <f>IF(Z$2="Y",IF(MaGic_AVM_Land!Z17=0,"",MaGic_AVM_Land!Z17),"")</f>
        <v/>
      </c>
      <c r="AA17" s="69" t="str">
        <f t="shared" si="1"/>
        <v/>
      </c>
      <c r="AB17" s="69" t="str" cm="1">
        <f t="array" ref="AB17">_xlfn.UNIQUE(C17:Z17,TRUE,FALSE)</f>
        <v/>
      </c>
    </row>
    <row r="18" spans="1:28">
      <c r="A18" s="70">
        <v>16</v>
      </c>
      <c r="B18" s="70" t="s">
        <v>78</v>
      </c>
      <c r="C18" s="71" t="str">
        <f>IF(C$2="Y",IF(MaGic_AVM_Land!C18=0,"",MaGic_AVM_Land!C18),"")</f>
        <v/>
      </c>
      <c r="D18" s="71" t="str">
        <f>IF(D$2="Y",IF(MaGic_AVM_Land!D18=0,"",MaGic_AVM_Land!D18),"")</f>
        <v/>
      </c>
      <c r="E18" s="71" t="str">
        <f>IF(E$2="Y",IF(MaGic_AVM_Land!E18=0,"",MaGic_AVM_Land!E18),"")</f>
        <v/>
      </c>
      <c r="F18" s="71" t="str">
        <f>IF(F$2="Y",IF(MaGic_AVM_Land!F18=0,"",MaGic_AVM_Land!F18),"")</f>
        <v/>
      </c>
      <c r="G18" s="71" t="str">
        <f>IF(G$2="Y",IF(MaGic_AVM_Land!G18=0,"",MaGic_AVM_Land!G18),"")</f>
        <v/>
      </c>
      <c r="H18" s="71" t="str">
        <f>IF(H$2="Y",IF(MaGic_AVM_Land!H18=0,"",MaGic_AVM_Land!H18),"")</f>
        <v/>
      </c>
      <c r="I18" s="71" t="str">
        <f>IF(I$2="Y",IF(MaGic_AVM_Land!I18=0,"",MaGic_AVM_Land!I18),"")</f>
        <v/>
      </c>
      <c r="J18" s="71" t="str">
        <f>IF(J$2="Y",IF(MaGic_AVM_Land!J18=0,"",MaGic_AVM_Land!J18),"")</f>
        <v/>
      </c>
      <c r="K18" s="71" t="str">
        <f>IF(K$2="Y",IF(MaGic_AVM_Land!K18=0,"",MaGic_AVM_Land!K18),"")</f>
        <v/>
      </c>
      <c r="L18" s="71" t="str">
        <f>IF(L$2="Y",IF(MaGic_AVM_Land!L18=0,"",MaGic_AVM_Land!L18),"")</f>
        <v/>
      </c>
      <c r="M18" s="71" t="str">
        <f>IF(M$2="Y",IF(MaGic_AVM_Land!M18=0,"",MaGic_AVM_Land!M18),"")</f>
        <v/>
      </c>
      <c r="N18" s="71" t="str">
        <f>IF(N$2="Y",IF(MaGic_AVM_Land!N18=0,"",MaGic_AVM_Land!N18),"")</f>
        <v/>
      </c>
      <c r="O18" s="71" t="str">
        <f>IF(O$2="Y",IF(MaGic_AVM_Land!O18=0,"",MaGic_AVM_Land!O18),"")</f>
        <v/>
      </c>
      <c r="P18" s="71" t="str">
        <f>IF(P$2="Y",IF(MaGic_AVM_Land!P18=0,"",MaGic_AVM_Land!P18),"")</f>
        <v/>
      </c>
      <c r="Q18" s="71" t="str">
        <f>IF(Q$2="Y",IF(MaGic_AVM_Land!Q18=0,"",MaGic_AVM_Land!Q18),"")</f>
        <v/>
      </c>
      <c r="R18" s="71" t="str">
        <f>IF(R$2="Y",IF(MaGic_AVM_Land!R18=0,"",MaGic_AVM_Land!R18),"")</f>
        <v/>
      </c>
      <c r="S18" s="71" t="str">
        <f>IF(S$2="Y",IF(MaGic_AVM_Land!S18=0,"",MaGic_AVM_Land!S18),"")</f>
        <v/>
      </c>
      <c r="T18" s="71" t="str">
        <f>IF(T$2="Y",IF(MaGic_AVM_Land!T18=0,"",MaGic_AVM_Land!T18),"")</f>
        <v/>
      </c>
      <c r="U18" s="71" t="str">
        <f>IF(U$2="Y",IF(MaGic_AVM_Land!U18=0,"",MaGic_AVM_Land!U18),"")</f>
        <v/>
      </c>
      <c r="V18" s="71" t="str">
        <f>IF(V$2="Y",IF(MaGic_AVM_Land!V18=0,"",MaGic_AVM_Land!V18),"")</f>
        <v/>
      </c>
      <c r="W18" s="71" t="str">
        <f>IF(W$2="Y",IF(MaGic_AVM_Land!W18=0,"",MaGic_AVM_Land!W18),"")</f>
        <v/>
      </c>
      <c r="X18" s="71" t="str">
        <f>IF(X$2="Y",IF(MaGic_AVM_Land!X18=0,"",MaGic_AVM_Land!X18),"")</f>
        <v/>
      </c>
      <c r="Y18" s="71" t="str">
        <f>IF(Y$2="Y",IF(MaGic_AVM_Land!Y18=0,"",MaGic_AVM_Land!Y18),"")</f>
        <v/>
      </c>
      <c r="Z18" s="71" t="str">
        <f>IF(Z$2="Y",IF(MaGic_AVM_Land!Z18=0,"",MaGic_AVM_Land!Z18),"")</f>
        <v/>
      </c>
      <c r="AA18" s="69" t="str">
        <f t="shared" si="1"/>
        <v/>
      </c>
      <c r="AB18" s="69" t="str" cm="1">
        <f t="array" ref="AB18">_xlfn.UNIQUE(C18:Z18,TRUE,FALSE)</f>
        <v/>
      </c>
    </row>
    <row r="19" spans="1:28">
      <c r="A19" s="70">
        <v>17</v>
      </c>
      <c r="B19" s="70" t="s">
        <v>79</v>
      </c>
      <c r="C19" s="71" t="str">
        <f>IF(C$2="Y",IF(MaGic_AVM_Land!C19=0,"",MaGic_AVM_Land!C19),"")</f>
        <v/>
      </c>
      <c r="D19" s="71" t="str">
        <f>IF(D$2="Y",IF(MaGic_AVM_Land!D19=0,"",MaGic_AVM_Land!D19),"")</f>
        <v/>
      </c>
      <c r="E19" s="71" t="str">
        <f>IF(E$2="Y",IF(MaGic_AVM_Land!E19=0,"",MaGic_AVM_Land!E19),"")</f>
        <v/>
      </c>
      <c r="F19" s="71" t="str">
        <f>IF(F$2="Y",IF(MaGic_AVM_Land!F19=0,"",MaGic_AVM_Land!F19),"")</f>
        <v/>
      </c>
      <c r="G19" s="71" t="str">
        <f>IF(G$2="Y",IF(MaGic_AVM_Land!G19=0,"",MaGic_AVM_Land!G19),"")</f>
        <v/>
      </c>
      <c r="H19" s="71" t="str">
        <f>IF(H$2="Y",IF(MaGic_AVM_Land!H19=0,"",MaGic_AVM_Land!H19),"")</f>
        <v/>
      </c>
      <c r="I19" s="71" t="str">
        <f>IF(I$2="Y",IF(MaGic_AVM_Land!I19=0,"",MaGic_AVM_Land!I19),"")</f>
        <v/>
      </c>
      <c r="J19" s="71" t="str">
        <f>IF(J$2="Y",IF(MaGic_AVM_Land!J19=0,"",MaGic_AVM_Land!J19),"")</f>
        <v/>
      </c>
      <c r="K19" s="71" t="str">
        <f>IF(K$2="Y",IF(MaGic_AVM_Land!K19=0,"",MaGic_AVM_Land!K19),"")</f>
        <v/>
      </c>
      <c r="L19" s="71" t="str">
        <f>IF(L$2="Y",IF(MaGic_AVM_Land!L19=0,"",MaGic_AVM_Land!L19),"")</f>
        <v/>
      </c>
      <c r="M19" s="71" t="str">
        <f>IF(M$2="Y",IF(MaGic_AVM_Land!M19=0,"",MaGic_AVM_Land!M19),"")</f>
        <v/>
      </c>
      <c r="N19" s="71" t="str">
        <f>IF(N$2="Y",IF(MaGic_AVM_Land!N19=0,"",MaGic_AVM_Land!N19),"")</f>
        <v/>
      </c>
      <c r="O19" s="71" t="str">
        <f>IF(O$2="Y",IF(MaGic_AVM_Land!O19=0,"",MaGic_AVM_Land!O19),"")</f>
        <v/>
      </c>
      <c r="P19" s="71" t="str">
        <f>IF(P$2="Y",IF(MaGic_AVM_Land!P19=0,"",MaGic_AVM_Land!P19),"")</f>
        <v/>
      </c>
      <c r="Q19" s="71" t="str">
        <f>IF(Q$2="Y",IF(MaGic_AVM_Land!Q19=0,"",MaGic_AVM_Land!Q19),"")</f>
        <v/>
      </c>
      <c r="R19" s="71" t="str">
        <f>IF(R$2="Y",IF(MaGic_AVM_Land!R19=0,"",MaGic_AVM_Land!R19),"")</f>
        <v/>
      </c>
      <c r="S19" s="71" t="str">
        <f>IF(S$2="Y",IF(MaGic_AVM_Land!S19=0,"",MaGic_AVM_Land!S19),"")</f>
        <v/>
      </c>
      <c r="T19" s="71" t="str">
        <f>IF(T$2="Y",IF(MaGic_AVM_Land!T19=0,"",MaGic_AVM_Land!T19),"")</f>
        <v/>
      </c>
      <c r="U19" s="71" t="str">
        <f>IF(U$2="Y",IF(MaGic_AVM_Land!U19=0,"",MaGic_AVM_Land!U19),"")</f>
        <v/>
      </c>
      <c r="V19" s="71" t="str">
        <f>IF(V$2="Y",IF(MaGic_AVM_Land!V19=0,"",MaGic_AVM_Land!V19),"")</f>
        <v/>
      </c>
      <c r="W19" s="71" t="str">
        <f>IF(W$2="Y",IF(MaGic_AVM_Land!W19=0,"",MaGic_AVM_Land!W19),"")</f>
        <v/>
      </c>
      <c r="X19" s="71" t="str">
        <f>IF(X$2="Y",IF(MaGic_AVM_Land!X19=0,"",MaGic_AVM_Land!X19),"")</f>
        <v/>
      </c>
      <c r="Y19" s="71" t="str">
        <f>IF(Y$2="Y",IF(MaGic_AVM_Land!Y19=0,"",MaGic_AVM_Land!Y19),"")</f>
        <v/>
      </c>
      <c r="Z19" s="71" t="str">
        <f>IF(Z$2="Y",IF(MaGic_AVM_Land!Z19=0,"",MaGic_AVM_Land!Z19),"")</f>
        <v/>
      </c>
      <c r="AA19" s="69" t="str">
        <f t="shared" ref="AA19:AA22" si="2">_xlfn.TEXTJOIN(",",TRUE,AB19:AZ19)</f>
        <v/>
      </c>
      <c r="AB19" s="69" t="str" cm="1">
        <f t="array" ref="AB19">_xlfn.UNIQUE(C19:Z19,TRUE,FALSE)</f>
        <v/>
      </c>
    </row>
    <row r="20" spans="1:28">
      <c r="A20" s="70">
        <v>18</v>
      </c>
      <c r="B20" s="70" t="s">
        <v>80</v>
      </c>
      <c r="C20" s="71" t="str">
        <f>IF(C$2="Y",IF(MaGic_AVM_Land!C20=0,"",MaGic_AVM_Land!C20),"")</f>
        <v/>
      </c>
      <c r="D20" s="71" t="str">
        <f>IF(D$2="Y",IF(MaGic_AVM_Land!D20=0,"",MaGic_AVM_Land!D20),"")</f>
        <v/>
      </c>
      <c r="E20" s="71" t="str">
        <f>IF(E$2="Y",IF(MaGic_AVM_Land!E20=0,"",MaGic_AVM_Land!E20),"")</f>
        <v/>
      </c>
      <c r="F20" s="71" t="str">
        <f>IF(F$2="Y",IF(MaGic_AVM_Land!F20=0,"",MaGic_AVM_Land!F20),"")</f>
        <v/>
      </c>
      <c r="G20" s="71" t="str">
        <f>IF(G$2="Y",IF(MaGic_AVM_Land!G20=0,"",MaGic_AVM_Land!G20),"")</f>
        <v/>
      </c>
      <c r="H20" s="71" t="str">
        <f>IF(H$2="Y",IF(MaGic_AVM_Land!H20=0,"",MaGic_AVM_Land!H20),"")</f>
        <v/>
      </c>
      <c r="I20" s="71" t="str">
        <f>IF(I$2="Y",IF(MaGic_AVM_Land!I20=0,"",MaGic_AVM_Land!I20),"")</f>
        <v/>
      </c>
      <c r="J20" s="71" t="str">
        <f>IF(J$2="Y",IF(MaGic_AVM_Land!J20=0,"",MaGic_AVM_Land!J20),"")</f>
        <v/>
      </c>
      <c r="K20" s="71" t="str">
        <f>IF(K$2="Y",IF(MaGic_AVM_Land!K20=0,"",MaGic_AVM_Land!K20),"")</f>
        <v/>
      </c>
      <c r="L20" s="71" t="str">
        <f>IF(L$2="Y",IF(MaGic_AVM_Land!L20=0,"",MaGic_AVM_Land!L20),"")</f>
        <v/>
      </c>
      <c r="M20" s="71" t="str">
        <f>IF(M$2="Y",IF(MaGic_AVM_Land!M20=0,"",MaGic_AVM_Land!M20),"")</f>
        <v/>
      </c>
      <c r="N20" s="71" t="str">
        <f>IF(N$2="Y",IF(MaGic_AVM_Land!N20=0,"",MaGic_AVM_Land!N20),"")</f>
        <v/>
      </c>
      <c r="O20" s="71" t="str">
        <f>IF(O$2="Y",IF(MaGic_AVM_Land!O20=0,"",MaGic_AVM_Land!O20),"")</f>
        <v/>
      </c>
      <c r="P20" s="71" t="str">
        <f>IF(P$2="Y",IF(MaGic_AVM_Land!P20=0,"",MaGic_AVM_Land!P20),"")</f>
        <v/>
      </c>
      <c r="Q20" s="71" t="str">
        <f>IF(Q$2="Y",IF(MaGic_AVM_Land!Q20=0,"",MaGic_AVM_Land!Q20),"")</f>
        <v/>
      </c>
      <c r="R20" s="71" t="str">
        <f>IF(R$2="Y",IF(MaGic_AVM_Land!R20=0,"",MaGic_AVM_Land!R20),"")</f>
        <v/>
      </c>
      <c r="S20" s="71" t="str">
        <f>IF(S$2="Y",IF(MaGic_AVM_Land!S20=0,"",MaGic_AVM_Land!S20),"")</f>
        <v/>
      </c>
      <c r="T20" s="71" t="str">
        <f>IF(T$2="Y",IF(MaGic_AVM_Land!T20=0,"",MaGic_AVM_Land!T20),"")</f>
        <v/>
      </c>
      <c r="U20" s="71" t="str">
        <f>IF(U$2="Y",IF(MaGic_AVM_Land!U20=0,"",MaGic_AVM_Land!U20),"")</f>
        <v/>
      </c>
      <c r="V20" s="71" t="str">
        <f>IF(V$2="Y",IF(MaGic_AVM_Land!V20=0,"",MaGic_AVM_Land!V20),"")</f>
        <v/>
      </c>
      <c r="W20" s="71" t="str">
        <f>IF(W$2="Y",IF(MaGic_AVM_Land!W20=0,"",MaGic_AVM_Land!W20),"")</f>
        <v/>
      </c>
      <c r="X20" s="71" t="str">
        <f>IF(X$2="Y",IF(MaGic_AVM_Land!X20=0,"",MaGic_AVM_Land!X20),"")</f>
        <v/>
      </c>
      <c r="Y20" s="71" t="str">
        <f>IF(Y$2="Y",IF(MaGic_AVM_Land!Y20=0,"",MaGic_AVM_Land!Y20),"")</f>
        <v/>
      </c>
      <c r="Z20" s="71" t="str">
        <f>IF(Z$2="Y",IF(MaGic_AVM_Land!Z20=0,"",MaGic_AVM_Land!Z20),"")</f>
        <v/>
      </c>
      <c r="AA20" s="69" t="str">
        <f t="shared" si="2"/>
        <v/>
      </c>
      <c r="AB20" s="69" t="str" cm="1">
        <f t="array" ref="AB20">_xlfn.UNIQUE(C20:Z20,TRUE,FALSE)</f>
        <v/>
      </c>
    </row>
    <row r="21" spans="1:28">
      <c r="A21" s="70">
        <v>19</v>
      </c>
      <c r="B21" s="70" t="s">
        <v>81</v>
      </c>
      <c r="C21" s="71" t="str">
        <f>IF(C$2="Y",IF(MaGic_AVM_Land!C21=0,"",MaGic_AVM_Land!C21),"")</f>
        <v/>
      </c>
      <c r="D21" s="71" t="str">
        <f>IF(D$2="Y",IF(MaGic_AVM_Land!D21=0,"",MaGic_AVM_Land!D21),"")</f>
        <v/>
      </c>
      <c r="E21" s="71" t="str">
        <f>IF(E$2="Y",IF(MaGic_AVM_Land!E21=0,"",MaGic_AVM_Land!E21),"")</f>
        <v/>
      </c>
      <c r="F21" s="71" t="str">
        <f>IF(F$2="Y",IF(MaGic_AVM_Land!F21=0,"",MaGic_AVM_Land!F21),"")</f>
        <v/>
      </c>
      <c r="G21" s="71" t="str">
        <f>IF(G$2="Y",IF(MaGic_AVM_Land!G21=0,"",MaGic_AVM_Land!G21),"")</f>
        <v/>
      </c>
      <c r="H21" s="71" t="str">
        <f>IF(H$2="Y",IF(MaGic_AVM_Land!H21=0,"",MaGic_AVM_Land!H21),"")</f>
        <v/>
      </c>
      <c r="I21" s="71" t="str">
        <f>IF(I$2="Y",IF(MaGic_AVM_Land!I21=0,"",MaGic_AVM_Land!I21),"")</f>
        <v/>
      </c>
      <c r="J21" s="71" t="str">
        <f>IF(J$2="Y",IF(MaGic_AVM_Land!J21=0,"",MaGic_AVM_Land!J21),"")</f>
        <v/>
      </c>
      <c r="K21" s="71" t="str">
        <f>IF(K$2="Y",IF(MaGic_AVM_Land!K21=0,"",MaGic_AVM_Land!K21),"")</f>
        <v/>
      </c>
      <c r="L21" s="71" t="str">
        <f>IF(L$2="Y",IF(MaGic_AVM_Land!L21=0,"",MaGic_AVM_Land!L21),"")</f>
        <v/>
      </c>
      <c r="M21" s="71" t="str">
        <f>IF(M$2="Y",IF(MaGic_AVM_Land!M21=0,"",MaGic_AVM_Land!M21),"")</f>
        <v/>
      </c>
      <c r="N21" s="71" t="str">
        <f>IF(N$2="Y",IF(MaGic_AVM_Land!N21=0,"",MaGic_AVM_Land!N21),"")</f>
        <v/>
      </c>
      <c r="O21" s="71" t="str">
        <f>IF(O$2="Y",IF(MaGic_AVM_Land!O21=0,"",MaGic_AVM_Land!O21),"")</f>
        <v/>
      </c>
      <c r="P21" s="71" t="str">
        <f>IF(P$2="Y",IF(MaGic_AVM_Land!P21=0,"",MaGic_AVM_Land!P21),"")</f>
        <v/>
      </c>
      <c r="Q21" s="71" t="str">
        <f>IF(Q$2="Y",IF(MaGic_AVM_Land!Q21=0,"",MaGic_AVM_Land!Q21),"")</f>
        <v/>
      </c>
      <c r="R21" s="71" t="str">
        <f>IF(R$2="Y",IF(MaGic_AVM_Land!R21=0,"",MaGic_AVM_Land!R21),"")</f>
        <v/>
      </c>
      <c r="S21" s="71" t="str">
        <f>IF(S$2="Y",IF(MaGic_AVM_Land!S21=0,"",MaGic_AVM_Land!S21),"")</f>
        <v/>
      </c>
      <c r="T21" s="71" t="str">
        <f>IF(T$2="Y",IF(MaGic_AVM_Land!T21=0,"",MaGic_AVM_Land!T21),"")</f>
        <v/>
      </c>
      <c r="U21" s="71" t="str">
        <f>IF(U$2="Y",IF(MaGic_AVM_Land!U21=0,"",MaGic_AVM_Land!U21),"")</f>
        <v/>
      </c>
      <c r="V21" s="71" t="str">
        <f>IF(V$2="Y",IF(MaGic_AVM_Land!V21=0,"",MaGic_AVM_Land!V21),"")</f>
        <v/>
      </c>
      <c r="W21" s="71" t="str">
        <f>IF(W$2="Y",IF(MaGic_AVM_Land!W21=0,"",MaGic_AVM_Land!W21),"")</f>
        <v/>
      </c>
      <c r="X21" s="71" t="str">
        <f>IF(X$2="Y",IF(MaGic_AVM_Land!X21=0,"",MaGic_AVM_Land!X21),"")</f>
        <v/>
      </c>
      <c r="Y21" s="71" t="str">
        <f>IF(Y$2="Y",IF(MaGic_AVM_Land!Y21=0,"",MaGic_AVM_Land!Y21),"")</f>
        <v/>
      </c>
      <c r="Z21" s="71" t="str">
        <f>IF(Z$2="Y",IF(MaGic_AVM_Land!Z21=0,"",MaGic_AVM_Land!Z21),"")</f>
        <v/>
      </c>
      <c r="AA21" s="69" t="str">
        <f t="shared" si="2"/>
        <v/>
      </c>
      <c r="AB21" s="69" t="str" cm="1">
        <f t="array" ref="AB21">_xlfn.UNIQUE(C21:Z21,TRUE,FALSE)</f>
        <v/>
      </c>
    </row>
    <row r="22" spans="1:28">
      <c r="A22" s="70">
        <v>20</v>
      </c>
      <c r="B22" s="70" t="s">
        <v>82</v>
      </c>
      <c r="C22" s="71" t="str">
        <f>IF(C$2="Y",IF(MaGic_AVM_Land!C22=0,"",MaGic_AVM_Land!C22),"")</f>
        <v/>
      </c>
      <c r="D22" s="71" t="str">
        <f>IF(D$2="Y",IF(MaGic_AVM_Land!D22=0,"",MaGic_AVM_Land!D22),"")</f>
        <v/>
      </c>
      <c r="E22" s="71" t="str">
        <f>IF(E$2="Y",IF(MaGic_AVM_Land!E22=0,"",MaGic_AVM_Land!E22),"")</f>
        <v/>
      </c>
      <c r="F22" s="71" t="str">
        <f>IF(F$2="Y",IF(MaGic_AVM_Land!F22=0,"",MaGic_AVM_Land!F22),"")</f>
        <v/>
      </c>
      <c r="G22" s="71" t="str">
        <f>IF(G$2="Y",IF(MaGic_AVM_Land!G22=0,"",MaGic_AVM_Land!G22),"")</f>
        <v/>
      </c>
      <c r="H22" s="71" t="str">
        <f>IF(H$2="Y",IF(MaGic_AVM_Land!H22=0,"",MaGic_AVM_Land!H22),"")</f>
        <v/>
      </c>
      <c r="I22" s="71" t="str">
        <f>IF(I$2="Y",IF(MaGic_AVM_Land!I22=0,"",MaGic_AVM_Land!I22),"")</f>
        <v/>
      </c>
      <c r="J22" s="71" t="str">
        <f>IF(J$2="Y",IF(MaGic_AVM_Land!J22=0,"",MaGic_AVM_Land!J22),"")</f>
        <v/>
      </c>
      <c r="K22" s="71" t="str">
        <f>IF(K$2="Y",IF(MaGic_AVM_Land!K22=0,"",MaGic_AVM_Land!K22),"")</f>
        <v/>
      </c>
      <c r="L22" s="71" t="str">
        <f>IF(L$2="Y",IF(MaGic_AVM_Land!L22=0,"",MaGic_AVM_Land!L22),"")</f>
        <v/>
      </c>
      <c r="M22" s="71" t="str">
        <f>IF(M$2="Y",IF(MaGic_AVM_Land!M22=0,"",MaGic_AVM_Land!M22),"")</f>
        <v/>
      </c>
      <c r="N22" s="71" t="str">
        <f>IF(N$2="Y",IF(MaGic_AVM_Land!N22=0,"",MaGic_AVM_Land!N22),"")</f>
        <v/>
      </c>
      <c r="O22" s="71" t="str">
        <f>IF(O$2="Y",IF(MaGic_AVM_Land!O22=0,"",MaGic_AVM_Land!O22),"")</f>
        <v/>
      </c>
      <c r="P22" s="71" t="str">
        <f>IF(P$2="Y",IF(MaGic_AVM_Land!P22=0,"",MaGic_AVM_Land!P22),"")</f>
        <v/>
      </c>
      <c r="Q22" s="71" t="str">
        <f>IF(Q$2="Y",IF(MaGic_AVM_Land!Q22=0,"",MaGic_AVM_Land!Q22),"")</f>
        <v/>
      </c>
      <c r="R22" s="71" t="str">
        <f>IF(R$2="Y",IF(MaGic_AVM_Land!R22=0,"",MaGic_AVM_Land!R22),"")</f>
        <v/>
      </c>
      <c r="S22" s="71" t="str">
        <f>IF(S$2="Y",IF(MaGic_AVM_Land!S22=0,"",MaGic_AVM_Land!S22),"")</f>
        <v/>
      </c>
      <c r="T22" s="71" t="str">
        <f>IF(T$2="Y",IF(MaGic_AVM_Land!T22=0,"",MaGic_AVM_Land!T22),"")</f>
        <v/>
      </c>
      <c r="U22" s="71" t="str">
        <f>IF(U$2="Y",IF(MaGic_AVM_Land!U22=0,"",MaGic_AVM_Land!U22),"")</f>
        <v/>
      </c>
      <c r="V22" s="71" t="str">
        <f>IF(V$2="Y",IF(MaGic_AVM_Land!V22=0,"",MaGic_AVM_Land!V22),"")</f>
        <v/>
      </c>
      <c r="W22" s="71" t="str">
        <f>IF(W$2="Y",IF(MaGic_AVM_Land!W22=0,"",MaGic_AVM_Land!W22),"")</f>
        <v/>
      </c>
      <c r="X22" s="71" t="str">
        <f>IF(X$2="Y",IF(MaGic_AVM_Land!X22=0,"",MaGic_AVM_Land!X22),"")</f>
        <v/>
      </c>
      <c r="Y22" s="71" t="str">
        <f>IF(Y$2="Y",IF(MaGic_AVM_Land!Y22=0,"",MaGic_AVM_Land!Y22),"")</f>
        <v/>
      </c>
      <c r="Z22" s="71" t="str">
        <f>IF(Z$2="Y",IF(MaGic_AVM_Land!Z22=0,"",MaGic_AVM_Land!Z22),"")</f>
        <v/>
      </c>
      <c r="AA22" s="69" t="str">
        <f t="shared" si="2"/>
        <v/>
      </c>
      <c r="AB22" s="69" t="str" cm="1">
        <f t="array" ref="AB22">_xlfn.UNIQUE(C22:Z22,TRUE,FALSE)</f>
        <v/>
      </c>
    </row>
    <row r="23" spans="1:28">
      <c r="A23" s="70">
        <v>21</v>
      </c>
      <c r="B23" s="70" t="s">
        <v>83</v>
      </c>
      <c r="C23" s="70" t="str">
        <f>IF(C$2="Y",IF(MaGic_AVM_Land!C23=0,"",MaGic_AVM_Land!C23),"")</f>
        <v/>
      </c>
      <c r="D23" s="70" t="str">
        <f>IF(D$2="Y",IF(MaGic_AVM_Land!D23=0,"",MaGic_AVM_Land!D23),"")</f>
        <v/>
      </c>
      <c r="E23" s="70" t="str">
        <f>IF(E$2="Y",IF(MaGic_AVM_Land!E23=0,"",MaGic_AVM_Land!E23),"")</f>
        <v/>
      </c>
      <c r="F23" s="70" t="str">
        <f>IF(F$2="Y",IF(MaGic_AVM_Land!F23=0,"",MaGic_AVM_Land!F23),"")</f>
        <v/>
      </c>
      <c r="G23" s="70" t="str">
        <f>IF(G$2="Y",IF(MaGic_AVM_Land!G23=0,"",MaGic_AVM_Land!G23),"")</f>
        <v/>
      </c>
      <c r="H23" s="70" t="str">
        <f>IF(H$2="Y",IF(MaGic_AVM_Land!H23=0,"",MaGic_AVM_Land!H23),"")</f>
        <v/>
      </c>
      <c r="I23" s="70" t="str">
        <f>IF(I$2="Y",IF(MaGic_AVM_Land!I23=0,"",MaGic_AVM_Land!I23),"")</f>
        <v/>
      </c>
      <c r="J23" s="70" t="str">
        <f>IF(J$2="Y",IF(MaGic_AVM_Land!J23=0,"",MaGic_AVM_Land!J23),"")</f>
        <v/>
      </c>
      <c r="K23" s="70" t="str">
        <f>IF(K$2="Y",IF(MaGic_AVM_Land!K23=0,"",MaGic_AVM_Land!K23),"")</f>
        <v/>
      </c>
      <c r="L23" s="70" t="str">
        <f>IF(L$2="Y",IF(MaGic_AVM_Land!L23=0,"",MaGic_AVM_Land!L23),"")</f>
        <v/>
      </c>
      <c r="M23" s="70" t="str">
        <f>IF(M$2="Y",IF(MaGic_AVM_Land!M23=0,"",MaGic_AVM_Land!M23),"")</f>
        <v/>
      </c>
      <c r="N23" s="70" t="str">
        <f>IF(N$2="Y",IF(MaGic_AVM_Land!N23=0,"",MaGic_AVM_Land!N23),"")</f>
        <v/>
      </c>
      <c r="O23" s="70" t="str">
        <f>IF(O$2="Y",IF(MaGic_AVM_Land!O23=0,"",MaGic_AVM_Land!O23),"")</f>
        <v/>
      </c>
      <c r="P23" s="70" t="str">
        <f>IF(P$2="Y",IF(MaGic_AVM_Land!P23=0,"",MaGic_AVM_Land!P23),"")</f>
        <v/>
      </c>
      <c r="Q23" s="70" t="str">
        <f>IF(Q$2="Y",IF(MaGic_AVM_Land!Q23=0,"",MaGic_AVM_Land!Q23),"")</f>
        <v/>
      </c>
      <c r="R23" s="70" t="str">
        <f>IF(R$2="Y",IF(MaGic_AVM_Land!R23=0,"",MaGic_AVM_Land!R23),"")</f>
        <v/>
      </c>
      <c r="S23" s="70" t="str">
        <f>IF(S$2="Y",IF(MaGic_AVM_Land!S23=0,"",MaGic_AVM_Land!S23),"")</f>
        <v/>
      </c>
      <c r="T23" s="70" t="str">
        <f>IF(T$2="Y",IF(MaGic_AVM_Land!T23=0,"",MaGic_AVM_Land!T23),"")</f>
        <v/>
      </c>
      <c r="U23" s="70" t="str">
        <f>IF(U$2="Y",IF(MaGic_AVM_Land!U23=0,"",MaGic_AVM_Land!U23),"")</f>
        <v/>
      </c>
      <c r="V23" s="70" t="str">
        <f>IF(V$2="Y",IF(MaGic_AVM_Land!V23=0,"",MaGic_AVM_Land!V23),"")</f>
        <v/>
      </c>
      <c r="W23" s="70" t="str">
        <f>IF(W$2="Y",IF(MaGic_AVM_Land!W23=0,"",MaGic_AVM_Land!W23),"")</f>
        <v/>
      </c>
      <c r="X23" s="70" t="str">
        <f>IF(X$2="Y",IF(MaGic_AVM_Land!X23=0,"",MaGic_AVM_Land!X23),"")</f>
        <v/>
      </c>
      <c r="Y23" s="70" t="str">
        <f>IF(Y$2="Y",IF(MaGic_AVM_Land!Y23=0,"",MaGic_AVM_Land!Y23),"")</f>
        <v/>
      </c>
      <c r="Z23" s="70" t="str">
        <f>IF(Z$2="Y",IF(MaGic_AVM_Land!Z23=0,"",MaGic_AVM_Land!Z23),"")</f>
        <v/>
      </c>
      <c r="AA23" s="69">
        <f>SUM(C23:Z23)</f>
        <v>0</v>
      </c>
      <c r="AB23" s="69" t="str" cm="1">
        <f t="array" ref="AB23">_xlfn.UNIQUE(C23:Z23,TRUE,FALSE)</f>
        <v/>
      </c>
    </row>
    <row r="24" spans="1:28">
      <c r="A24" s="70">
        <v>22</v>
      </c>
      <c r="B24" s="70" t="s">
        <v>84</v>
      </c>
      <c r="C24" s="70" t="str">
        <f>IF(C$2="Y",IF(MaGic_AVM_Land!C24=0,"",MaGic_AVM_Land!C24),"")</f>
        <v/>
      </c>
      <c r="D24" s="70" t="str">
        <f>IF(D$2="Y",IF(MaGic_AVM_Land!D24=0,"",MaGic_AVM_Land!D24),"")</f>
        <v/>
      </c>
      <c r="E24" s="70" t="str">
        <f>IF(E$2="Y",IF(MaGic_AVM_Land!E24=0,"",MaGic_AVM_Land!E24),"")</f>
        <v/>
      </c>
      <c r="F24" s="70" t="str">
        <f>IF(F$2="Y",IF(MaGic_AVM_Land!F24=0,"",MaGic_AVM_Land!F24),"")</f>
        <v/>
      </c>
      <c r="G24" s="70" t="str">
        <f>IF(G$2="Y",IF(MaGic_AVM_Land!G24=0,"",MaGic_AVM_Land!G24),"")</f>
        <v/>
      </c>
      <c r="H24" s="70" t="str">
        <f>IF(H$2="Y",IF(MaGic_AVM_Land!H24=0,"",MaGic_AVM_Land!H24),"")</f>
        <v/>
      </c>
      <c r="I24" s="70" t="str">
        <f>IF(I$2="Y",IF(MaGic_AVM_Land!I24=0,"",MaGic_AVM_Land!I24),"")</f>
        <v/>
      </c>
      <c r="J24" s="70" t="str">
        <f>IF(J$2="Y",IF(MaGic_AVM_Land!J24=0,"",MaGic_AVM_Land!J24),"")</f>
        <v/>
      </c>
      <c r="K24" s="70" t="str">
        <f>IF(K$2="Y",IF(MaGic_AVM_Land!K24=0,"",MaGic_AVM_Land!K24),"")</f>
        <v/>
      </c>
      <c r="L24" s="70" t="str">
        <f>IF(L$2="Y",IF(MaGic_AVM_Land!L24=0,"",MaGic_AVM_Land!L24),"")</f>
        <v/>
      </c>
      <c r="M24" s="70" t="str">
        <f>IF(M$2="Y",IF(MaGic_AVM_Land!M24=0,"",MaGic_AVM_Land!M24),"")</f>
        <v/>
      </c>
      <c r="N24" s="70" t="str">
        <f>IF(N$2="Y",IF(MaGic_AVM_Land!N24=0,"",MaGic_AVM_Land!N24),"")</f>
        <v/>
      </c>
      <c r="O24" s="70" t="str">
        <f>IF(O$2="Y",IF(MaGic_AVM_Land!O24=0,"",MaGic_AVM_Land!O24),"")</f>
        <v/>
      </c>
      <c r="P24" s="70" t="str">
        <f>IF(P$2="Y",IF(MaGic_AVM_Land!P24=0,"",MaGic_AVM_Land!P24),"")</f>
        <v/>
      </c>
      <c r="Q24" s="70" t="str">
        <f>IF(Q$2="Y",IF(MaGic_AVM_Land!Q24=0,"",MaGic_AVM_Land!Q24),"")</f>
        <v/>
      </c>
      <c r="R24" s="70" t="str">
        <f>IF(R$2="Y",IF(MaGic_AVM_Land!R24=0,"",MaGic_AVM_Land!R24),"")</f>
        <v/>
      </c>
      <c r="S24" s="70" t="str">
        <f>IF(S$2="Y",IF(MaGic_AVM_Land!S24=0,"",MaGic_AVM_Land!S24),"")</f>
        <v/>
      </c>
      <c r="T24" s="70" t="str">
        <f>IF(T$2="Y",IF(MaGic_AVM_Land!T24=0,"",MaGic_AVM_Land!T24),"")</f>
        <v/>
      </c>
      <c r="U24" s="70" t="str">
        <f>IF(U$2="Y",IF(MaGic_AVM_Land!U24=0,"",MaGic_AVM_Land!U24),"")</f>
        <v/>
      </c>
      <c r="V24" s="70" t="str">
        <f>IF(V$2="Y",IF(MaGic_AVM_Land!V24=0,"",MaGic_AVM_Land!V24),"")</f>
        <v/>
      </c>
      <c r="W24" s="70" t="str">
        <f>IF(W$2="Y",IF(MaGic_AVM_Land!W24=0,"",MaGic_AVM_Land!W24),"")</f>
        <v/>
      </c>
      <c r="X24" s="70" t="str">
        <f>IF(X$2="Y",IF(MaGic_AVM_Land!X24=0,"",MaGic_AVM_Land!X24),"")</f>
        <v/>
      </c>
      <c r="Y24" s="70" t="str">
        <f>IF(Y$2="Y",IF(MaGic_AVM_Land!Y24=0,"",MaGic_AVM_Land!Y24),"")</f>
        <v/>
      </c>
      <c r="Z24" s="70" t="str">
        <f>IF(Z$2="Y",IF(MaGic_AVM_Land!Z24=0,"",MaGic_AVM_Land!Z24),"")</f>
        <v/>
      </c>
      <c r="AA24" s="69" t="str">
        <f>_xlfn.TEXTJOIN(", ",TRUE,AB24:AZ24)</f>
        <v/>
      </c>
      <c r="AB24" s="69" t="str" cm="1">
        <f t="array" ref="AB24">_xlfn.UNIQUE(C24:Z24,TRUE,FALSE)</f>
        <v/>
      </c>
    </row>
    <row r="25" spans="1:28">
      <c r="A25" s="70"/>
      <c r="B25" s="70" t="s">
        <v>168</v>
      </c>
      <c r="C25" s="70" t="str">
        <f>IF(C$2="Y",IF(MaGic_AVM_Land!C25=0,"",MaGic_AVM_Land!C25),"")</f>
        <v/>
      </c>
      <c r="D25" s="70" t="str">
        <f>IF(D$2="Y",IF(MaGic_AVM_Land!D25=0,"",MaGic_AVM_Land!D25),"")</f>
        <v/>
      </c>
      <c r="E25" s="70" t="str">
        <f>IF(E$2="Y",IF(MaGic_AVM_Land!E25=0,"",MaGic_AVM_Land!E25),"")</f>
        <v/>
      </c>
      <c r="F25" s="70" t="str">
        <f>IF(F$2="Y",IF(MaGic_AVM_Land!F25=0,"",MaGic_AVM_Land!F25),"")</f>
        <v/>
      </c>
      <c r="G25" s="70" t="str">
        <f>IF(G$2="Y",IF(MaGic_AVM_Land!G25=0,"",MaGic_AVM_Land!G25),"")</f>
        <v/>
      </c>
      <c r="H25" s="70" t="str">
        <f>IF(H$2="Y",IF(MaGic_AVM_Land!H25=0,"",MaGic_AVM_Land!H25),"")</f>
        <v/>
      </c>
      <c r="I25" s="70" t="str">
        <f>IF(I$2="Y",IF(MaGic_AVM_Land!I25=0,"",MaGic_AVM_Land!I25),"")</f>
        <v/>
      </c>
      <c r="J25" s="70" t="str">
        <f>IF(J$2="Y",IF(MaGic_AVM_Land!J25=0,"",MaGic_AVM_Land!J25),"")</f>
        <v/>
      </c>
      <c r="K25" s="70" t="str">
        <f>IF(K$2="Y",IF(MaGic_AVM_Land!K25=0,"",MaGic_AVM_Land!K25),"")</f>
        <v/>
      </c>
      <c r="L25" s="70" t="str">
        <f>IF(L$2="Y",IF(MaGic_AVM_Land!L25=0,"",MaGic_AVM_Land!L25),"")</f>
        <v/>
      </c>
      <c r="M25" s="70" t="str">
        <f>IF(M$2="Y",IF(MaGic_AVM_Land!M25=0,"",MaGic_AVM_Land!M25),"")</f>
        <v/>
      </c>
      <c r="N25" s="70" t="str">
        <f>IF(N$2="Y",IF(MaGic_AVM_Land!N25=0,"",MaGic_AVM_Land!N25),"")</f>
        <v/>
      </c>
      <c r="O25" s="70" t="str">
        <f>IF(O$2="Y",IF(MaGic_AVM_Land!O25=0,"",MaGic_AVM_Land!O25),"")</f>
        <v/>
      </c>
      <c r="P25" s="70" t="str">
        <f>IF(P$2="Y",IF(MaGic_AVM_Land!P25=0,"",MaGic_AVM_Land!P25),"")</f>
        <v/>
      </c>
      <c r="Q25" s="70" t="str">
        <f>IF(Q$2="Y",IF(MaGic_AVM_Land!Q25=0,"",MaGic_AVM_Land!Q25),"")</f>
        <v/>
      </c>
      <c r="R25" s="70" t="str">
        <f>IF(R$2="Y",IF(MaGic_AVM_Land!R25=0,"",MaGic_AVM_Land!R25),"")</f>
        <v/>
      </c>
      <c r="S25" s="70" t="str">
        <f>IF(S$2="Y",IF(MaGic_AVM_Land!S25=0,"",MaGic_AVM_Land!S25),"")</f>
        <v/>
      </c>
      <c r="T25" s="70" t="str">
        <f>IF(T$2="Y",IF(MaGic_AVM_Land!T25=0,"",MaGic_AVM_Land!T25),"")</f>
        <v/>
      </c>
      <c r="U25" s="70" t="str">
        <f>IF(U$2="Y",IF(MaGic_AVM_Land!U25=0,"",MaGic_AVM_Land!U25),"")</f>
        <v/>
      </c>
      <c r="V25" s="70" t="str">
        <f>IF(V$2="Y",IF(MaGic_AVM_Land!V25=0,"",MaGic_AVM_Land!V25),"")</f>
        <v/>
      </c>
      <c r="W25" s="70" t="str">
        <f>IF(W$2="Y",IF(MaGic_AVM_Land!W25=0,"",MaGic_AVM_Land!W25),"")</f>
        <v/>
      </c>
      <c r="X25" s="70" t="str">
        <f>IF(X$2="Y",IF(MaGic_AVM_Land!X25=0,"",MaGic_AVM_Land!X25),"")</f>
        <v/>
      </c>
      <c r="Y25" s="70" t="str">
        <f>IF(Y$2="Y",IF(MaGic_AVM_Land!Y25=0,"",MaGic_AVM_Land!Y25),"")</f>
        <v/>
      </c>
      <c r="Z25" s="70" t="str">
        <f>IF(Z$2="Y",IF(MaGic_AVM_Land!Z25=0,"",MaGic_AVM_Land!Z25),"")</f>
        <v/>
      </c>
      <c r="AB25" s="69" t="str" cm="1">
        <f t="array" ref="AB25">_xlfn.UNIQUE(C25:Z25,TRUE,FALSE)</f>
        <v/>
      </c>
    </row>
    <row r="26" spans="1:28" s="68" customFormat="1">
      <c r="A26" s="72">
        <v>24</v>
      </c>
      <c r="B26" s="72" t="s">
        <v>91</v>
      </c>
      <c r="C26" s="72" t="str">
        <f>IF(C$2="Y",IF(MaGic_AVM_Land!C26=0,"",MaGic_AVM_Land!C26),"")</f>
        <v/>
      </c>
      <c r="D26" s="72" t="str">
        <f>IF(D$2="Y",IF(MaGic_AVM_Land!D26=0,"",MaGic_AVM_Land!D26),"")</f>
        <v/>
      </c>
      <c r="E26" s="72" t="str">
        <f>IF(E$2="Y",IF(MaGic_AVM_Land!E26=0,"",MaGic_AVM_Land!E26),"")</f>
        <v/>
      </c>
      <c r="F26" s="72" t="str">
        <f>IF(F$2="Y",IF(MaGic_AVM_Land!F26=0,"",MaGic_AVM_Land!F26),"")</f>
        <v/>
      </c>
      <c r="G26" s="72" t="str">
        <f>IF(G$2="Y",IF(MaGic_AVM_Land!G26=0,"",MaGic_AVM_Land!G26),"")</f>
        <v/>
      </c>
      <c r="H26" s="72" t="str">
        <f>IF(H$2="Y",IF(MaGic_AVM_Land!H26=0,"",MaGic_AVM_Land!H26),"")</f>
        <v/>
      </c>
      <c r="I26" s="72" t="str">
        <f>IF(I$2="Y",IF(MaGic_AVM_Land!I26=0,"",MaGic_AVM_Land!I26),"")</f>
        <v/>
      </c>
      <c r="J26" s="72" t="str">
        <f>IF(J$2="Y",IF(MaGic_AVM_Land!J26=0,"",MaGic_AVM_Land!J26),"")</f>
        <v/>
      </c>
      <c r="K26" s="72" t="str">
        <f>IF(K$2="Y",IF(MaGic_AVM_Land!K26=0,"",MaGic_AVM_Land!K26),"")</f>
        <v/>
      </c>
      <c r="L26" s="72" t="str">
        <f>IF(L$2="Y",IF(MaGic_AVM_Land!L26=0,"",MaGic_AVM_Land!L26),"")</f>
        <v/>
      </c>
      <c r="M26" s="72" t="str">
        <f>IF(M$2="Y",IF(MaGic_AVM_Land!M26=0,"",MaGic_AVM_Land!M26),"")</f>
        <v/>
      </c>
      <c r="N26" s="72" t="str">
        <f>IF(N$2="Y",IF(MaGic_AVM_Land!N26=0,"",MaGic_AVM_Land!N26),"")</f>
        <v/>
      </c>
      <c r="O26" s="72" t="str">
        <f>IF(O$2="Y",IF(MaGic_AVM_Land!O26=0,"",MaGic_AVM_Land!O26),"")</f>
        <v/>
      </c>
      <c r="P26" s="72" t="str">
        <f>IF(P$2="Y",IF(MaGic_AVM_Land!P26=0,"",MaGic_AVM_Land!P26),"")</f>
        <v/>
      </c>
      <c r="Q26" s="72" t="str">
        <f>IF(Q$2="Y",IF(MaGic_AVM_Land!Q26=0,"",MaGic_AVM_Land!Q26),"")</f>
        <v/>
      </c>
      <c r="R26" s="72" t="str">
        <f>IF(R$2="Y",IF(MaGic_AVM_Land!R26=0,"",MaGic_AVM_Land!R26),"")</f>
        <v/>
      </c>
      <c r="S26" s="72" t="str">
        <f>IF(S$2="Y",IF(MaGic_AVM_Land!S26=0,"",MaGic_AVM_Land!S26),"")</f>
        <v/>
      </c>
      <c r="T26" s="72" t="str">
        <f>IF(T$2="Y",IF(MaGic_AVM_Land!T26=0,"",MaGic_AVM_Land!T26),"")</f>
        <v/>
      </c>
      <c r="U26" s="72" t="str">
        <f>IF(U$2="Y",IF(MaGic_AVM_Land!U26=0,"",MaGic_AVM_Land!U26),"")</f>
        <v/>
      </c>
      <c r="V26" s="72" t="str">
        <f>IF(V$2="Y",IF(MaGic_AVM_Land!V26=0,"",MaGic_AVM_Land!V26),"")</f>
        <v/>
      </c>
      <c r="W26" s="72" t="str">
        <f>IF(W$2="Y",IF(MaGic_AVM_Land!W26=0,"",MaGic_AVM_Land!W26),"")</f>
        <v/>
      </c>
      <c r="X26" s="72" t="str">
        <f>IF(X$2="Y",IF(MaGic_AVM_Land!X26=0,"",MaGic_AVM_Land!X26),"")</f>
        <v/>
      </c>
      <c r="Y26" s="72" t="str">
        <f>IF(Y$2="Y",IF(MaGic_AVM_Land!Y26=0,"",MaGic_AVM_Land!Y26),"")</f>
        <v/>
      </c>
      <c r="Z26" s="72" t="str">
        <f>IF(Z$2="Y",IF(MaGic_AVM_Land!Z26=0,"",MaGic_AVM_Land!Z26),"")</f>
        <v/>
      </c>
      <c r="AA26" s="68" t="str">
        <f>_xlfn.TEXTJOIN(",",TRUE,AB26:AZ26)</f>
        <v/>
      </c>
      <c r="AB26" s="68" t="str" cm="1">
        <f t="array" ref="AB26">_xlfn.UNIQUE(C26:Z26,TRUE,FALSE)</f>
        <v/>
      </c>
    </row>
    <row r="27" spans="1:28" s="68" customFormat="1">
      <c r="A27" s="72">
        <v>25</v>
      </c>
      <c r="B27" s="72" t="s">
        <v>94</v>
      </c>
      <c r="C27" s="72" t="str">
        <f>IF(C$2="Y",IF(MaGic_AVM_Land!C27=0,"",MaGic_AVM_Land!C27),"")</f>
        <v/>
      </c>
      <c r="D27" s="72" t="str">
        <f>IF(D$2="Y",IF(MaGic_AVM_Land!D27=0,"",MaGic_AVM_Land!D27),"")</f>
        <v/>
      </c>
      <c r="E27" s="72" t="str">
        <f>IF(E$2="Y",IF(MaGic_AVM_Land!E27=0,"",MaGic_AVM_Land!E27),"")</f>
        <v/>
      </c>
      <c r="F27" s="72" t="str">
        <f>IF(F$2="Y",IF(MaGic_AVM_Land!F27=0,"",MaGic_AVM_Land!F27),"")</f>
        <v/>
      </c>
      <c r="G27" s="72" t="str">
        <f>IF(G$2="Y",IF(MaGic_AVM_Land!G27=0,"",MaGic_AVM_Land!G27),"")</f>
        <v/>
      </c>
      <c r="H27" s="72" t="str">
        <f>IF(H$2="Y",IF(MaGic_AVM_Land!H27=0,"",MaGic_AVM_Land!H27),"")</f>
        <v/>
      </c>
      <c r="I27" s="72" t="str">
        <f>IF(I$2="Y",IF(MaGic_AVM_Land!I27=0,"",MaGic_AVM_Land!I27),"")</f>
        <v/>
      </c>
      <c r="J27" s="72" t="str">
        <f>IF(J$2="Y",IF(MaGic_AVM_Land!J27=0,"",MaGic_AVM_Land!J27),"")</f>
        <v/>
      </c>
      <c r="K27" s="72" t="str">
        <f>IF(K$2="Y",IF(MaGic_AVM_Land!K27=0,"",MaGic_AVM_Land!K27),"")</f>
        <v/>
      </c>
      <c r="L27" s="72" t="str">
        <f>IF(L$2="Y",IF(MaGic_AVM_Land!L27=0,"",MaGic_AVM_Land!L27),"")</f>
        <v/>
      </c>
      <c r="M27" s="72" t="str">
        <f>IF(M$2="Y",IF(MaGic_AVM_Land!M27=0,"",MaGic_AVM_Land!M27),"")</f>
        <v/>
      </c>
      <c r="N27" s="72" t="str">
        <f>IF(N$2="Y",IF(MaGic_AVM_Land!N27=0,"",MaGic_AVM_Land!N27),"")</f>
        <v/>
      </c>
      <c r="O27" s="72" t="str">
        <f>IF(O$2="Y",IF(MaGic_AVM_Land!O27=0,"",MaGic_AVM_Land!O27),"")</f>
        <v/>
      </c>
      <c r="P27" s="72" t="str">
        <f>IF(P$2="Y",IF(MaGic_AVM_Land!P27=0,"",MaGic_AVM_Land!P27),"")</f>
        <v/>
      </c>
      <c r="Q27" s="72" t="str">
        <f>IF(Q$2="Y",IF(MaGic_AVM_Land!Q27=0,"",MaGic_AVM_Land!Q27),"")</f>
        <v/>
      </c>
      <c r="R27" s="72" t="str">
        <f>IF(R$2="Y",IF(MaGic_AVM_Land!R27=0,"",MaGic_AVM_Land!R27),"")</f>
        <v/>
      </c>
      <c r="S27" s="72" t="str">
        <f>IF(S$2="Y",IF(MaGic_AVM_Land!S27=0,"",MaGic_AVM_Land!S27),"")</f>
        <v/>
      </c>
      <c r="T27" s="72" t="str">
        <f>IF(T$2="Y",IF(MaGic_AVM_Land!T27=0,"",MaGic_AVM_Land!T27),"")</f>
        <v/>
      </c>
      <c r="U27" s="72" t="str">
        <f>IF(U$2="Y",IF(MaGic_AVM_Land!U27=0,"",MaGic_AVM_Land!U27),"")</f>
        <v/>
      </c>
      <c r="V27" s="72" t="str">
        <f>IF(V$2="Y",IF(MaGic_AVM_Land!V27=0,"",MaGic_AVM_Land!V27),"")</f>
        <v/>
      </c>
      <c r="W27" s="72" t="str">
        <f>IF(W$2="Y",IF(MaGic_AVM_Land!W27=0,"",MaGic_AVM_Land!W27),"")</f>
        <v/>
      </c>
      <c r="X27" s="72" t="str">
        <f>IF(X$2="Y",IF(MaGic_AVM_Land!X27=0,"",MaGic_AVM_Land!X27),"")</f>
        <v/>
      </c>
      <c r="Y27" s="72" t="str">
        <f>IF(Y$2="Y",IF(MaGic_AVM_Land!Y27=0,"",MaGic_AVM_Land!Y27),"")</f>
        <v/>
      </c>
      <c r="Z27" s="72" t="str">
        <f>IF(Z$2="Y",IF(MaGic_AVM_Land!Z27=0,"",MaGic_AVM_Land!Z27),"")</f>
        <v/>
      </c>
      <c r="AA27" s="68" t="str">
        <f t="shared" ref="AA27:AA29" si="3">_xlfn.TEXTJOIN(",",TRUE,AB27:AZ27)</f>
        <v/>
      </c>
      <c r="AB27" s="68" t="str" cm="1">
        <f t="array" ref="AB27">_xlfn.UNIQUE(C27:Z27,TRUE,FALSE)</f>
        <v/>
      </c>
    </row>
    <row r="28" spans="1:28" s="68" customFormat="1">
      <c r="A28" s="72">
        <v>26</v>
      </c>
      <c r="B28" s="72" t="s">
        <v>97</v>
      </c>
      <c r="C28" s="72" t="str">
        <f>IF(C$2="Y",IF(MaGic_AVM_Land!C28=0,"",MaGic_AVM_Land!C28),"")</f>
        <v/>
      </c>
      <c r="D28" s="72" t="str">
        <f>IF(D$2="Y",IF(MaGic_AVM_Land!D28=0,"",MaGic_AVM_Land!D28),"")</f>
        <v/>
      </c>
      <c r="E28" s="72" t="str">
        <f>IF(E$2="Y",IF(MaGic_AVM_Land!E28=0,"",MaGic_AVM_Land!E28),"")</f>
        <v/>
      </c>
      <c r="F28" s="72" t="str">
        <f>IF(F$2="Y",IF(MaGic_AVM_Land!F28=0,"",MaGic_AVM_Land!F28),"")</f>
        <v/>
      </c>
      <c r="G28" s="72" t="str">
        <f>IF(G$2="Y",IF(MaGic_AVM_Land!G28=0,"",MaGic_AVM_Land!G28),"")</f>
        <v/>
      </c>
      <c r="H28" s="72" t="str">
        <f>IF(H$2="Y",IF(MaGic_AVM_Land!H28=0,"",MaGic_AVM_Land!H28),"")</f>
        <v/>
      </c>
      <c r="I28" s="72" t="str">
        <f>IF(I$2="Y",IF(MaGic_AVM_Land!I28=0,"",MaGic_AVM_Land!I28),"")</f>
        <v/>
      </c>
      <c r="J28" s="72" t="str">
        <f>IF(J$2="Y",IF(MaGic_AVM_Land!J28=0,"",MaGic_AVM_Land!J28),"")</f>
        <v/>
      </c>
      <c r="K28" s="72" t="str">
        <f>IF(K$2="Y",IF(MaGic_AVM_Land!K28=0,"",MaGic_AVM_Land!K28),"")</f>
        <v/>
      </c>
      <c r="L28" s="72" t="str">
        <f>IF(L$2="Y",IF(MaGic_AVM_Land!L28=0,"",MaGic_AVM_Land!L28),"")</f>
        <v/>
      </c>
      <c r="M28" s="72" t="str">
        <f>IF(M$2="Y",IF(MaGic_AVM_Land!M28=0,"",MaGic_AVM_Land!M28),"")</f>
        <v/>
      </c>
      <c r="N28" s="72" t="str">
        <f>IF(N$2="Y",IF(MaGic_AVM_Land!N28=0,"",MaGic_AVM_Land!N28),"")</f>
        <v/>
      </c>
      <c r="O28" s="72" t="str">
        <f>IF(O$2="Y",IF(MaGic_AVM_Land!O28=0,"",MaGic_AVM_Land!O28),"")</f>
        <v/>
      </c>
      <c r="P28" s="72" t="str">
        <f>IF(P$2="Y",IF(MaGic_AVM_Land!P28=0,"",MaGic_AVM_Land!P28),"")</f>
        <v/>
      </c>
      <c r="Q28" s="72" t="str">
        <f>IF(Q$2="Y",IF(MaGic_AVM_Land!Q28=0,"",MaGic_AVM_Land!Q28),"")</f>
        <v/>
      </c>
      <c r="R28" s="72" t="str">
        <f>IF(R$2="Y",IF(MaGic_AVM_Land!R28=0,"",MaGic_AVM_Land!R28),"")</f>
        <v/>
      </c>
      <c r="S28" s="72" t="str">
        <f>IF(S$2="Y",IF(MaGic_AVM_Land!S28=0,"",MaGic_AVM_Land!S28),"")</f>
        <v/>
      </c>
      <c r="T28" s="72" t="str">
        <f>IF(T$2="Y",IF(MaGic_AVM_Land!T28=0,"",MaGic_AVM_Land!T28),"")</f>
        <v/>
      </c>
      <c r="U28" s="72" t="str">
        <f>IF(U$2="Y",IF(MaGic_AVM_Land!U28=0,"",MaGic_AVM_Land!U28),"")</f>
        <v/>
      </c>
      <c r="V28" s="72" t="str">
        <f>IF(V$2="Y",IF(MaGic_AVM_Land!V28=0,"",MaGic_AVM_Land!V28),"")</f>
        <v/>
      </c>
      <c r="W28" s="72" t="str">
        <f>IF(W$2="Y",IF(MaGic_AVM_Land!W28=0,"",MaGic_AVM_Land!W28),"")</f>
        <v/>
      </c>
      <c r="X28" s="72" t="str">
        <f>IF(X$2="Y",IF(MaGic_AVM_Land!X28=0,"",MaGic_AVM_Land!X28),"")</f>
        <v/>
      </c>
      <c r="Y28" s="72" t="str">
        <f>IF(Y$2="Y",IF(MaGic_AVM_Land!Y28=0,"",MaGic_AVM_Land!Y28),"")</f>
        <v/>
      </c>
      <c r="Z28" s="72" t="str">
        <f>IF(Z$2="Y",IF(MaGic_AVM_Land!Z28=0,"",MaGic_AVM_Land!Z28),"")</f>
        <v/>
      </c>
      <c r="AA28" s="68" t="str">
        <f t="shared" si="3"/>
        <v/>
      </c>
      <c r="AB28" s="68" t="str" cm="1">
        <f t="array" ref="AB28">_xlfn.UNIQUE(C28:Z28,TRUE,FALSE)</f>
        <v/>
      </c>
    </row>
    <row r="29" spans="1:28" s="68" customFormat="1">
      <c r="A29" s="72">
        <v>27</v>
      </c>
      <c r="B29" s="72" t="s">
        <v>100</v>
      </c>
      <c r="C29" s="72" t="str">
        <f>IF(C$2="Y",IF(MaGic_AVM_Land!C29=0,"",MaGic_AVM_Land!C29),"")</f>
        <v/>
      </c>
      <c r="D29" s="72" t="str">
        <f>IF(D$2="Y",IF(MaGic_AVM_Land!D29=0,"",MaGic_AVM_Land!D29),"")</f>
        <v/>
      </c>
      <c r="E29" s="72" t="str">
        <f>IF(E$2="Y",IF(MaGic_AVM_Land!E29=0,"",MaGic_AVM_Land!E29),"")</f>
        <v/>
      </c>
      <c r="F29" s="72" t="str">
        <f>IF(F$2="Y",IF(MaGic_AVM_Land!F29=0,"",MaGic_AVM_Land!F29),"")</f>
        <v/>
      </c>
      <c r="G29" s="72" t="str">
        <f>IF(G$2="Y",IF(MaGic_AVM_Land!G29=0,"",MaGic_AVM_Land!G29),"")</f>
        <v/>
      </c>
      <c r="H29" s="72" t="str">
        <f>IF(H$2="Y",IF(MaGic_AVM_Land!H29=0,"",MaGic_AVM_Land!H29),"")</f>
        <v/>
      </c>
      <c r="I29" s="72" t="str">
        <f>IF(I$2="Y",IF(MaGic_AVM_Land!I29=0,"",MaGic_AVM_Land!I29),"")</f>
        <v/>
      </c>
      <c r="J29" s="72" t="str">
        <f>IF(J$2="Y",IF(MaGic_AVM_Land!J29=0,"",MaGic_AVM_Land!J29),"")</f>
        <v/>
      </c>
      <c r="K29" s="72" t="str">
        <f>IF(K$2="Y",IF(MaGic_AVM_Land!K29=0,"",MaGic_AVM_Land!K29),"")</f>
        <v/>
      </c>
      <c r="L29" s="72" t="str">
        <f>IF(L$2="Y",IF(MaGic_AVM_Land!L29=0,"",MaGic_AVM_Land!L29),"")</f>
        <v/>
      </c>
      <c r="M29" s="72" t="str">
        <f>IF(M$2="Y",IF(MaGic_AVM_Land!M29=0,"",MaGic_AVM_Land!M29),"")</f>
        <v/>
      </c>
      <c r="N29" s="72" t="str">
        <f>IF(N$2="Y",IF(MaGic_AVM_Land!N29=0,"",MaGic_AVM_Land!N29),"")</f>
        <v/>
      </c>
      <c r="O29" s="72" t="str">
        <f>IF(O$2="Y",IF(MaGic_AVM_Land!O29=0,"",MaGic_AVM_Land!O29),"")</f>
        <v/>
      </c>
      <c r="P29" s="72" t="str">
        <f>IF(P$2="Y",IF(MaGic_AVM_Land!P29=0,"",MaGic_AVM_Land!P29),"")</f>
        <v/>
      </c>
      <c r="Q29" s="72" t="str">
        <f>IF(Q$2="Y",IF(MaGic_AVM_Land!Q29=0,"",MaGic_AVM_Land!Q29),"")</f>
        <v/>
      </c>
      <c r="R29" s="72" t="str">
        <f>IF(R$2="Y",IF(MaGic_AVM_Land!R29=0,"",MaGic_AVM_Land!R29),"")</f>
        <v/>
      </c>
      <c r="S29" s="72" t="str">
        <f>IF(S$2="Y",IF(MaGic_AVM_Land!S29=0,"",MaGic_AVM_Land!S29),"")</f>
        <v/>
      </c>
      <c r="T29" s="72" t="str">
        <f>IF(T$2="Y",IF(MaGic_AVM_Land!T29=0,"",MaGic_AVM_Land!T29),"")</f>
        <v/>
      </c>
      <c r="U29" s="72" t="str">
        <f>IF(U$2="Y",IF(MaGic_AVM_Land!U29=0,"",MaGic_AVM_Land!U29),"")</f>
        <v/>
      </c>
      <c r="V29" s="72" t="str">
        <f>IF(V$2="Y",IF(MaGic_AVM_Land!V29=0,"",MaGic_AVM_Land!V29),"")</f>
        <v/>
      </c>
      <c r="W29" s="72" t="str">
        <f>IF(W$2="Y",IF(MaGic_AVM_Land!W29=0,"",MaGic_AVM_Land!W29),"")</f>
        <v/>
      </c>
      <c r="X29" s="72" t="str">
        <f>IF(X$2="Y",IF(MaGic_AVM_Land!X29=0,"",MaGic_AVM_Land!X29),"")</f>
        <v/>
      </c>
      <c r="Y29" s="72" t="str">
        <f>IF(Y$2="Y",IF(MaGic_AVM_Land!Y29=0,"",MaGic_AVM_Land!Y29),"")</f>
        <v/>
      </c>
      <c r="Z29" s="72" t="str">
        <f>IF(Z$2="Y",IF(MaGic_AVM_Land!Z29=0,"",MaGic_AVM_Land!Z29),"")</f>
        <v/>
      </c>
      <c r="AA29" s="68" t="str">
        <f t="shared" si="3"/>
        <v/>
      </c>
      <c r="AB29" s="68" t="str" cm="1">
        <f t="array" ref="AB29">_xlfn.UNIQUE(C29:Z29,TRUE,FALSE)</f>
        <v/>
      </c>
    </row>
    <row r="30" spans="1:28">
      <c r="A30" s="70">
        <v>28</v>
      </c>
      <c r="B30" s="70" t="s">
        <v>175</v>
      </c>
      <c r="C30" s="70" t="str">
        <f>IF(C$2="Y",IF(MaGic_AVM_Land!C30=0,"",MaGic_AVM_Land!C30),"")</f>
        <v/>
      </c>
      <c r="D30" s="70" t="str">
        <f>IF(D$2="Y",IF(MaGic_AVM_Land!D30=0,"",MaGic_AVM_Land!D30),"")</f>
        <v/>
      </c>
      <c r="E30" s="70" t="str">
        <f>IF(E$2="Y",IF(MaGic_AVM_Land!E30=0,"",MaGic_AVM_Land!E30),"")</f>
        <v/>
      </c>
      <c r="F30" s="70" t="str">
        <f>IF(F$2="Y",IF(MaGic_AVM_Land!F30=0,"",MaGic_AVM_Land!F30),"")</f>
        <v/>
      </c>
      <c r="G30" s="70" t="str">
        <f>IF(G$2="Y",IF(MaGic_AVM_Land!G30=0,"",MaGic_AVM_Land!G30),"")</f>
        <v/>
      </c>
      <c r="H30" s="70" t="str">
        <f>IF(H$2="Y",IF(MaGic_AVM_Land!H30=0,"",MaGic_AVM_Land!H30),"")</f>
        <v/>
      </c>
      <c r="I30" s="70" t="str">
        <f>IF(I$2="Y",IF(MaGic_AVM_Land!I30=0,"",MaGic_AVM_Land!I30),"")</f>
        <v/>
      </c>
      <c r="J30" s="70" t="str">
        <f>IF(J$2="Y",IF(MaGic_AVM_Land!J30=0,"",MaGic_AVM_Land!J30),"")</f>
        <v/>
      </c>
      <c r="K30" s="70" t="str">
        <f>IF(K$2="Y",IF(MaGic_AVM_Land!K30=0,"",MaGic_AVM_Land!K30),"")</f>
        <v/>
      </c>
      <c r="L30" s="70" t="str">
        <f>IF(L$2="Y",IF(MaGic_AVM_Land!L30=0,"",MaGic_AVM_Land!L30),"")</f>
        <v/>
      </c>
      <c r="M30" s="70" t="str">
        <f>IF(M$2="Y",IF(MaGic_AVM_Land!M30=0,"",MaGic_AVM_Land!M30),"")</f>
        <v/>
      </c>
      <c r="N30" s="70" t="str">
        <f>IF(N$2="Y",IF(MaGic_AVM_Land!N30=0,"",MaGic_AVM_Land!N30),"")</f>
        <v/>
      </c>
      <c r="O30" s="70" t="str">
        <f>IF(O$2="Y",IF(MaGic_AVM_Land!O30=0,"",MaGic_AVM_Land!O30),"")</f>
        <v/>
      </c>
      <c r="P30" s="70" t="str">
        <f>IF(P$2="Y",IF(MaGic_AVM_Land!P30=0,"",MaGic_AVM_Land!P30),"")</f>
        <v/>
      </c>
      <c r="Q30" s="70" t="str">
        <f>IF(Q$2="Y",IF(MaGic_AVM_Land!Q30=0,"",MaGic_AVM_Land!Q30),"")</f>
        <v/>
      </c>
      <c r="R30" s="70" t="str">
        <f>IF(R$2="Y",IF(MaGic_AVM_Land!R30=0,"",MaGic_AVM_Land!R30),"")</f>
        <v/>
      </c>
      <c r="S30" s="70" t="str">
        <f>IF(S$2="Y",IF(MaGic_AVM_Land!S30=0,"",MaGic_AVM_Land!S30),"")</f>
        <v/>
      </c>
      <c r="T30" s="70" t="str">
        <f>IF(T$2="Y",IF(MaGic_AVM_Land!T30=0,"",MaGic_AVM_Land!T30),"")</f>
        <v/>
      </c>
      <c r="U30" s="70" t="str">
        <f>IF(U$2="Y",IF(MaGic_AVM_Land!U30=0,"",MaGic_AVM_Land!U30),"")</f>
        <v/>
      </c>
      <c r="V30" s="70" t="str">
        <f>IF(V$2="Y",IF(MaGic_AVM_Land!V30=0,"",MaGic_AVM_Land!V30),"")</f>
        <v/>
      </c>
      <c r="W30" s="70" t="str">
        <f>IF(W$2="Y",IF(MaGic_AVM_Land!W30=0,"",MaGic_AVM_Land!W30),"")</f>
        <v/>
      </c>
      <c r="X30" s="70" t="str">
        <f>IF(X$2="Y",IF(MaGic_AVM_Land!X30=0,"",MaGic_AVM_Land!X30),"")</f>
        <v/>
      </c>
      <c r="Y30" s="70" t="str">
        <f>IF(Y$2="Y",IF(MaGic_AVM_Land!Y30=0,"",MaGic_AVM_Land!Y30),"")</f>
        <v/>
      </c>
      <c r="Z30" s="70" t="str">
        <f>IF(Z$2="Y",IF(MaGic_AVM_Land!Z30=0,"",MaGic_AVM_Land!Z30),"")</f>
        <v/>
      </c>
      <c r="AB30" s="69" t="str" cm="1">
        <f t="array" ref="AB30">_xlfn.UNIQUE(C30:Z30,TRUE,FALSE)</f>
        <v/>
      </c>
    </row>
    <row r="31" spans="1:28">
      <c r="A31" s="70">
        <v>29</v>
      </c>
      <c r="B31" s="70" t="s">
        <v>1103</v>
      </c>
      <c r="C31" s="70" t="str">
        <f>IF(C$2="Y",IF(MaGic_AVM_Land!C31=0,"",MaGic_AVM_Land!C31),"")</f>
        <v/>
      </c>
      <c r="D31" s="70" t="str">
        <f>IF(D$2="Y",IF(MaGic_AVM_Land!D31=0,"",MaGic_AVM_Land!D31),"")</f>
        <v/>
      </c>
      <c r="E31" s="70" t="str">
        <f>IF(E$2="Y",IF(MaGic_AVM_Land!E31=0,"",MaGic_AVM_Land!E31),"")</f>
        <v/>
      </c>
      <c r="F31" s="70" t="str">
        <f>IF(F$2="Y",IF(MaGic_AVM_Land!F31=0,"",MaGic_AVM_Land!F31),"")</f>
        <v/>
      </c>
      <c r="G31" s="70" t="str">
        <f>IF(G$2="Y",IF(MaGic_AVM_Land!G31=0,"",MaGic_AVM_Land!G31),"")</f>
        <v/>
      </c>
      <c r="H31" s="70" t="str">
        <f>IF(H$2="Y",IF(MaGic_AVM_Land!H31=0,"",MaGic_AVM_Land!H31),"")</f>
        <v/>
      </c>
      <c r="I31" s="70" t="str">
        <f>IF(I$2="Y",IF(MaGic_AVM_Land!I31=0,"",MaGic_AVM_Land!I31),"")</f>
        <v/>
      </c>
      <c r="J31" s="70" t="str">
        <f>IF(J$2="Y",IF(MaGic_AVM_Land!J31=0,"",MaGic_AVM_Land!J31),"")</f>
        <v/>
      </c>
      <c r="K31" s="70" t="str">
        <f>IF(K$2="Y",IF(MaGic_AVM_Land!K31=0,"",MaGic_AVM_Land!K31),"")</f>
        <v/>
      </c>
      <c r="L31" s="70" t="str">
        <f>IF(L$2="Y",IF(MaGic_AVM_Land!L31=0,"",MaGic_AVM_Land!L31),"")</f>
        <v/>
      </c>
      <c r="M31" s="70" t="str">
        <f>IF(M$2="Y",IF(MaGic_AVM_Land!M31=0,"",MaGic_AVM_Land!M31),"")</f>
        <v/>
      </c>
      <c r="N31" s="70" t="str">
        <f>IF(N$2="Y",IF(MaGic_AVM_Land!N31=0,"",MaGic_AVM_Land!N31),"")</f>
        <v/>
      </c>
      <c r="O31" s="70" t="str">
        <f>IF(O$2="Y",IF(MaGic_AVM_Land!O31=0,"",MaGic_AVM_Land!O31),"")</f>
        <v/>
      </c>
      <c r="P31" s="70" t="str">
        <f>IF(P$2="Y",IF(MaGic_AVM_Land!P31=0,"",MaGic_AVM_Land!P31),"")</f>
        <v/>
      </c>
      <c r="Q31" s="70" t="str">
        <f>IF(Q$2="Y",IF(MaGic_AVM_Land!Q31=0,"",MaGic_AVM_Land!Q31),"")</f>
        <v/>
      </c>
      <c r="R31" s="70" t="str">
        <f>IF(R$2="Y",IF(MaGic_AVM_Land!R31=0,"",MaGic_AVM_Land!R31),"")</f>
        <v/>
      </c>
      <c r="S31" s="70" t="str">
        <f>IF(S$2="Y",IF(MaGic_AVM_Land!S31=0,"",MaGic_AVM_Land!S31),"")</f>
        <v/>
      </c>
      <c r="T31" s="70" t="str">
        <f>IF(T$2="Y",IF(MaGic_AVM_Land!T31=0,"",MaGic_AVM_Land!T31),"")</f>
        <v/>
      </c>
      <c r="U31" s="70" t="str">
        <f>IF(U$2="Y",IF(MaGic_AVM_Land!U31=0,"",MaGic_AVM_Land!U31),"")</f>
        <v/>
      </c>
      <c r="V31" s="70" t="str">
        <f>IF(V$2="Y",IF(MaGic_AVM_Land!V31=0,"",MaGic_AVM_Land!V31),"")</f>
        <v/>
      </c>
      <c r="W31" s="70" t="str">
        <f>IF(W$2="Y",IF(MaGic_AVM_Land!W31=0,"",MaGic_AVM_Land!W31),"")</f>
        <v/>
      </c>
      <c r="X31" s="70" t="str">
        <f>IF(X$2="Y",IF(MaGic_AVM_Land!X31=0,"",MaGic_AVM_Land!X31),"")</f>
        <v/>
      </c>
      <c r="Y31" s="70" t="str">
        <f>IF(Y$2="Y",IF(MaGic_AVM_Land!Y31=0,"",MaGic_AVM_Land!Y31),"")</f>
        <v/>
      </c>
      <c r="Z31" s="70" t="str">
        <f>IF(Z$2="Y",IF(MaGic_AVM_Land!Z31=0,"",MaGic_AVM_Land!Z31),"")</f>
        <v/>
      </c>
      <c r="AB31" s="69" t="str" cm="1">
        <f t="array" ref="AB31">_xlfn.UNIQUE(C31:Z31,TRUE,FALSE)</f>
        <v/>
      </c>
    </row>
    <row r="32" spans="1:28">
      <c r="A32" s="70">
        <v>30</v>
      </c>
      <c r="B32" s="70" t="s">
        <v>1104</v>
      </c>
      <c r="C32" s="70" t="str">
        <f>IF(C$2="Y",IF(MaGic_AVM_Land!C32=0,"",MaGic_AVM_Land!C32),"")</f>
        <v/>
      </c>
      <c r="D32" s="70" t="str">
        <f>IF(D$2="Y",IF(MaGic_AVM_Land!D32=0,"",MaGic_AVM_Land!D32),"")</f>
        <v/>
      </c>
      <c r="E32" s="70" t="str">
        <f>IF(E$2="Y",IF(MaGic_AVM_Land!E32=0,"",MaGic_AVM_Land!E32),"")</f>
        <v/>
      </c>
      <c r="F32" s="70" t="str">
        <f>IF(F$2="Y",IF(MaGic_AVM_Land!F32=0,"",MaGic_AVM_Land!F32),"")</f>
        <v/>
      </c>
      <c r="G32" s="70" t="str">
        <f>IF(G$2="Y",IF(MaGic_AVM_Land!G32=0,"",MaGic_AVM_Land!G32),"")</f>
        <v/>
      </c>
      <c r="H32" s="70" t="str">
        <f>IF(H$2="Y",IF(MaGic_AVM_Land!H32=0,"",MaGic_AVM_Land!H32),"")</f>
        <v/>
      </c>
      <c r="I32" s="70" t="str">
        <f>IF(I$2="Y",IF(MaGic_AVM_Land!I32=0,"",MaGic_AVM_Land!I32),"")</f>
        <v/>
      </c>
      <c r="J32" s="70" t="str">
        <f>IF(J$2="Y",IF(MaGic_AVM_Land!J32=0,"",MaGic_AVM_Land!J32),"")</f>
        <v/>
      </c>
      <c r="K32" s="70" t="str">
        <f>IF(K$2="Y",IF(MaGic_AVM_Land!K32=0,"",MaGic_AVM_Land!K32),"")</f>
        <v/>
      </c>
      <c r="L32" s="70" t="str">
        <f>IF(L$2="Y",IF(MaGic_AVM_Land!L32=0,"",MaGic_AVM_Land!L32),"")</f>
        <v/>
      </c>
      <c r="M32" s="70" t="str">
        <f>IF(M$2="Y",IF(MaGic_AVM_Land!M32=0,"",MaGic_AVM_Land!M32),"")</f>
        <v/>
      </c>
      <c r="N32" s="70" t="str">
        <f>IF(N$2="Y",IF(MaGic_AVM_Land!N32=0,"",MaGic_AVM_Land!N32),"")</f>
        <v/>
      </c>
      <c r="O32" s="70" t="str">
        <f>IF(O$2="Y",IF(MaGic_AVM_Land!O32=0,"",MaGic_AVM_Land!O32),"")</f>
        <v/>
      </c>
      <c r="P32" s="70" t="str">
        <f>IF(P$2="Y",IF(MaGic_AVM_Land!P32=0,"",MaGic_AVM_Land!P32),"")</f>
        <v/>
      </c>
      <c r="Q32" s="70" t="str">
        <f>IF(Q$2="Y",IF(MaGic_AVM_Land!Q32=0,"",MaGic_AVM_Land!Q32),"")</f>
        <v/>
      </c>
      <c r="R32" s="70" t="str">
        <f>IF(R$2="Y",IF(MaGic_AVM_Land!R32=0,"",MaGic_AVM_Land!R32),"")</f>
        <v/>
      </c>
      <c r="S32" s="70" t="str">
        <f>IF(S$2="Y",IF(MaGic_AVM_Land!S32=0,"",MaGic_AVM_Land!S32),"")</f>
        <v/>
      </c>
      <c r="T32" s="70" t="str">
        <f>IF(T$2="Y",IF(MaGic_AVM_Land!T32=0,"",MaGic_AVM_Land!T32),"")</f>
        <v/>
      </c>
      <c r="U32" s="70" t="str">
        <f>IF(U$2="Y",IF(MaGic_AVM_Land!U32=0,"",MaGic_AVM_Land!U32),"")</f>
        <v/>
      </c>
      <c r="V32" s="70" t="str">
        <f>IF(V$2="Y",IF(MaGic_AVM_Land!V32=0,"",MaGic_AVM_Land!V32),"")</f>
        <v/>
      </c>
      <c r="W32" s="70" t="str">
        <f>IF(W$2="Y",IF(MaGic_AVM_Land!W32=0,"",MaGic_AVM_Land!W32),"")</f>
        <v/>
      </c>
      <c r="X32" s="70" t="str">
        <f>IF(X$2="Y",IF(MaGic_AVM_Land!X32=0,"",MaGic_AVM_Land!X32),"")</f>
        <v/>
      </c>
      <c r="Y32" s="70" t="str">
        <f>IF(Y$2="Y",IF(MaGic_AVM_Land!Y32=0,"",MaGic_AVM_Land!Y32),"")</f>
        <v/>
      </c>
      <c r="Z32" s="70" t="str">
        <f>IF(Z$2="Y",IF(MaGic_AVM_Land!Z32=0,"",MaGic_AVM_Land!Z32),"")</f>
        <v/>
      </c>
      <c r="AB32" s="69" t="str" cm="1">
        <f t="array" ref="AB32">_xlfn.UNIQUE(C32:Z32,TRUE,FALSE)</f>
        <v/>
      </c>
    </row>
    <row r="33" spans="1:28">
      <c r="A33" s="70">
        <v>31</v>
      </c>
      <c r="B33" s="70" t="s">
        <v>1105</v>
      </c>
      <c r="C33" s="70" t="str">
        <f>IF(C$2="Y",IF(MaGic_AVM_Land!C33=0,"",MaGic_AVM_Land!C33),"")</f>
        <v/>
      </c>
      <c r="D33" s="70" t="str">
        <f>IF(D$2="Y",IF(MaGic_AVM_Land!D33=0,"",MaGic_AVM_Land!D33),"")</f>
        <v/>
      </c>
      <c r="E33" s="70" t="str">
        <f>IF(E$2="Y",IF(MaGic_AVM_Land!E33=0,"",MaGic_AVM_Land!E33),"")</f>
        <v/>
      </c>
      <c r="F33" s="70" t="str">
        <f>IF(F$2="Y",IF(MaGic_AVM_Land!F33=0,"",MaGic_AVM_Land!F33),"")</f>
        <v/>
      </c>
      <c r="G33" s="70" t="str">
        <f>IF(G$2="Y",IF(MaGic_AVM_Land!G33=0,"",MaGic_AVM_Land!G33),"")</f>
        <v/>
      </c>
      <c r="H33" s="70" t="str">
        <f>IF(H$2="Y",IF(MaGic_AVM_Land!H33=0,"",MaGic_AVM_Land!H33),"")</f>
        <v/>
      </c>
      <c r="I33" s="70" t="str">
        <f>IF(I$2="Y",IF(MaGic_AVM_Land!I33=0,"",MaGic_AVM_Land!I33),"")</f>
        <v/>
      </c>
      <c r="J33" s="70" t="str">
        <f>IF(J$2="Y",IF(MaGic_AVM_Land!J33=0,"",MaGic_AVM_Land!J33),"")</f>
        <v/>
      </c>
      <c r="K33" s="70" t="str">
        <f>IF(K$2="Y",IF(MaGic_AVM_Land!K33=0,"",MaGic_AVM_Land!K33),"")</f>
        <v/>
      </c>
      <c r="L33" s="70" t="str">
        <f>IF(L$2="Y",IF(MaGic_AVM_Land!L33=0,"",MaGic_AVM_Land!L33),"")</f>
        <v/>
      </c>
      <c r="M33" s="70" t="str">
        <f>IF(M$2="Y",IF(MaGic_AVM_Land!M33=0,"",MaGic_AVM_Land!M33),"")</f>
        <v/>
      </c>
      <c r="N33" s="70" t="str">
        <f>IF(N$2="Y",IF(MaGic_AVM_Land!N33=0,"",MaGic_AVM_Land!N33),"")</f>
        <v/>
      </c>
      <c r="O33" s="70" t="str">
        <f>IF(O$2="Y",IF(MaGic_AVM_Land!O33=0,"",MaGic_AVM_Land!O33),"")</f>
        <v/>
      </c>
      <c r="P33" s="70" t="str">
        <f>IF(P$2="Y",IF(MaGic_AVM_Land!P33=0,"",MaGic_AVM_Land!P33),"")</f>
        <v/>
      </c>
      <c r="Q33" s="70" t="str">
        <f>IF(Q$2="Y",IF(MaGic_AVM_Land!Q33=0,"",MaGic_AVM_Land!Q33),"")</f>
        <v/>
      </c>
      <c r="R33" s="70" t="str">
        <f>IF(R$2="Y",IF(MaGic_AVM_Land!R33=0,"",MaGic_AVM_Land!R33),"")</f>
        <v/>
      </c>
      <c r="S33" s="70" t="str">
        <f>IF(S$2="Y",IF(MaGic_AVM_Land!S33=0,"",MaGic_AVM_Land!S33),"")</f>
        <v/>
      </c>
      <c r="T33" s="70" t="str">
        <f>IF(T$2="Y",IF(MaGic_AVM_Land!T33=0,"",MaGic_AVM_Land!T33),"")</f>
        <v/>
      </c>
      <c r="U33" s="70" t="str">
        <f>IF(U$2="Y",IF(MaGic_AVM_Land!U33=0,"",MaGic_AVM_Land!U33),"")</f>
        <v/>
      </c>
      <c r="V33" s="70" t="str">
        <f>IF(V$2="Y",IF(MaGic_AVM_Land!V33=0,"",MaGic_AVM_Land!V33),"")</f>
        <v/>
      </c>
      <c r="W33" s="70" t="str">
        <f>IF(W$2="Y",IF(MaGic_AVM_Land!W33=0,"",MaGic_AVM_Land!W33),"")</f>
        <v/>
      </c>
      <c r="X33" s="70" t="str">
        <f>IF(X$2="Y",IF(MaGic_AVM_Land!X33=0,"",MaGic_AVM_Land!X33),"")</f>
        <v/>
      </c>
      <c r="Y33" s="70" t="str">
        <f>IF(Y$2="Y",IF(MaGic_AVM_Land!Y33=0,"",MaGic_AVM_Land!Y33),"")</f>
        <v/>
      </c>
      <c r="Z33" s="70" t="str">
        <f>IF(Z$2="Y",IF(MaGic_AVM_Land!Z33=0,"",MaGic_AVM_Land!Z33),"")</f>
        <v/>
      </c>
      <c r="AB33" s="69" t="str" cm="1">
        <f t="array" ref="AB33">_xlfn.UNIQUE(C33:Z33,TRUE,FALSE)</f>
        <v/>
      </c>
    </row>
    <row r="34" spans="1:28">
      <c r="A34" s="70"/>
      <c r="B34" s="70" t="s">
        <v>110</v>
      </c>
      <c r="C34" s="70" t="str">
        <f>IF(C$2="Y",IF(MaGic_AVM_Land!C34=0,"",MaGic_AVM_Land!C34),"")</f>
        <v/>
      </c>
      <c r="D34" s="70" t="str">
        <f>IF(D$2="Y",IF(MaGic_AVM_Land!D34=0,"",MaGic_AVM_Land!D34),"")</f>
        <v/>
      </c>
      <c r="E34" s="70" t="str">
        <f>IF(E$2="Y",IF(MaGic_AVM_Land!E34=0,"",MaGic_AVM_Land!E34),"")</f>
        <v/>
      </c>
      <c r="F34" s="70" t="str">
        <f>IF(F$2="Y",IF(MaGic_AVM_Land!F34=0,"",MaGic_AVM_Land!F34),"")</f>
        <v/>
      </c>
      <c r="G34" s="70" t="str">
        <f>IF(G$2="Y",IF(MaGic_AVM_Land!G34=0,"",MaGic_AVM_Land!G34),"")</f>
        <v/>
      </c>
      <c r="H34" s="70" t="str">
        <f>IF(H$2="Y",IF(MaGic_AVM_Land!H34=0,"",MaGic_AVM_Land!H34),"")</f>
        <v/>
      </c>
      <c r="I34" s="70" t="str">
        <f>IF(I$2="Y",IF(MaGic_AVM_Land!I34=0,"",MaGic_AVM_Land!I34),"")</f>
        <v/>
      </c>
      <c r="J34" s="70" t="str">
        <f>IF(J$2="Y",IF(MaGic_AVM_Land!J34=0,"",MaGic_AVM_Land!J34),"")</f>
        <v/>
      </c>
      <c r="K34" s="70" t="str">
        <f>IF(K$2="Y",IF(MaGic_AVM_Land!K34=0,"",MaGic_AVM_Land!K34),"")</f>
        <v/>
      </c>
      <c r="L34" s="70" t="str">
        <f>IF(L$2="Y",IF(MaGic_AVM_Land!L34=0,"",MaGic_AVM_Land!L34),"")</f>
        <v/>
      </c>
      <c r="M34" s="70" t="str">
        <f>IF(M$2="Y",IF(MaGic_AVM_Land!M34=0,"",MaGic_AVM_Land!M34),"")</f>
        <v/>
      </c>
      <c r="N34" s="70" t="str">
        <f>IF(N$2="Y",IF(MaGic_AVM_Land!N34=0,"",MaGic_AVM_Land!N34),"")</f>
        <v/>
      </c>
      <c r="O34" s="70" t="str">
        <f>IF(O$2="Y",IF(MaGic_AVM_Land!O34=0,"",MaGic_AVM_Land!O34),"")</f>
        <v/>
      </c>
      <c r="P34" s="70" t="str">
        <f>IF(P$2="Y",IF(MaGic_AVM_Land!P34=0,"",MaGic_AVM_Land!P34),"")</f>
        <v/>
      </c>
      <c r="Q34" s="70" t="str">
        <f>IF(Q$2="Y",IF(MaGic_AVM_Land!Q34=0,"",MaGic_AVM_Land!Q34),"")</f>
        <v/>
      </c>
      <c r="R34" s="70" t="str">
        <f>IF(R$2="Y",IF(MaGic_AVM_Land!R34=0,"",MaGic_AVM_Land!R34),"")</f>
        <v/>
      </c>
      <c r="S34" s="70" t="str">
        <f>IF(S$2="Y",IF(MaGic_AVM_Land!S34=0,"",MaGic_AVM_Land!S34),"")</f>
        <v/>
      </c>
      <c r="T34" s="70" t="str">
        <f>IF(T$2="Y",IF(MaGic_AVM_Land!T34=0,"",MaGic_AVM_Land!T34),"")</f>
        <v/>
      </c>
      <c r="U34" s="70" t="str">
        <f>IF(U$2="Y",IF(MaGic_AVM_Land!U34=0,"",MaGic_AVM_Land!U34),"")</f>
        <v/>
      </c>
      <c r="V34" s="70" t="str">
        <f>IF(V$2="Y",IF(MaGic_AVM_Land!V34=0,"",MaGic_AVM_Land!V34),"")</f>
        <v/>
      </c>
      <c r="W34" s="70" t="str">
        <f>IF(W$2="Y",IF(MaGic_AVM_Land!W34=0,"",MaGic_AVM_Land!W34),"")</f>
        <v/>
      </c>
      <c r="X34" s="70" t="str">
        <f>IF(X$2="Y",IF(MaGic_AVM_Land!X34=0,"",MaGic_AVM_Land!X34),"")</f>
        <v/>
      </c>
      <c r="Y34" s="70" t="str">
        <f>IF(Y$2="Y",IF(MaGic_AVM_Land!Y34=0,"",MaGic_AVM_Land!Y34),"")</f>
        <v/>
      </c>
      <c r="Z34" s="70" t="str">
        <f>IF(Z$2="Y",IF(MaGic_AVM_Land!Z34=0,"",MaGic_AVM_Land!Z34),"")</f>
        <v/>
      </c>
      <c r="AB34" s="69" t="str" cm="1">
        <f t="array" ref="AB34">_xlfn.UNIQUE(C34:Z34,TRUE,FALSE)</f>
        <v/>
      </c>
    </row>
    <row r="35" spans="1:28">
      <c r="A35" s="70">
        <v>1</v>
      </c>
      <c r="B35" s="70" t="s">
        <v>1106</v>
      </c>
      <c r="C35" s="70" t="str">
        <f>IF(C$2="Y",IF(MaGic_AVM_Land!C35=0,"",MaGic_AVM_Land!C35),"")</f>
        <v/>
      </c>
      <c r="D35" s="70" t="str">
        <f>IF(D$2="Y",IF(MaGic_AVM_Land!D35=0,"",MaGic_AVM_Land!D35),"")</f>
        <v/>
      </c>
      <c r="E35" s="70" t="str">
        <f>IF(E$2="Y",IF(MaGic_AVM_Land!E35=0,"",MaGic_AVM_Land!E35),"")</f>
        <v/>
      </c>
      <c r="F35" s="70" t="str">
        <f>IF(F$2="Y",IF(MaGic_AVM_Land!F35=0,"",MaGic_AVM_Land!F35),"")</f>
        <v/>
      </c>
      <c r="G35" s="70" t="str">
        <f>IF(G$2="Y",IF(MaGic_AVM_Land!G35=0,"",MaGic_AVM_Land!G35),"")</f>
        <v/>
      </c>
      <c r="H35" s="70" t="str">
        <f>IF(H$2="Y",IF(MaGic_AVM_Land!H35=0,"",MaGic_AVM_Land!H35),"")</f>
        <v/>
      </c>
      <c r="I35" s="70" t="str">
        <f>IF(I$2="Y",IF(MaGic_AVM_Land!I35=0,"",MaGic_AVM_Land!I35),"")</f>
        <v/>
      </c>
      <c r="J35" s="70" t="str">
        <f>IF(J$2="Y",IF(MaGic_AVM_Land!J35=0,"",MaGic_AVM_Land!J35),"")</f>
        <v/>
      </c>
      <c r="K35" s="70" t="str">
        <f>IF(K$2="Y",IF(MaGic_AVM_Land!K35=0,"",MaGic_AVM_Land!K35),"")</f>
        <v/>
      </c>
      <c r="L35" s="70" t="str">
        <f>IF(L$2="Y",IF(MaGic_AVM_Land!L35=0,"",MaGic_AVM_Land!L35),"")</f>
        <v/>
      </c>
      <c r="M35" s="70" t="str">
        <f>IF(M$2="Y",IF(MaGic_AVM_Land!M35=0,"",MaGic_AVM_Land!M35),"")</f>
        <v/>
      </c>
      <c r="N35" s="70" t="str">
        <f>IF(N$2="Y",IF(MaGic_AVM_Land!N35=0,"",MaGic_AVM_Land!N35),"")</f>
        <v/>
      </c>
      <c r="O35" s="70" t="str">
        <f>IF(O$2="Y",IF(MaGic_AVM_Land!O35=0,"",MaGic_AVM_Land!O35),"")</f>
        <v/>
      </c>
      <c r="P35" s="70" t="str">
        <f>IF(P$2="Y",IF(MaGic_AVM_Land!P35=0,"",MaGic_AVM_Land!P35),"")</f>
        <v/>
      </c>
      <c r="Q35" s="70" t="str">
        <f>IF(Q$2="Y",IF(MaGic_AVM_Land!Q35=0,"",MaGic_AVM_Land!Q35),"")</f>
        <v/>
      </c>
      <c r="R35" s="70" t="str">
        <f>IF(R$2="Y",IF(MaGic_AVM_Land!R35=0,"",MaGic_AVM_Land!R35),"")</f>
        <v/>
      </c>
      <c r="S35" s="70" t="str">
        <f>IF(S$2="Y",IF(MaGic_AVM_Land!S35=0,"",MaGic_AVM_Land!S35),"")</f>
        <v/>
      </c>
      <c r="T35" s="70" t="str">
        <f>IF(T$2="Y",IF(MaGic_AVM_Land!T35=0,"",MaGic_AVM_Land!T35),"")</f>
        <v/>
      </c>
      <c r="U35" s="70" t="str">
        <f>IF(U$2="Y",IF(MaGic_AVM_Land!U35=0,"",MaGic_AVM_Land!U35),"")</f>
        <v/>
      </c>
      <c r="V35" s="70" t="str">
        <f>IF(V$2="Y",IF(MaGic_AVM_Land!V35=0,"",MaGic_AVM_Land!V35),"")</f>
        <v/>
      </c>
      <c r="W35" s="70" t="str">
        <f>IF(W$2="Y",IF(MaGic_AVM_Land!W35=0,"",MaGic_AVM_Land!W35),"")</f>
        <v/>
      </c>
      <c r="X35" s="70" t="str">
        <f>IF(X$2="Y",IF(MaGic_AVM_Land!X35=0,"",MaGic_AVM_Land!X35),"")</f>
        <v/>
      </c>
      <c r="Y35" s="70" t="str">
        <f>IF(Y$2="Y",IF(MaGic_AVM_Land!Y35=0,"",MaGic_AVM_Land!Y35),"")</f>
        <v/>
      </c>
      <c r="Z35" s="70" t="str">
        <f>IF(Z$2="Y",IF(MaGic_AVM_Land!Z35=0,"",MaGic_AVM_Land!Z35),"")</f>
        <v/>
      </c>
      <c r="AB35" s="69" t="str" cm="1">
        <f t="array" ref="AB35">_xlfn.UNIQUE(C35:Z35,TRUE,FALSE)</f>
        <v/>
      </c>
    </row>
    <row r="36" spans="1:28">
      <c r="A36" s="70">
        <v>2</v>
      </c>
      <c r="B36" s="70" t="s">
        <v>112</v>
      </c>
      <c r="C36" s="70" t="str">
        <f>IF(C$2="Y",IF(MaGic_AVM_Land!C36=0,"",MaGic_AVM_Land!C36),"")</f>
        <v/>
      </c>
      <c r="D36" s="70" t="str">
        <f>IF(D$2="Y",IF(MaGic_AVM_Land!D36=0,"",MaGic_AVM_Land!D36),"")</f>
        <v/>
      </c>
      <c r="E36" s="70" t="str">
        <f>IF(E$2="Y",IF(MaGic_AVM_Land!E36=0,"",MaGic_AVM_Land!E36),"")</f>
        <v/>
      </c>
      <c r="F36" s="70" t="str">
        <f>IF(F$2="Y",IF(MaGic_AVM_Land!F36=0,"",MaGic_AVM_Land!F36),"")</f>
        <v/>
      </c>
      <c r="G36" s="70" t="str">
        <f>IF(G$2="Y",IF(MaGic_AVM_Land!G36=0,"",MaGic_AVM_Land!G36),"")</f>
        <v/>
      </c>
      <c r="H36" s="70" t="str">
        <f>IF(H$2="Y",IF(MaGic_AVM_Land!H36=0,"",MaGic_AVM_Land!H36),"")</f>
        <v/>
      </c>
      <c r="I36" s="70" t="str">
        <f>IF(I$2="Y",IF(MaGic_AVM_Land!I36=0,"",MaGic_AVM_Land!I36),"")</f>
        <v/>
      </c>
      <c r="J36" s="70" t="str">
        <f>IF(J$2="Y",IF(MaGic_AVM_Land!J36=0,"",MaGic_AVM_Land!J36),"")</f>
        <v/>
      </c>
      <c r="K36" s="70" t="str">
        <f>IF(K$2="Y",IF(MaGic_AVM_Land!K36=0,"",MaGic_AVM_Land!K36),"")</f>
        <v/>
      </c>
      <c r="L36" s="70" t="str">
        <f>IF(L$2="Y",IF(MaGic_AVM_Land!L36=0,"",MaGic_AVM_Land!L36),"")</f>
        <v/>
      </c>
      <c r="M36" s="70" t="str">
        <f>IF(M$2="Y",IF(MaGic_AVM_Land!M36=0,"",MaGic_AVM_Land!M36),"")</f>
        <v/>
      </c>
      <c r="N36" s="70" t="str">
        <f>IF(N$2="Y",IF(MaGic_AVM_Land!N36=0,"",MaGic_AVM_Land!N36),"")</f>
        <v/>
      </c>
      <c r="O36" s="70" t="str">
        <f>IF(O$2="Y",IF(MaGic_AVM_Land!O36=0,"",MaGic_AVM_Land!O36),"")</f>
        <v/>
      </c>
      <c r="P36" s="70" t="str">
        <f>IF(P$2="Y",IF(MaGic_AVM_Land!P36=0,"",MaGic_AVM_Land!P36),"")</f>
        <v/>
      </c>
      <c r="Q36" s="70" t="str">
        <f>IF(Q$2="Y",IF(MaGic_AVM_Land!Q36=0,"",MaGic_AVM_Land!Q36),"")</f>
        <v/>
      </c>
      <c r="R36" s="70" t="str">
        <f>IF(R$2="Y",IF(MaGic_AVM_Land!R36=0,"",MaGic_AVM_Land!R36),"")</f>
        <v/>
      </c>
      <c r="S36" s="70" t="str">
        <f>IF(S$2="Y",IF(MaGic_AVM_Land!S36=0,"",MaGic_AVM_Land!S36),"")</f>
        <v/>
      </c>
      <c r="T36" s="70" t="str">
        <f>IF(T$2="Y",IF(MaGic_AVM_Land!T36=0,"",MaGic_AVM_Land!T36),"")</f>
        <v/>
      </c>
      <c r="U36" s="70" t="str">
        <f>IF(U$2="Y",IF(MaGic_AVM_Land!U36=0,"",MaGic_AVM_Land!U36),"")</f>
        <v/>
      </c>
      <c r="V36" s="70" t="str">
        <f>IF(V$2="Y",IF(MaGic_AVM_Land!V36=0,"",MaGic_AVM_Land!V36),"")</f>
        <v/>
      </c>
      <c r="W36" s="70" t="str">
        <f>IF(W$2="Y",IF(MaGic_AVM_Land!W36=0,"",MaGic_AVM_Land!W36),"")</f>
        <v/>
      </c>
      <c r="X36" s="70" t="str">
        <f>IF(X$2="Y",IF(MaGic_AVM_Land!X36=0,"",MaGic_AVM_Land!X36),"")</f>
        <v/>
      </c>
      <c r="Y36" s="70" t="str">
        <f>IF(Y$2="Y",IF(MaGic_AVM_Land!Y36=0,"",MaGic_AVM_Land!Y36),"")</f>
        <v/>
      </c>
      <c r="Z36" s="70" t="str">
        <f>IF(Z$2="Y",IF(MaGic_AVM_Land!Z36=0,"",MaGic_AVM_Land!Z36),"")</f>
        <v/>
      </c>
      <c r="AB36" s="69" t="str" cm="1">
        <f t="array" ref="AB36">_xlfn.UNIQUE(C36:Z36,TRUE,FALSE)</f>
        <v/>
      </c>
    </row>
    <row r="37" spans="1:28">
      <c r="A37" s="70">
        <v>3</v>
      </c>
      <c r="B37" s="70" t="s">
        <v>113</v>
      </c>
      <c r="C37" s="70" t="str">
        <f>IF(C$2="Y",IF(MaGic_AVM_Land!C37=0,"",MaGic_AVM_Land!C37),"")</f>
        <v/>
      </c>
      <c r="D37" s="70" t="str">
        <f>IF(D$2="Y",IF(MaGic_AVM_Land!D37=0,"",MaGic_AVM_Land!D37),"")</f>
        <v/>
      </c>
      <c r="E37" s="70" t="str">
        <f>IF(E$2="Y",IF(MaGic_AVM_Land!E37=0,"",MaGic_AVM_Land!E37),"")</f>
        <v/>
      </c>
      <c r="F37" s="70" t="str">
        <f>IF(F$2="Y",IF(MaGic_AVM_Land!F37=0,"",MaGic_AVM_Land!F37),"")</f>
        <v/>
      </c>
      <c r="G37" s="70" t="str">
        <f>IF(G$2="Y",IF(MaGic_AVM_Land!G37=0,"",MaGic_AVM_Land!G37),"")</f>
        <v/>
      </c>
      <c r="H37" s="70" t="str">
        <f>IF(H$2="Y",IF(MaGic_AVM_Land!H37=0,"",MaGic_AVM_Land!H37),"")</f>
        <v/>
      </c>
      <c r="I37" s="70" t="str">
        <f>IF(I$2="Y",IF(MaGic_AVM_Land!I37=0,"",MaGic_AVM_Land!I37),"")</f>
        <v/>
      </c>
      <c r="J37" s="70" t="str">
        <f>IF(J$2="Y",IF(MaGic_AVM_Land!J37=0,"",MaGic_AVM_Land!J37),"")</f>
        <v/>
      </c>
      <c r="K37" s="70" t="str">
        <f>IF(K$2="Y",IF(MaGic_AVM_Land!K37=0,"",MaGic_AVM_Land!K37),"")</f>
        <v/>
      </c>
      <c r="L37" s="70" t="str">
        <f>IF(L$2="Y",IF(MaGic_AVM_Land!L37=0,"",MaGic_AVM_Land!L37),"")</f>
        <v/>
      </c>
      <c r="M37" s="70" t="str">
        <f>IF(M$2="Y",IF(MaGic_AVM_Land!M37=0,"",MaGic_AVM_Land!M37),"")</f>
        <v/>
      </c>
      <c r="N37" s="70" t="str">
        <f>IF(N$2="Y",IF(MaGic_AVM_Land!N37=0,"",MaGic_AVM_Land!N37),"")</f>
        <v/>
      </c>
      <c r="O37" s="70" t="str">
        <f>IF(O$2="Y",IF(MaGic_AVM_Land!O37=0,"",MaGic_AVM_Land!O37),"")</f>
        <v/>
      </c>
      <c r="P37" s="70" t="str">
        <f>IF(P$2="Y",IF(MaGic_AVM_Land!P37=0,"",MaGic_AVM_Land!P37),"")</f>
        <v/>
      </c>
      <c r="Q37" s="70" t="str">
        <f>IF(Q$2="Y",IF(MaGic_AVM_Land!Q37=0,"",MaGic_AVM_Land!Q37),"")</f>
        <v/>
      </c>
      <c r="R37" s="70" t="str">
        <f>IF(R$2="Y",IF(MaGic_AVM_Land!R37=0,"",MaGic_AVM_Land!R37),"")</f>
        <v/>
      </c>
      <c r="S37" s="70" t="str">
        <f>IF(S$2="Y",IF(MaGic_AVM_Land!S37=0,"",MaGic_AVM_Land!S37),"")</f>
        <v/>
      </c>
      <c r="T37" s="70" t="str">
        <f>IF(T$2="Y",IF(MaGic_AVM_Land!T37=0,"",MaGic_AVM_Land!T37),"")</f>
        <v/>
      </c>
      <c r="U37" s="70" t="str">
        <f>IF(U$2="Y",IF(MaGic_AVM_Land!U37=0,"",MaGic_AVM_Land!U37),"")</f>
        <v/>
      </c>
      <c r="V37" s="70" t="str">
        <f>IF(V$2="Y",IF(MaGic_AVM_Land!V37=0,"",MaGic_AVM_Land!V37),"")</f>
        <v/>
      </c>
      <c r="W37" s="70" t="str">
        <f>IF(W$2="Y",IF(MaGic_AVM_Land!W37=0,"",MaGic_AVM_Land!W37),"")</f>
        <v/>
      </c>
      <c r="X37" s="70" t="str">
        <f>IF(X$2="Y",IF(MaGic_AVM_Land!X37=0,"",MaGic_AVM_Land!X37),"")</f>
        <v/>
      </c>
      <c r="Y37" s="70" t="str">
        <f>IF(Y$2="Y",IF(MaGic_AVM_Land!Y37=0,"",MaGic_AVM_Land!Y37),"")</f>
        <v/>
      </c>
      <c r="Z37" s="70" t="str">
        <f>IF(Z$2="Y",IF(MaGic_AVM_Land!Z37=0,"",MaGic_AVM_Land!Z37),"")</f>
        <v/>
      </c>
      <c r="AB37" s="69" t="str" cm="1">
        <f t="array" ref="AB37">_xlfn.UNIQUE(C37:Z37,TRUE,FALSE)</f>
        <v/>
      </c>
    </row>
    <row r="38" spans="1:28">
      <c r="A38" s="70">
        <v>4</v>
      </c>
      <c r="B38" s="70" t="s">
        <v>114</v>
      </c>
      <c r="C38" s="70"/>
      <c r="D38" s="70"/>
      <c r="E38" s="70"/>
      <c r="F38" s="70"/>
      <c r="G38" s="70"/>
      <c r="H38" s="70"/>
      <c r="I38" s="70"/>
      <c r="J38" s="70"/>
      <c r="K38" s="70"/>
      <c r="L38" s="70"/>
      <c r="M38" s="70"/>
      <c r="N38" s="70"/>
      <c r="O38" s="70"/>
      <c r="P38" s="70"/>
      <c r="Q38" s="70"/>
      <c r="R38" s="70"/>
      <c r="S38" s="70"/>
      <c r="T38" s="70"/>
      <c r="U38" s="70"/>
      <c r="V38" s="70"/>
      <c r="W38" s="70"/>
      <c r="X38" s="70"/>
      <c r="Y38" s="70"/>
      <c r="Z38" s="70"/>
      <c r="AB38" s="69" cm="1">
        <f t="array" ref="AB38">_xlfn.UNIQUE(C38:Z38,TRUE,FALSE)</f>
        <v>0</v>
      </c>
    </row>
    <row r="39" spans="1:28">
      <c r="A39" s="70">
        <v>5</v>
      </c>
      <c r="B39" s="70" t="s">
        <v>115</v>
      </c>
      <c r="C39" s="70"/>
      <c r="D39" s="70"/>
      <c r="E39" s="70"/>
      <c r="F39" s="70"/>
      <c r="G39" s="70"/>
      <c r="H39" s="70"/>
      <c r="I39" s="70"/>
      <c r="J39" s="70"/>
      <c r="K39" s="70"/>
      <c r="L39" s="70"/>
      <c r="M39" s="70"/>
      <c r="N39" s="70"/>
      <c r="O39" s="70"/>
      <c r="P39" s="70"/>
      <c r="Q39" s="70"/>
      <c r="R39" s="70"/>
      <c r="S39" s="70"/>
      <c r="T39" s="70"/>
      <c r="U39" s="70"/>
      <c r="V39" s="70"/>
      <c r="W39" s="70"/>
      <c r="X39" s="70"/>
      <c r="Y39" s="70"/>
      <c r="Z39" s="70"/>
      <c r="AB39" s="69" cm="1">
        <f t="array" ref="AB39">_xlfn.UNIQUE(C39:Z39,TRUE,FALSE)</f>
        <v>0</v>
      </c>
    </row>
    <row r="40" spans="1:28">
      <c r="A40" s="70">
        <v>6</v>
      </c>
      <c r="B40" s="70" t="s">
        <v>116</v>
      </c>
      <c r="C40" s="70"/>
      <c r="D40" s="70"/>
      <c r="E40" s="70"/>
      <c r="F40" s="70"/>
      <c r="G40" s="70"/>
      <c r="H40" s="70"/>
      <c r="I40" s="70"/>
      <c r="J40" s="70"/>
      <c r="K40" s="70"/>
      <c r="L40" s="70"/>
      <c r="M40" s="70"/>
      <c r="N40" s="70"/>
      <c r="O40" s="70"/>
      <c r="P40" s="70"/>
      <c r="Q40" s="70"/>
      <c r="R40" s="70"/>
      <c r="S40" s="70"/>
      <c r="T40" s="70"/>
      <c r="U40" s="70"/>
      <c r="V40" s="70"/>
      <c r="W40" s="70"/>
      <c r="X40" s="70"/>
      <c r="Y40" s="70"/>
      <c r="Z40" s="70"/>
      <c r="AB40" s="69" cm="1">
        <f t="array" ref="AB40">_xlfn.UNIQUE(C40:Z40,TRUE,FALSE)</f>
        <v>0</v>
      </c>
    </row>
    <row r="41" spans="1:28">
      <c r="A41" s="70"/>
      <c r="B41" s="70" t="s">
        <v>117</v>
      </c>
      <c r="C41" s="70"/>
      <c r="D41" s="70"/>
      <c r="E41" s="70"/>
      <c r="F41" s="70"/>
      <c r="G41" s="70"/>
      <c r="H41" s="70"/>
      <c r="I41" s="70"/>
      <c r="J41" s="70"/>
      <c r="K41" s="70"/>
      <c r="L41" s="70"/>
      <c r="M41" s="70"/>
      <c r="N41" s="70"/>
      <c r="O41" s="70"/>
      <c r="P41" s="70"/>
      <c r="Q41" s="70"/>
      <c r="R41" s="70"/>
      <c r="S41" s="70"/>
      <c r="T41" s="70"/>
      <c r="U41" s="70"/>
      <c r="V41" s="70"/>
      <c r="W41" s="70"/>
      <c r="X41" s="70"/>
      <c r="Y41" s="70"/>
      <c r="Z41" s="70"/>
      <c r="AB41" s="69" cm="1">
        <f t="array" ref="AB41">_xlfn.UNIQUE(C41:Z41,TRUE,FALSE)</f>
        <v>0</v>
      </c>
    </row>
    <row r="42" spans="1:28">
      <c r="A42" s="70">
        <v>1</v>
      </c>
      <c r="B42" s="70" t="s">
        <v>118</v>
      </c>
      <c r="C42" s="70"/>
      <c r="D42" s="70"/>
      <c r="E42" s="70"/>
      <c r="F42" s="70"/>
      <c r="G42" s="70"/>
      <c r="H42" s="70"/>
      <c r="I42" s="70"/>
      <c r="J42" s="70"/>
      <c r="K42" s="70"/>
      <c r="L42" s="70"/>
      <c r="M42" s="70"/>
      <c r="N42" s="70"/>
      <c r="O42" s="70"/>
      <c r="P42" s="70"/>
      <c r="Q42" s="70"/>
      <c r="R42" s="70"/>
      <c r="S42" s="70"/>
      <c r="T42" s="70"/>
      <c r="U42" s="70"/>
      <c r="V42" s="70"/>
      <c r="W42" s="70"/>
      <c r="X42" s="70"/>
      <c r="Y42" s="70"/>
      <c r="Z42" s="70"/>
      <c r="AB42" s="69" cm="1">
        <f t="array" ref="AB42">_xlfn.UNIQUE(C42:Z42,TRUE,FALSE)</f>
        <v>0</v>
      </c>
    </row>
    <row r="43" spans="1:28">
      <c r="A43" s="70">
        <v>2</v>
      </c>
      <c r="B43" s="70" t="s">
        <v>119</v>
      </c>
      <c r="C43" s="70"/>
      <c r="D43" s="70"/>
      <c r="E43" s="70"/>
      <c r="F43" s="70"/>
      <c r="G43" s="70"/>
      <c r="H43" s="70"/>
      <c r="I43" s="70"/>
      <c r="J43" s="70"/>
      <c r="K43" s="70"/>
      <c r="L43" s="70"/>
      <c r="M43" s="70"/>
      <c r="N43" s="70"/>
      <c r="O43" s="70"/>
      <c r="P43" s="70"/>
      <c r="Q43" s="70"/>
      <c r="R43" s="70"/>
      <c r="S43" s="70"/>
      <c r="T43" s="70"/>
      <c r="U43" s="70"/>
      <c r="V43" s="70"/>
      <c r="W43" s="70"/>
      <c r="X43" s="70"/>
      <c r="Y43" s="70"/>
      <c r="Z43" s="70"/>
      <c r="AB43" s="69" cm="1">
        <f t="array" ref="AB43">_xlfn.UNIQUE(C43:Z43,TRUE,FALSE)</f>
        <v>0</v>
      </c>
    </row>
    <row r="44" spans="1:28">
      <c r="A44" s="70">
        <v>3</v>
      </c>
      <c r="B44" s="70" t="s">
        <v>120</v>
      </c>
      <c r="C44" s="70"/>
      <c r="D44" s="70"/>
      <c r="E44" s="70"/>
      <c r="F44" s="70"/>
      <c r="G44" s="70"/>
      <c r="H44" s="70"/>
      <c r="I44" s="70"/>
      <c r="J44" s="70"/>
      <c r="K44" s="70"/>
      <c r="L44" s="70"/>
      <c r="M44" s="70"/>
      <c r="N44" s="70"/>
      <c r="O44" s="70"/>
      <c r="P44" s="70"/>
      <c r="Q44" s="70"/>
      <c r="R44" s="70"/>
      <c r="S44" s="70"/>
      <c r="T44" s="70"/>
      <c r="U44" s="70"/>
      <c r="V44" s="70"/>
      <c r="W44" s="70"/>
      <c r="X44" s="70"/>
      <c r="Y44" s="70"/>
      <c r="Z44" s="70"/>
      <c r="AB44" s="69" cm="1">
        <f t="array" ref="AB44">_xlfn.UNIQUE(C44:Z44,TRUE,FALSE)</f>
        <v>0</v>
      </c>
    </row>
    <row r="45" spans="1:28">
      <c r="A45" s="70">
        <v>4</v>
      </c>
      <c r="B45" s="70" t="s">
        <v>121</v>
      </c>
      <c r="C45" s="70"/>
      <c r="D45" s="70"/>
      <c r="E45" s="70"/>
      <c r="F45" s="70"/>
      <c r="G45" s="70"/>
      <c r="H45" s="70"/>
      <c r="I45" s="70"/>
      <c r="J45" s="70"/>
      <c r="K45" s="70"/>
      <c r="L45" s="70"/>
      <c r="M45" s="70"/>
      <c r="N45" s="70"/>
      <c r="O45" s="70"/>
      <c r="P45" s="70"/>
      <c r="Q45" s="70"/>
      <c r="R45" s="70"/>
      <c r="S45" s="70"/>
      <c r="T45" s="70"/>
      <c r="U45" s="70"/>
      <c r="V45" s="70"/>
      <c r="W45" s="70"/>
      <c r="X45" s="70"/>
      <c r="Y45" s="70"/>
      <c r="Z45" s="70"/>
      <c r="AB45" s="69" cm="1">
        <f t="array" ref="AB45">_xlfn.UNIQUE(C45:Z45,TRUE,FALSE)</f>
        <v>0</v>
      </c>
    </row>
    <row r="46" spans="1:28" ht="48" customHeight="1"/>
    <row r="47" spans="1:28" hidden="1"/>
    <row r="48" spans="1:2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spans="3:27" hidden="1"/>
    <row r="98" spans="3:27" hidden="1"/>
    <row r="99" spans="3:27" hidden="1"/>
    <row r="100" spans="3:27" hidden="1"/>
    <row r="101" spans="3:27" ht="170.25" customHeight="1">
      <c r="C101" s="19" t="str">
        <f>IF(C23="","",CONCATENATE(C23," Ares of land in ",IF(C20="","",CONCATENATE($B$20,C20,", ")),IF(C21="","",CONCATENATE($B$21,C21,", ")),IF(C22="","",CONCATENATE($B$22,C22,", ")),IF(C17="","",CONCATENATE($B$17,C17,", ")),IF(C18="","",CONCATENATE($B$18,C18,", ")),IF(C19="","",CONCATENATE($B$19,C19,", ")),IF(C14="","",CONCATENATE($B$14,C14,", ")),IF(C15="","",CONCATENATE($B$15,C15,", ")),IF(C16="","",CONCATENATE($B$16,C16))))</f>
        <v/>
      </c>
      <c r="D101" s="19" t="str">
        <f>IF(D23="","",CONCATENATE(D23," Ares of land in ",IF(D20="","",CONCATENATE($B$20,D20,", ")),IF(D21="","",CONCATENATE($B$21,D21,", ")),IF(D22="","",CONCATENATE($B$22,D22,", ")),IF(D17="","",CONCATENATE($B$17,D17,", ")),IF(D18="","",CONCATENATE($B$18,D18,", ")),IF(D19="","",CONCATENATE($B$19,D19,", ")),IF(D14="","",CONCATENATE($B$14,D14,", ")),IF(D15="","",CONCATENATE($B$15,D15,", ")),IF(D16="","",CONCATENATE($B$16,D16))))</f>
        <v/>
      </c>
      <c r="E101" s="19" t="str">
        <f t="shared" ref="E101:Z101" si="4">IF(E23="","",CONCATENATE(E23," Ares of land in ",IF(E20="","",CONCATENATE($B$20,E20,", ")),IF(E21="","",CONCATENATE($B$21,E21,", ")),IF(E22="","",CONCATENATE($B$22,E22,", ")),IF(E17="","",CONCATENATE($B$17,E17,", ")),IF(E18="","",CONCATENATE($B$18,E18,", ")),IF(E19="","",CONCATENATE($B$19,E19,", ")),IF(E14="","",CONCATENATE($B$14,E14,", ")),IF(E15="","",CONCATENATE($B$15,E15,", ")),IF(E16="","",CONCATENATE($B$16,E16))))</f>
        <v/>
      </c>
      <c r="F101" s="19" t="str">
        <f t="shared" si="4"/>
        <v/>
      </c>
      <c r="G101" s="19" t="str">
        <f t="shared" si="4"/>
        <v/>
      </c>
      <c r="H101" s="19" t="str">
        <f t="shared" si="4"/>
        <v/>
      </c>
      <c r="I101" s="19" t="str">
        <f t="shared" si="4"/>
        <v/>
      </c>
      <c r="J101" s="19" t="str">
        <f t="shared" si="4"/>
        <v/>
      </c>
      <c r="K101" s="19" t="str">
        <f t="shared" si="4"/>
        <v/>
      </c>
      <c r="L101" s="19" t="str">
        <f t="shared" si="4"/>
        <v/>
      </c>
      <c r="M101" s="19" t="str">
        <f t="shared" si="4"/>
        <v/>
      </c>
      <c r="N101" s="19" t="str">
        <f t="shared" si="4"/>
        <v/>
      </c>
      <c r="O101" s="19" t="str">
        <f t="shared" si="4"/>
        <v/>
      </c>
      <c r="P101" s="19" t="str">
        <f t="shared" si="4"/>
        <v/>
      </c>
      <c r="Q101" s="19" t="str">
        <f t="shared" si="4"/>
        <v/>
      </c>
      <c r="R101" s="19" t="str">
        <f t="shared" si="4"/>
        <v/>
      </c>
      <c r="S101" s="19" t="str">
        <f t="shared" si="4"/>
        <v/>
      </c>
      <c r="T101" s="19" t="str">
        <f t="shared" si="4"/>
        <v/>
      </c>
      <c r="U101" s="19" t="str">
        <f t="shared" si="4"/>
        <v/>
      </c>
      <c r="V101" s="19" t="str">
        <f t="shared" si="4"/>
        <v/>
      </c>
      <c r="W101" s="19" t="str">
        <f t="shared" si="4"/>
        <v/>
      </c>
      <c r="X101" s="19" t="str">
        <f t="shared" si="4"/>
        <v/>
      </c>
      <c r="Y101" s="19" t="str">
        <f t="shared" si="4"/>
        <v/>
      </c>
      <c r="Z101" s="19" t="str">
        <f t="shared" si="4"/>
        <v/>
      </c>
      <c r="AA101" s="19" t="str">
        <f>_xlfn.TEXTJOIN(" and ",TRUE,C101:Z101)</f>
        <v/>
      </c>
    </row>
    <row r="102" spans="3:27">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v>0</v>
      </c>
      <c r="AA102" s="19" t="s">
        <v>212</v>
      </c>
    </row>
    <row r="103" spans="3:27">
      <c r="Z103" s="19">
        <v>1</v>
      </c>
      <c r="AA103" s="19" t="str">
        <f>CONCATENATE(AA101," located in ",AA11,", ",AA10,", ",AA8,". ")</f>
        <v>located in  Village,  Taluk,  District.</v>
      </c>
    </row>
    <row r="104" spans="3:27" ht="146.25" customHeight="1">
      <c r="Z104" s="69">
        <v>2</v>
      </c>
      <c r="AA104" s="19" t="str">
        <f>CONCATENATE("A total of ",AA23," ares of land, comprising ",AA101," located in ",AA11,", ",AA10,", ",AA8,". ")</f>
        <v>A total of 0 ares of land, comprising  located in  Village,  Taluk,  District.</v>
      </c>
    </row>
    <row r="105" spans="3:27" ht="84.65" customHeight="1">
      <c r="Y105" s="477" t="s">
        <v>1107</v>
      </c>
      <c r="Z105" s="477"/>
      <c r="AA105" s="467" t="str">
        <f>IF(AA2&gt;2,AA104,VLOOKUP(AA2,Z102:AA104,2,FALSE))</f>
        <v>NA</v>
      </c>
    </row>
    <row r="106" spans="3:27">
      <c r="Y106" s="477"/>
      <c r="Z106" s="477"/>
      <c r="AA106" s="467"/>
    </row>
    <row r="107" spans="3:27">
      <c r="Y107" s="477" t="s">
        <v>1109</v>
      </c>
      <c r="Z107" s="477"/>
      <c r="AA107" s="467" t="s">
        <v>1110</v>
      </c>
    </row>
    <row r="108" spans="3:27">
      <c r="D108" s="69">
        <v>0</v>
      </c>
      <c r="Y108" s="477"/>
      <c r="Z108" s="477"/>
      <c r="AA108" s="467"/>
    </row>
    <row r="109" spans="3:27">
      <c r="Y109" s="477"/>
      <c r="Z109" s="477"/>
      <c r="AA109" s="467"/>
    </row>
    <row r="110" spans="3:27">
      <c r="Y110" s="477"/>
      <c r="Z110" s="477"/>
      <c r="AA110" s="467"/>
    </row>
    <row r="111" spans="3:27">
      <c r="Y111" s="477"/>
      <c r="Z111" s="477"/>
      <c r="AA111" s="467"/>
    </row>
    <row r="112" spans="3:27">
      <c r="Y112" s="477"/>
      <c r="Z112" s="477"/>
      <c r="AA112" s="467"/>
    </row>
    <row r="113" spans="25:27">
      <c r="Y113" s="477"/>
      <c r="Z113" s="477"/>
      <c r="AA113" s="467"/>
    </row>
  </sheetData>
  <mergeCells count="4">
    <mergeCell ref="AA105:AA106"/>
    <mergeCell ref="AA107:AA113"/>
    <mergeCell ref="Y105:Z106"/>
    <mergeCell ref="Y107:Z113"/>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4"/>
  <dimension ref="A2:AD117"/>
  <sheetViews>
    <sheetView workbookViewId="0"/>
  </sheetViews>
  <sheetFormatPr defaultColWidth="9.26953125" defaultRowHeight="14.5"/>
  <cols>
    <col min="1" max="1" width="3" style="69" customWidth="1"/>
    <col min="2" max="2" width="23.26953125" style="69" customWidth="1"/>
    <col min="3" max="3" width="11.54296875" style="69" customWidth="1"/>
    <col min="4" max="4" width="14" style="69" customWidth="1"/>
    <col min="5" max="5" width="11.54296875" style="69" customWidth="1"/>
    <col min="6" max="11" width="9.26953125" style="69"/>
    <col min="12" max="12" width="32.453125" style="69" customWidth="1"/>
    <col min="13" max="26" width="9.26953125" style="69"/>
    <col min="27" max="27" width="52.7265625" style="69" customWidth="1"/>
    <col min="28" max="28" width="21.54296875" style="69" customWidth="1"/>
    <col min="29" max="29" width="25.26953125" style="69" customWidth="1"/>
    <col min="30" max="31" width="29.26953125" style="69" customWidth="1"/>
    <col min="32" max="16384" width="9.26953125" style="69"/>
  </cols>
  <sheetData>
    <row r="2" spans="1:28">
      <c r="A2" s="70"/>
      <c r="B2" s="70"/>
      <c r="C2" s="70" t="str">
        <f>IF(MaGic_AVM_Land!C2="Site Inspection","Y","N")</f>
        <v>N</v>
      </c>
      <c r="D2" s="70" t="str">
        <f>IF(MaGic_AVM_Land!D2="Site Inspection","Y","N")</f>
        <v>N</v>
      </c>
      <c r="E2" s="70" t="str">
        <f>IF(MaGic_AVM_Land!E2="Site Inspection","Y","N")</f>
        <v>N</v>
      </c>
      <c r="F2" s="70" t="str">
        <f>IF(MaGic_AVM_Land!F2="Site Inspection","Y","N")</f>
        <v>N</v>
      </c>
      <c r="G2" s="70" t="str">
        <f>IF(MaGic_AVM_Land!G2="Site Inspection","Y","N")</f>
        <v>N</v>
      </c>
      <c r="H2" s="70" t="str">
        <f>IF(MaGic_AVM_Land!H2="Site Inspection","Y","N")</f>
        <v>N</v>
      </c>
      <c r="I2" s="70" t="str">
        <f>IF(MaGic_AVM_Land!I2="Site Inspection","Y","N")</f>
        <v>N</v>
      </c>
      <c r="J2" s="70" t="str">
        <f>IF(MaGic_AVM_Land!J2="Site Inspection","Y","N")</f>
        <v>N</v>
      </c>
      <c r="K2" s="70" t="str">
        <f>IF(MaGic_AVM_Land!K2="Site Inspection","Y","N")</f>
        <v>N</v>
      </c>
      <c r="L2" s="70" t="str">
        <f>IF(MaGic_AVM_Land!L2="Site Inspection","Y","N")</f>
        <v>N</v>
      </c>
      <c r="M2" s="70" t="str">
        <f>IF(MaGic_AVM_Land!M2="Site Inspection","Y","N")</f>
        <v>N</v>
      </c>
      <c r="N2" s="70" t="str">
        <f>IF(MaGic_AVM_Land!N2="Site Inspection","Y","N")</f>
        <v>N</v>
      </c>
      <c r="O2" s="70" t="str">
        <f>IF(MaGic_AVM_Land!O2="Site Inspection","Y","N")</f>
        <v>N</v>
      </c>
      <c r="P2" s="70" t="str">
        <f>IF(MaGic_AVM_Land!P2="Site Inspection","Y","N")</f>
        <v>N</v>
      </c>
      <c r="Q2" s="70" t="str">
        <f>IF(MaGic_AVM_Land!Q2="Site Inspection","Y","N")</f>
        <v>N</v>
      </c>
      <c r="R2" s="70" t="str">
        <f>IF(MaGic_AVM_Land!R2="Site Inspection","Y","N")</f>
        <v>N</v>
      </c>
      <c r="S2" s="70" t="str">
        <f>IF(MaGic_AVM_Land!S2="Site Inspection","Y","N")</f>
        <v>N</v>
      </c>
      <c r="T2" s="70" t="str">
        <f>IF(MaGic_AVM_Land!T2="Site Inspection","Y","N")</f>
        <v>N</v>
      </c>
      <c r="U2" s="70" t="str">
        <f>IF(MaGic_AVM_Land!U2="Site Inspection","Y","N")</f>
        <v>N</v>
      </c>
      <c r="V2" s="70" t="str">
        <f>IF(MaGic_AVM_Land!V2="Site Inspection","Y","N")</f>
        <v>N</v>
      </c>
      <c r="W2" s="70" t="str">
        <f>IF(MaGic_AVM_Land!W2="Site Inspection","Y","N")</f>
        <v>N</v>
      </c>
      <c r="X2" s="70" t="str">
        <f>IF(MaGic_AVM_Land!X2="Site Inspection","Y","N")</f>
        <v>N</v>
      </c>
      <c r="Y2" s="70" t="str">
        <f>IF(MaGic_AVM_Land!Y2="Site Inspection","Y","N")</f>
        <v>N</v>
      </c>
      <c r="Z2" s="70" t="str">
        <f>IF(MaGic_AVM_Land!Z2="Site Inspection","Y","N")</f>
        <v>N</v>
      </c>
      <c r="AA2" s="69">
        <f>COUNTIF(C2:Z2,"Y")</f>
        <v>0</v>
      </c>
      <c r="AB2" s="69" t="str" cm="1">
        <f t="array" ref="AB2">_xlfn.UNIQUE(C2:Z2,TRUE,FALSE)</f>
        <v>N</v>
      </c>
    </row>
    <row r="3" spans="1:28">
      <c r="A3" s="70">
        <v>1</v>
      </c>
      <c r="B3" s="70" t="s">
        <v>48</v>
      </c>
      <c r="C3" s="70" t="str">
        <f>IF(C$2="Y",IF(MaGic_AVM_Land!C3=0,"",MaGic_AVM_Land!C3),"")</f>
        <v/>
      </c>
      <c r="D3" s="70" t="str">
        <f>IF(D$2="Y",IF(MaGic_AVM_Land!D3=0,"",MaGic_AVM_Land!D3),"")</f>
        <v/>
      </c>
      <c r="E3" s="70" t="str">
        <f>IF(E$2="Y",IF(MaGic_AVM_Land!E3=0,"",MaGic_AVM_Land!E3),"")</f>
        <v/>
      </c>
      <c r="F3" s="70" t="str">
        <f>IF(F$2="Y",IF(MaGic_AVM_Land!F3=0,"",MaGic_AVM_Land!F3),"")</f>
        <v/>
      </c>
      <c r="G3" s="70" t="str">
        <f>IF(G$2="Y",IF(MaGic_AVM_Land!G3=0,"",MaGic_AVM_Land!G3),"")</f>
        <v/>
      </c>
      <c r="H3" s="70" t="str">
        <f>IF(H$2="Y",IF(MaGic_AVM_Land!H3=0,"",MaGic_AVM_Land!H3),"")</f>
        <v/>
      </c>
      <c r="I3" s="70" t="str">
        <f>IF(I$2="Y",IF(MaGic_AVM_Land!I3=0,"",MaGic_AVM_Land!I3),"")</f>
        <v/>
      </c>
      <c r="J3" s="70" t="str">
        <f>IF(J$2="Y",IF(MaGic_AVM_Land!J3=0,"",MaGic_AVM_Land!J3),"")</f>
        <v/>
      </c>
      <c r="K3" s="70" t="str">
        <f>IF(K$2="Y",IF(MaGic_AVM_Land!K3=0,"",MaGic_AVM_Land!K3),"")</f>
        <v/>
      </c>
      <c r="L3" s="70" t="str">
        <f>IF(L$2="Y",IF(MaGic_AVM_Land!L3=0,"",MaGic_AVM_Land!L3),"")</f>
        <v/>
      </c>
      <c r="M3" s="70" t="str">
        <f>IF(M$2="Y",IF(MaGic_AVM_Land!M3=0,"",MaGic_AVM_Land!M3),"")</f>
        <v/>
      </c>
      <c r="N3" s="70" t="str">
        <f>IF(N$2="Y",IF(MaGic_AVM_Land!N3=0,"",MaGic_AVM_Land!N3),"")</f>
        <v/>
      </c>
      <c r="O3" s="70" t="str">
        <f>IF(O$2="Y",IF(MaGic_AVM_Land!O3=0,"",MaGic_AVM_Land!O3),"")</f>
        <v/>
      </c>
      <c r="P3" s="70" t="str">
        <f>IF(P$2="Y",IF(MaGic_AVM_Land!P3=0,"",MaGic_AVM_Land!P3),"")</f>
        <v/>
      </c>
      <c r="Q3" s="70" t="str">
        <f>IF(Q$2="Y",IF(MaGic_AVM_Land!Q3=0,"",MaGic_AVM_Land!Q3),"")</f>
        <v/>
      </c>
      <c r="R3" s="70" t="str">
        <f>IF(R$2="Y",IF(MaGic_AVM_Land!R3=0,"",MaGic_AVM_Land!R3),"")</f>
        <v/>
      </c>
      <c r="S3" s="70" t="str">
        <f>IF(S$2="Y",IF(MaGic_AVM_Land!S3=0,"",MaGic_AVM_Land!S3),"")</f>
        <v/>
      </c>
      <c r="T3" s="70" t="str">
        <f>IF(T$2="Y",IF(MaGic_AVM_Land!T3=0,"",MaGic_AVM_Land!T3),"")</f>
        <v/>
      </c>
      <c r="U3" s="70" t="str">
        <f>IF(U$2="Y",IF(MaGic_AVM_Land!U3=0,"",MaGic_AVM_Land!U3),"")</f>
        <v/>
      </c>
      <c r="V3" s="70" t="str">
        <f>IF(V$2="Y",IF(MaGic_AVM_Land!V3=0,"",MaGic_AVM_Land!V3),"")</f>
        <v/>
      </c>
      <c r="W3" s="70" t="str">
        <f>IF(W$2="Y",IF(MaGic_AVM_Land!W3=0,"",MaGic_AVM_Land!W3),"")</f>
        <v/>
      </c>
      <c r="X3" s="70" t="str">
        <f>IF(X$2="Y",IF(MaGic_AVM_Land!X3=0,"",MaGic_AVM_Land!X3),"")</f>
        <v/>
      </c>
      <c r="Y3" s="70" t="str">
        <f>IF(Y$2="Y",IF(MaGic_AVM_Land!Y3=0,"",MaGic_AVM_Land!Y3),"")</f>
        <v/>
      </c>
      <c r="Z3" s="70" t="str">
        <f>IF(Z$2="Y",IF(MaGic_AVM_Land!Z3=0,"",MaGic_AVM_Land!Z3),"")</f>
        <v/>
      </c>
      <c r="AA3" s="69" t="str">
        <f t="shared" ref="AA3:AA45" si="0">_xlfn.TEXTJOIN(", ",TRUE,AB3:AZ3)</f>
        <v/>
      </c>
      <c r="AB3" s="69" t="str" cm="1">
        <f t="array" ref="AB3">_xlfn.UNIQUE(C3:Z3,TRUE,FALSE)</f>
        <v/>
      </c>
    </row>
    <row r="4" spans="1:28">
      <c r="A4" s="70">
        <v>2</v>
      </c>
      <c r="B4" s="70" t="s">
        <v>51</v>
      </c>
      <c r="C4" s="70" t="str">
        <f>IF(C$2="Y",IF(MaGic_AVM_Land!C4=0,"",MaGic_AVM_Land!C4),"")</f>
        <v/>
      </c>
      <c r="D4" s="70" t="str">
        <f>IF(D$2="Y",IF(MaGic_AVM_Land!D4=0,"",MaGic_AVM_Land!D4),"")</f>
        <v/>
      </c>
      <c r="E4" s="70" t="str">
        <f>IF(E$2="Y",IF(MaGic_AVM_Land!E4=0,"",MaGic_AVM_Land!E4),"")</f>
        <v/>
      </c>
      <c r="F4" s="70" t="str">
        <f>IF(F$2="Y",IF(MaGic_AVM_Land!F4=0,"",MaGic_AVM_Land!F4),"")</f>
        <v/>
      </c>
      <c r="G4" s="70" t="str">
        <f>IF(G$2="Y",IF(MaGic_AVM_Land!G4=0,"",MaGic_AVM_Land!G4),"")</f>
        <v/>
      </c>
      <c r="H4" s="70" t="str">
        <f>IF(H$2="Y",IF(MaGic_AVM_Land!H4=0,"",MaGic_AVM_Land!H4),"")</f>
        <v/>
      </c>
      <c r="I4" s="70" t="str">
        <f>IF(I$2="Y",IF(MaGic_AVM_Land!I4=0,"",MaGic_AVM_Land!I4),"")</f>
        <v/>
      </c>
      <c r="J4" s="70" t="str">
        <f>IF(J$2="Y",IF(MaGic_AVM_Land!J4=0,"",MaGic_AVM_Land!J4),"")</f>
        <v/>
      </c>
      <c r="K4" s="70" t="str">
        <f>IF(K$2="Y",IF(MaGic_AVM_Land!K4=0,"",MaGic_AVM_Land!K4),"")</f>
        <v/>
      </c>
      <c r="L4" s="70" t="str">
        <f>IF(L$2="Y",IF(MaGic_AVM_Land!L4=0,"",MaGic_AVM_Land!L4),"")</f>
        <v/>
      </c>
      <c r="M4" s="70" t="str">
        <f>IF(M$2="Y",IF(MaGic_AVM_Land!M4=0,"",MaGic_AVM_Land!M4),"")</f>
        <v/>
      </c>
      <c r="N4" s="70" t="str">
        <f>IF(N$2="Y",IF(MaGic_AVM_Land!N4=0,"",MaGic_AVM_Land!N4),"")</f>
        <v/>
      </c>
      <c r="O4" s="70" t="str">
        <f>IF(O$2="Y",IF(MaGic_AVM_Land!O4=0,"",MaGic_AVM_Land!O4),"")</f>
        <v/>
      </c>
      <c r="P4" s="70" t="str">
        <f>IF(P$2="Y",IF(MaGic_AVM_Land!P4=0,"",MaGic_AVM_Land!P4),"")</f>
        <v/>
      </c>
      <c r="Q4" s="70" t="str">
        <f>IF(Q$2="Y",IF(MaGic_AVM_Land!Q4=0,"",MaGic_AVM_Land!Q4),"")</f>
        <v/>
      </c>
      <c r="R4" s="70" t="str">
        <f>IF(R$2="Y",IF(MaGic_AVM_Land!R4=0,"",MaGic_AVM_Land!R4),"")</f>
        <v/>
      </c>
      <c r="S4" s="70" t="str">
        <f>IF(S$2="Y",IF(MaGic_AVM_Land!S4=0,"",MaGic_AVM_Land!S4),"")</f>
        <v/>
      </c>
      <c r="T4" s="70" t="str">
        <f>IF(T$2="Y",IF(MaGic_AVM_Land!T4=0,"",MaGic_AVM_Land!T4),"")</f>
        <v/>
      </c>
      <c r="U4" s="70" t="str">
        <f>IF(U$2="Y",IF(MaGic_AVM_Land!U4=0,"",MaGic_AVM_Land!U4),"")</f>
        <v/>
      </c>
      <c r="V4" s="70" t="str">
        <f>IF(V$2="Y",IF(MaGic_AVM_Land!V4=0,"",MaGic_AVM_Land!V4),"")</f>
        <v/>
      </c>
      <c r="W4" s="70" t="str">
        <f>IF(W$2="Y",IF(MaGic_AVM_Land!W4=0,"",MaGic_AVM_Land!W4),"")</f>
        <v/>
      </c>
      <c r="X4" s="70" t="str">
        <f>IF(X$2="Y",IF(MaGic_AVM_Land!X4=0,"",MaGic_AVM_Land!X4),"")</f>
        <v/>
      </c>
      <c r="Y4" s="70" t="str">
        <f>IF(Y$2="Y",IF(MaGic_AVM_Land!Y4=0,"",MaGic_AVM_Land!Y4),"")</f>
        <v/>
      </c>
      <c r="Z4" s="70" t="str">
        <f>IF(Z$2="Y",IF(MaGic_AVM_Land!Z4=0,"",MaGic_AVM_Land!Z4),"")</f>
        <v/>
      </c>
      <c r="AA4" s="69" t="str">
        <f t="shared" si="0"/>
        <v/>
      </c>
      <c r="AB4" s="69" t="str" cm="1">
        <f t="array" ref="AB4">_xlfn.UNIQUE(C4:Z4,TRUE,FALSE)</f>
        <v/>
      </c>
    </row>
    <row r="5" spans="1:28">
      <c r="A5" s="70">
        <v>3</v>
      </c>
      <c r="B5" s="70" t="s">
        <v>52</v>
      </c>
      <c r="C5" s="70" t="str">
        <f>IF(C$2="Y",IF(MaGic_AVM_Land!C5=0,"",MaGic_AVM_Land!C5),"")</f>
        <v/>
      </c>
      <c r="D5" s="70" t="str">
        <f>IF(D$2="Y",IF(MaGic_AVM_Land!D5=0,"",MaGic_AVM_Land!D5),"")</f>
        <v/>
      </c>
      <c r="E5" s="70" t="str">
        <f>IF(E$2="Y",IF(MaGic_AVM_Land!E5=0,"",MaGic_AVM_Land!E5),"")</f>
        <v/>
      </c>
      <c r="F5" s="70" t="str">
        <f>IF(F$2="Y",IF(MaGic_AVM_Land!F5=0,"",MaGic_AVM_Land!F5),"")</f>
        <v/>
      </c>
      <c r="G5" s="70" t="str">
        <f>IF(G$2="Y",IF(MaGic_AVM_Land!G5=0,"",MaGic_AVM_Land!G5),"")</f>
        <v/>
      </c>
      <c r="H5" s="70" t="str">
        <f>IF(H$2="Y",IF(MaGic_AVM_Land!H5=0,"",MaGic_AVM_Land!H5),"")</f>
        <v/>
      </c>
      <c r="I5" s="70" t="str">
        <f>IF(I$2="Y",IF(MaGic_AVM_Land!I5=0,"",MaGic_AVM_Land!I5),"")</f>
        <v/>
      </c>
      <c r="J5" s="70" t="str">
        <f>IF(J$2="Y",IF(MaGic_AVM_Land!J5=0,"",MaGic_AVM_Land!J5),"")</f>
        <v/>
      </c>
      <c r="K5" s="70" t="str">
        <f>IF(K$2="Y",IF(MaGic_AVM_Land!K5=0,"",MaGic_AVM_Land!K5),"")</f>
        <v/>
      </c>
      <c r="L5" s="70" t="str">
        <f>IF(L$2="Y",IF(MaGic_AVM_Land!L5=0,"",MaGic_AVM_Land!L5),"")</f>
        <v/>
      </c>
      <c r="M5" s="70" t="str">
        <f>IF(M$2="Y",IF(MaGic_AVM_Land!M5=0,"",MaGic_AVM_Land!M5),"")</f>
        <v/>
      </c>
      <c r="N5" s="70" t="str">
        <f>IF(N$2="Y",IF(MaGic_AVM_Land!N5=0,"",MaGic_AVM_Land!N5),"")</f>
        <v/>
      </c>
      <c r="O5" s="70" t="str">
        <f>IF(O$2="Y",IF(MaGic_AVM_Land!O5=0,"",MaGic_AVM_Land!O5),"")</f>
        <v/>
      </c>
      <c r="P5" s="70" t="str">
        <f>IF(P$2="Y",IF(MaGic_AVM_Land!P5=0,"",MaGic_AVM_Land!P5),"")</f>
        <v/>
      </c>
      <c r="Q5" s="70" t="str">
        <f>IF(Q$2="Y",IF(MaGic_AVM_Land!Q5=0,"",MaGic_AVM_Land!Q5),"")</f>
        <v/>
      </c>
      <c r="R5" s="70" t="str">
        <f>IF(R$2="Y",IF(MaGic_AVM_Land!R5=0,"",MaGic_AVM_Land!R5),"")</f>
        <v/>
      </c>
      <c r="S5" s="70" t="str">
        <f>IF(S$2="Y",IF(MaGic_AVM_Land!S5=0,"",MaGic_AVM_Land!S5),"")</f>
        <v/>
      </c>
      <c r="T5" s="70" t="str">
        <f>IF(T$2="Y",IF(MaGic_AVM_Land!T5=0,"",MaGic_AVM_Land!T5),"")</f>
        <v/>
      </c>
      <c r="U5" s="70" t="str">
        <f>IF(U$2="Y",IF(MaGic_AVM_Land!U5=0,"",MaGic_AVM_Land!U5),"")</f>
        <v/>
      </c>
      <c r="V5" s="70" t="str">
        <f>IF(V$2="Y",IF(MaGic_AVM_Land!V5=0,"",MaGic_AVM_Land!V5),"")</f>
        <v/>
      </c>
      <c r="W5" s="70" t="str">
        <f>IF(W$2="Y",IF(MaGic_AVM_Land!W5=0,"",MaGic_AVM_Land!W5),"")</f>
        <v/>
      </c>
      <c r="X5" s="70" t="str">
        <f>IF(X$2="Y",IF(MaGic_AVM_Land!X5=0,"",MaGic_AVM_Land!X5),"")</f>
        <v/>
      </c>
      <c r="Y5" s="70" t="str">
        <f>IF(Y$2="Y",IF(MaGic_AVM_Land!Y5=0,"",MaGic_AVM_Land!Y5),"")</f>
        <v/>
      </c>
      <c r="Z5" s="70" t="str">
        <f>IF(Z$2="Y",IF(MaGic_AVM_Land!Z5=0,"",MaGic_AVM_Land!Z5),"")</f>
        <v/>
      </c>
      <c r="AA5" s="69" t="str">
        <f t="shared" si="0"/>
        <v/>
      </c>
      <c r="AB5" s="69" t="str" cm="1">
        <f t="array" ref="AB5">_xlfn.UNIQUE(C5:Z5,TRUE,FALSE)</f>
        <v/>
      </c>
    </row>
    <row r="6" spans="1:28">
      <c r="A6" s="70">
        <v>4</v>
      </c>
      <c r="B6" s="70" t="s">
        <v>1101</v>
      </c>
      <c r="C6" s="70" t="str">
        <f>IF(C$2="Y",IF(MaGic_AVM_Land!C6=0,"",MaGic_AVM_Land!C6),"")</f>
        <v/>
      </c>
      <c r="D6" s="70" t="str">
        <f>IF(D$2="Y",IF(MaGic_AVM_Land!D6=0,"",MaGic_AVM_Land!D6),"")</f>
        <v/>
      </c>
      <c r="E6" s="70" t="str">
        <f>IF(E$2="Y",IF(MaGic_AVM_Land!E6=0,"",MaGic_AVM_Land!E6),"")</f>
        <v/>
      </c>
      <c r="F6" s="70" t="str">
        <f>IF(F$2="Y",IF(MaGic_AVM_Land!F6=0,"",MaGic_AVM_Land!F6),"")</f>
        <v/>
      </c>
      <c r="G6" s="70" t="str">
        <f>IF(G$2="Y",IF(MaGic_AVM_Land!G6=0,"",MaGic_AVM_Land!G6),"")</f>
        <v/>
      </c>
      <c r="H6" s="70" t="str">
        <f>IF(H$2="Y",IF(MaGic_AVM_Land!H6=0,"",MaGic_AVM_Land!H6),"")</f>
        <v/>
      </c>
      <c r="I6" s="70" t="str">
        <f>IF(I$2="Y",IF(MaGic_AVM_Land!I6=0,"",MaGic_AVM_Land!I6),"")</f>
        <v/>
      </c>
      <c r="J6" s="70" t="str">
        <f>IF(J$2="Y",IF(MaGic_AVM_Land!J6=0,"",MaGic_AVM_Land!J6),"")</f>
        <v/>
      </c>
      <c r="K6" s="70" t="str">
        <f>IF(K$2="Y",IF(MaGic_AVM_Land!K6=0,"",MaGic_AVM_Land!K6),"")</f>
        <v/>
      </c>
      <c r="L6" s="70" t="str">
        <f>IF(L$2="Y",IF(MaGic_AVM_Land!L6=0,"",MaGic_AVM_Land!L6),"")</f>
        <v/>
      </c>
      <c r="M6" s="70" t="str">
        <f>IF(M$2="Y",IF(MaGic_AVM_Land!M6=0,"",MaGic_AVM_Land!M6),"")</f>
        <v/>
      </c>
      <c r="N6" s="70" t="str">
        <f>IF(N$2="Y",IF(MaGic_AVM_Land!N6=0,"",MaGic_AVM_Land!N6),"")</f>
        <v/>
      </c>
      <c r="O6" s="70" t="str">
        <f>IF(O$2="Y",IF(MaGic_AVM_Land!O6=0,"",MaGic_AVM_Land!O6),"")</f>
        <v/>
      </c>
      <c r="P6" s="70" t="str">
        <f>IF(P$2="Y",IF(MaGic_AVM_Land!P6=0,"",MaGic_AVM_Land!P6),"")</f>
        <v/>
      </c>
      <c r="Q6" s="70" t="str">
        <f>IF(Q$2="Y",IF(MaGic_AVM_Land!Q6=0,"",MaGic_AVM_Land!Q6),"")</f>
        <v/>
      </c>
      <c r="R6" s="70" t="str">
        <f>IF(R$2="Y",IF(MaGic_AVM_Land!R6=0,"",MaGic_AVM_Land!R6),"")</f>
        <v/>
      </c>
      <c r="S6" s="70" t="str">
        <f>IF(S$2="Y",IF(MaGic_AVM_Land!S6=0,"",MaGic_AVM_Land!S6),"")</f>
        <v/>
      </c>
      <c r="T6" s="70" t="str">
        <f>IF(T$2="Y",IF(MaGic_AVM_Land!T6=0,"",MaGic_AVM_Land!T6),"")</f>
        <v/>
      </c>
      <c r="U6" s="70" t="str">
        <f>IF(U$2="Y",IF(MaGic_AVM_Land!U6=0,"",MaGic_AVM_Land!U6),"")</f>
        <v/>
      </c>
      <c r="V6" s="70" t="str">
        <f>IF(V$2="Y",IF(MaGic_AVM_Land!V6=0,"",MaGic_AVM_Land!V6),"")</f>
        <v/>
      </c>
      <c r="W6" s="70" t="str">
        <f>IF(W$2="Y",IF(MaGic_AVM_Land!W6=0,"",MaGic_AVM_Land!W6),"")</f>
        <v/>
      </c>
      <c r="X6" s="70" t="str">
        <f>IF(X$2="Y",IF(MaGic_AVM_Land!X6=0,"",MaGic_AVM_Land!X6),"")</f>
        <v/>
      </c>
      <c r="Y6" s="70" t="str">
        <f>IF(Y$2="Y",IF(MaGic_AVM_Land!Y6=0,"",MaGic_AVM_Land!Y6),"")</f>
        <v/>
      </c>
      <c r="Z6" s="70" t="str">
        <f>IF(Z$2="Y",IF(MaGic_AVM_Land!Z6=0,"",MaGic_AVM_Land!Z6),"")</f>
        <v/>
      </c>
      <c r="AA6" s="69" t="str">
        <f t="shared" si="0"/>
        <v/>
      </c>
      <c r="AB6" s="69" t="str" cm="1">
        <f t="array" ref="AB6">_xlfn.UNIQUE(C6:Z6,TRUE,FALSE)</f>
        <v/>
      </c>
    </row>
    <row r="7" spans="1:28">
      <c r="A7" s="70">
        <v>2</v>
      </c>
      <c r="B7" s="70" t="s">
        <v>1102</v>
      </c>
      <c r="C7" s="70" t="str">
        <f>IF(C$2="Y",IF(MaGic_AVM_Land!C7=0,"",MaGic_AVM_Land!C7),"")</f>
        <v/>
      </c>
      <c r="D7" s="70" t="str">
        <f>IF(D$2="Y",IF(MaGic_AVM_Land!D7=0,"",MaGic_AVM_Land!D7),"")</f>
        <v/>
      </c>
      <c r="E7" s="70" t="str">
        <f>IF(E$2="Y",IF(MaGic_AVM_Land!E7=0,"",MaGic_AVM_Land!E7),"")</f>
        <v/>
      </c>
      <c r="F7" s="70" t="str">
        <f>IF(F$2="Y",IF(MaGic_AVM_Land!F7=0,"",MaGic_AVM_Land!F7),"")</f>
        <v/>
      </c>
      <c r="G7" s="70" t="str">
        <f>IF(G$2="Y",IF(MaGic_AVM_Land!G7=0,"",MaGic_AVM_Land!G7),"")</f>
        <v/>
      </c>
      <c r="H7" s="70" t="str">
        <f>IF(H$2="Y",IF(MaGic_AVM_Land!H7=0,"",MaGic_AVM_Land!H7),"")</f>
        <v/>
      </c>
      <c r="I7" s="70" t="str">
        <f>IF(I$2="Y",IF(MaGic_AVM_Land!I7=0,"",MaGic_AVM_Land!I7),"")</f>
        <v/>
      </c>
      <c r="J7" s="70" t="str">
        <f>IF(J$2="Y",IF(MaGic_AVM_Land!J7=0,"",MaGic_AVM_Land!J7),"")</f>
        <v/>
      </c>
      <c r="K7" s="70" t="str">
        <f>IF(K$2="Y",IF(MaGic_AVM_Land!K7=0,"",MaGic_AVM_Land!K7),"")</f>
        <v/>
      </c>
      <c r="L7" s="70" t="str">
        <f>IF(L$2="Y",IF(MaGic_AVM_Land!L7=0,"",MaGic_AVM_Land!L7),"")</f>
        <v/>
      </c>
      <c r="M7" s="70" t="str">
        <f>IF(M$2="Y",IF(MaGic_AVM_Land!M7=0,"",MaGic_AVM_Land!M7),"")</f>
        <v/>
      </c>
      <c r="N7" s="70" t="str">
        <f>IF(N$2="Y",IF(MaGic_AVM_Land!N7=0,"",MaGic_AVM_Land!N7),"")</f>
        <v/>
      </c>
      <c r="O7" s="70" t="str">
        <f>IF(O$2="Y",IF(MaGic_AVM_Land!O7=0,"",MaGic_AVM_Land!O7),"")</f>
        <v/>
      </c>
      <c r="P7" s="70" t="str">
        <f>IF(P$2="Y",IF(MaGic_AVM_Land!P7=0,"",MaGic_AVM_Land!P7),"")</f>
        <v/>
      </c>
      <c r="Q7" s="70" t="str">
        <f>IF(Q$2="Y",IF(MaGic_AVM_Land!Q7=0,"",MaGic_AVM_Land!Q7),"")</f>
        <v/>
      </c>
      <c r="R7" s="70" t="str">
        <f>IF(R$2="Y",IF(MaGic_AVM_Land!R7=0,"",MaGic_AVM_Land!R7),"")</f>
        <v/>
      </c>
      <c r="S7" s="70" t="str">
        <f>IF(S$2="Y",IF(MaGic_AVM_Land!S7=0,"",MaGic_AVM_Land!S7),"")</f>
        <v/>
      </c>
      <c r="T7" s="70" t="str">
        <f>IF(T$2="Y",IF(MaGic_AVM_Land!T7=0,"",MaGic_AVM_Land!T7),"")</f>
        <v/>
      </c>
      <c r="U7" s="70" t="str">
        <f>IF(U$2="Y",IF(MaGic_AVM_Land!U7=0,"",MaGic_AVM_Land!U7),"")</f>
        <v/>
      </c>
      <c r="V7" s="70" t="str">
        <f>IF(V$2="Y",IF(MaGic_AVM_Land!V7=0,"",MaGic_AVM_Land!V7),"")</f>
        <v/>
      </c>
      <c r="W7" s="70" t="str">
        <f>IF(W$2="Y",IF(MaGic_AVM_Land!W7=0,"",MaGic_AVM_Land!W7),"")</f>
        <v/>
      </c>
      <c r="X7" s="70" t="str">
        <f>IF(X$2="Y",IF(MaGic_AVM_Land!X7=0,"",MaGic_AVM_Land!X7),"")</f>
        <v/>
      </c>
      <c r="Y7" s="70" t="str">
        <f>IF(Y$2="Y",IF(MaGic_AVM_Land!Y7=0,"",MaGic_AVM_Land!Y7),"")</f>
        <v/>
      </c>
      <c r="Z7" s="70" t="str">
        <f>IF(Z$2="Y",IF(MaGic_AVM_Land!Z7=0,"",MaGic_AVM_Land!Z7),"")</f>
        <v/>
      </c>
      <c r="AA7" s="69" t="str">
        <f t="shared" si="0"/>
        <v/>
      </c>
      <c r="AB7" s="69" t="str" cm="1">
        <f t="array" ref="AB7">_xlfn.UNIQUE(C7:Z7,TRUE,FALSE)</f>
        <v/>
      </c>
    </row>
    <row r="8" spans="1:28">
      <c r="A8" s="70">
        <v>6</v>
      </c>
      <c r="B8" s="70" t="s">
        <v>31</v>
      </c>
      <c r="C8" s="70" t="str">
        <f>IF(C$2="Y",IF(MaGic_AVM_Land!C8=0,"",MaGic_AVM_Land!C8),"")</f>
        <v/>
      </c>
      <c r="D8" s="70" t="str">
        <f>IF(D$2="Y",IF(MaGic_AVM_Land!D8=0,"",MaGic_AVM_Land!D8),"")</f>
        <v/>
      </c>
      <c r="E8" s="70" t="str">
        <f>IF(E$2="Y",IF(MaGic_AVM_Land!E8=0,"",MaGic_AVM_Land!E8),"")</f>
        <v/>
      </c>
      <c r="F8" s="70" t="str">
        <f>IF(F$2="Y",IF(MaGic_AVM_Land!F8=0,"",MaGic_AVM_Land!F8),"")</f>
        <v/>
      </c>
      <c r="G8" s="70" t="str">
        <f>IF(G$2="Y",IF(MaGic_AVM_Land!G8=0,"",MaGic_AVM_Land!G8),"")</f>
        <v/>
      </c>
      <c r="H8" s="70" t="str">
        <f>IF(H$2="Y",IF(MaGic_AVM_Land!H8=0,"",MaGic_AVM_Land!H8),"")</f>
        <v/>
      </c>
      <c r="I8" s="70" t="str">
        <f>IF(I$2="Y",IF(MaGic_AVM_Land!I8=0,"",MaGic_AVM_Land!I8),"")</f>
        <v/>
      </c>
      <c r="J8" s="70" t="str">
        <f>IF(J$2="Y",IF(MaGic_AVM_Land!J8=0,"",MaGic_AVM_Land!J8),"")</f>
        <v/>
      </c>
      <c r="K8" s="70" t="str">
        <f>IF(K$2="Y",IF(MaGic_AVM_Land!K8=0,"",MaGic_AVM_Land!K8),"")</f>
        <v/>
      </c>
      <c r="L8" s="70" t="str">
        <f>IF(L$2="Y",IF(MaGic_AVM_Land!L8=0,"",MaGic_AVM_Land!L8),"")</f>
        <v/>
      </c>
      <c r="M8" s="70" t="str">
        <f>IF(M$2="Y",IF(MaGic_AVM_Land!M8=0,"",MaGic_AVM_Land!M8),"")</f>
        <v/>
      </c>
      <c r="N8" s="70" t="str">
        <f>IF(N$2="Y",IF(MaGic_AVM_Land!N8=0,"",MaGic_AVM_Land!N8),"")</f>
        <v/>
      </c>
      <c r="O8" s="70" t="str">
        <f>IF(O$2="Y",IF(MaGic_AVM_Land!O8=0,"",MaGic_AVM_Land!O8),"")</f>
        <v/>
      </c>
      <c r="P8" s="70" t="str">
        <f>IF(P$2="Y",IF(MaGic_AVM_Land!P8=0,"",MaGic_AVM_Land!P8),"")</f>
        <v/>
      </c>
      <c r="Q8" s="70" t="str">
        <f>IF(Q$2="Y",IF(MaGic_AVM_Land!Q8=0,"",MaGic_AVM_Land!Q8),"")</f>
        <v/>
      </c>
      <c r="R8" s="70" t="str">
        <f>IF(R$2="Y",IF(MaGic_AVM_Land!R8=0,"",MaGic_AVM_Land!R8),"")</f>
        <v/>
      </c>
      <c r="S8" s="70" t="str">
        <f>IF(S$2="Y",IF(MaGic_AVM_Land!S8=0,"",MaGic_AVM_Land!S8),"")</f>
        <v/>
      </c>
      <c r="T8" s="70" t="str">
        <f>IF(T$2="Y",IF(MaGic_AVM_Land!T8=0,"",MaGic_AVM_Land!T8),"")</f>
        <v/>
      </c>
      <c r="U8" s="70" t="str">
        <f>IF(U$2="Y",IF(MaGic_AVM_Land!U8=0,"",MaGic_AVM_Land!U8),"")</f>
        <v/>
      </c>
      <c r="V8" s="70" t="str">
        <f>IF(V$2="Y",IF(MaGic_AVM_Land!V8=0,"",MaGic_AVM_Land!V8),"")</f>
        <v/>
      </c>
      <c r="W8" s="70" t="str">
        <f>IF(W$2="Y",IF(MaGic_AVM_Land!W8=0,"",MaGic_AVM_Land!W8),"")</f>
        <v/>
      </c>
      <c r="X8" s="70" t="str">
        <f>IF(X$2="Y",IF(MaGic_AVM_Land!X8=0,"",MaGic_AVM_Land!X8),"")</f>
        <v/>
      </c>
      <c r="Y8" s="70" t="str">
        <f>IF(Y$2="Y",IF(MaGic_AVM_Land!Y8=0,"",MaGic_AVM_Land!Y8),"")</f>
        <v/>
      </c>
      <c r="Z8" s="70" t="str">
        <f>IF(Z$2="Y",IF(MaGic_AVM_Land!Z8=0,"",MaGic_AVM_Land!Z8),"")</f>
        <v/>
      </c>
      <c r="AA8" s="69" t="str">
        <f t="shared" si="0"/>
        <v/>
      </c>
      <c r="AB8" s="69" t="str" cm="1">
        <f t="array" ref="AB8">_xlfn.UNIQUE(C8:Z8,TRUE,FALSE)</f>
        <v/>
      </c>
    </row>
    <row r="9" spans="1:28">
      <c r="A9" s="70">
        <v>7</v>
      </c>
      <c r="B9" s="70" t="s">
        <v>59</v>
      </c>
      <c r="C9" s="70" t="str">
        <f>IF(C$2="Y",IF(MaGic_AVM_Land!C9=0,"",MaGic_AVM_Land!C9),"")</f>
        <v/>
      </c>
      <c r="D9" s="70" t="str">
        <f>IF(D$2="Y",IF(MaGic_AVM_Land!D9=0,"",MaGic_AVM_Land!D9),"")</f>
        <v/>
      </c>
      <c r="E9" s="70" t="str">
        <f>IF(E$2="Y",IF(MaGic_AVM_Land!E9=0,"",MaGic_AVM_Land!E9),"")</f>
        <v/>
      </c>
      <c r="F9" s="70" t="str">
        <f>IF(F$2="Y",IF(MaGic_AVM_Land!F9=0,"",MaGic_AVM_Land!F9),"")</f>
        <v/>
      </c>
      <c r="G9" s="70" t="str">
        <f>IF(G$2="Y",IF(MaGic_AVM_Land!G9=0,"",MaGic_AVM_Land!G9),"")</f>
        <v/>
      </c>
      <c r="H9" s="70" t="str">
        <f>IF(H$2="Y",IF(MaGic_AVM_Land!H9=0,"",MaGic_AVM_Land!H9),"")</f>
        <v/>
      </c>
      <c r="I9" s="70" t="str">
        <f>IF(I$2="Y",IF(MaGic_AVM_Land!I9=0,"",MaGic_AVM_Land!I9),"")</f>
        <v/>
      </c>
      <c r="J9" s="70" t="str">
        <f>IF(J$2="Y",IF(MaGic_AVM_Land!J9=0,"",MaGic_AVM_Land!J9),"")</f>
        <v/>
      </c>
      <c r="K9" s="70" t="str">
        <f>IF(K$2="Y",IF(MaGic_AVM_Land!K9=0,"",MaGic_AVM_Land!K9),"")</f>
        <v/>
      </c>
      <c r="L9" s="70" t="str">
        <f>IF(L$2="Y",IF(MaGic_AVM_Land!L9=0,"",MaGic_AVM_Land!L9),"")</f>
        <v/>
      </c>
      <c r="M9" s="70" t="str">
        <f>IF(M$2="Y",IF(MaGic_AVM_Land!M9=0,"",MaGic_AVM_Land!M9),"")</f>
        <v/>
      </c>
      <c r="N9" s="70" t="str">
        <f>IF(N$2="Y",IF(MaGic_AVM_Land!N9=0,"",MaGic_AVM_Land!N9),"")</f>
        <v/>
      </c>
      <c r="O9" s="70" t="str">
        <f>IF(O$2="Y",IF(MaGic_AVM_Land!O9=0,"",MaGic_AVM_Land!O9),"")</f>
        <v/>
      </c>
      <c r="P9" s="70" t="str">
        <f>IF(P$2="Y",IF(MaGic_AVM_Land!P9=0,"",MaGic_AVM_Land!P9),"")</f>
        <v/>
      </c>
      <c r="Q9" s="70" t="str">
        <f>IF(Q$2="Y",IF(MaGic_AVM_Land!Q9=0,"",MaGic_AVM_Land!Q9),"")</f>
        <v/>
      </c>
      <c r="R9" s="70" t="str">
        <f>IF(R$2="Y",IF(MaGic_AVM_Land!R9=0,"",MaGic_AVM_Land!R9),"")</f>
        <v/>
      </c>
      <c r="S9" s="70" t="str">
        <f>IF(S$2="Y",IF(MaGic_AVM_Land!S9=0,"",MaGic_AVM_Land!S9),"")</f>
        <v/>
      </c>
      <c r="T9" s="70" t="str">
        <f>IF(T$2="Y",IF(MaGic_AVM_Land!T9=0,"",MaGic_AVM_Land!T9),"")</f>
        <v/>
      </c>
      <c r="U9" s="70" t="str">
        <f>IF(U$2="Y",IF(MaGic_AVM_Land!U9=0,"",MaGic_AVM_Land!U9),"")</f>
        <v/>
      </c>
      <c r="V9" s="70" t="str">
        <f>IF(V$2="Y",IF(MaGic_AVM_Land!V9=0,"",MaGic_AVM_Land!V9),"")</f>
        <v/>
      </c>
      <c r="W9" s="70" t="str">
        <f>IF(W$2="Y",IF(MaGic_AVM_Land!W9=0,"",MaGic_AVM_Land!W9),"")</f>
        <v/>
      </c>
      <c r="X9" s="70" t="str">
        <f>IF(X$2="Y",IF(MaGic_AVM_Land!X9=0,"",MaGic_AVM_Land!X9),"")</f>
        <v/>
      </c>
      <c r="Y9" s="70" t="str">
        <f>IF(Y$2="Y",IF(MaGic_AVM_Land!Y9=0,"",MaGic_AVM_Land!Y9),"")</f>
        <v/>
      </c>
      <c r="Z9" s="70" t="str">
        <f>IF(Z$2="Y",IF(MaGic_AVM_Land!Z9=0,"",MaGic_AVM_Land!Z9),"")</f>
        <v/>
      </c>
      <c r="AA9" s="69" t="str">
        <f t="shared" si="0"/>
        <v/>
      </c>
      <c r="AB9" s="69" t="str" cm="1">
        <f t="array" ref="AB9">_xlfn.UNIQUE(C9:Z9,TRUE,FALSE)</f>
        <v/>
      </c>
    </row>
    <row r="10" spans="1:28">
      <c r="A10" s="70">
        <v>8</v>
      </c>
      <c r="B10" s="70" t="s">
        <v>61</v>
      </c>
      <c r="C10" s="70" t="str">
        <f>IF(C$2="Y",IF(MaGic_AVM_Land!C10=0,"",MaGic_AVM_Land!C10),"")</f>
        <v/>
      </c>
      <c r="D10" s="70" t="str">
        <f>IF(D$2="Y",IF(MaGic_AVM_Land!D10=0,"",MaGic_AVM_Land!D10),"")</f>
        <v/>
      </c>
      <c r="E10" s="70" t="str">
        <f>IF(E$2="Y",IF(MaGic_AVM_Land!E10=0,"",MaGic_AVM_Land!E10),"")</f>
        <v/>
      </c>
      <c r="F10" s="70" t="str">
        <f>IF(F$2="Y",IF(MaGic_AVM_Land!F10=0,"",MaGic_AVM_Land!F10),"")</f>
        <v/>
      </c>
      <c r="G10" s="70" t="str">
        <f>IF(G$2="Y",IF(MaGic_AVM_Land!G10=0,"",MaGic_AVM_Land!G10),"")</f>
        <v/>
      </c>
      <c r="H10" s="70" t="str">
        <f>IF(H$2="Y",IF(MaGic_AVM_Land!H10=0,"",MaGic_AVM_Land!H10),"")</f>
        <v/>
      </c>
      <c r="I10" s="70" t="str">
        <f>IF(I$2="Y",IF(MaGic_AVM_Land!I10=0,"",MaGic_AVM_Land!I10),"")</f>
        <v/>
      </c>
      <c r="J10" s="70" t="str">
        <f>IF(J$2="Y",IF(MaGic_AVM_Land!J10=0,"",MaGic_AVM_Land!J10),"")</f>
        <v/>
      </c>
      <c r="K10" s="70" t="str">
        <f>IF(K$2="Y",IF(MaGic_AVM_Land!K10=0,"",MaGic_AVM_Land!K10),"")</f>
        <v/>
      </c>
      <c r="L10" s="70" t="str">
        <f>IF(L$2="Y",IF(MaGic_AVM_Land!L10=0,"",MaGic_AVM_Land!L10),"")</f>
        <v/>
      </c>
      <c r="M10" s="70" t="str">
        <f>IF(M$2="Y",IF(MaGic_AVM_Land!M10=0,"",MaGic_AVM_Land!M10),"")</f>
        <v/>
      </c>
      <c r="N10" s="70" t="str">
        <f>IF(N$2="Y",IF(MaGic_AVM_Land!N10=0,"",MaGic_AVM_Land!N10),"")</f>
        <v/>
      </c>
      <c r="O10" s="70" t="str">
        <f>IF(O$2="Y",IF(MaGic_AVM_Land!O10=0,"",MaGic_AVM_Land!O10),"")</f>
        <v/>
      </c>
      <c r="P10" s="70" t="str">
        <f>IF(P$2="Y",IF(MaGic_AVM_Land!P10=0,"",MaGic_AVM_Land!P10),"")</f>
        <v/>
      </c>
      <c r="Q10" s="70" t="str">
        <f>IF(Q$2="Y",IF(MaGic_AVM_Land!Q10=0,"",MaGic_AVM_Land!Q10),"")</f>
        <v/>
      </c>
      <c r="R10" s="70" t="str">
        <f>IF(R$2="Y",IF(MaGic_AVM_Land!R10=0,"",MaGic_AVM_Land!R10),"")</f>
        <v/>
      </c>
      <c r="S10" s="70" t="str">
        <f>IF(S$2="Y",IF(MaGic_AVM_Land!S10=0,"",MaGic_AVM_Land!S10),"")</f>
        <v/>
      </c>
      <c r="T10" s="70" t="str">
        <f>IF(T$2="Y",IF(MaGic_AVM_Land!T10=0,"",MaGic_AVM_Land!T10),"")</f>
        <v/>
      </c>
      <c r="U10" s="70" t="str">
        <f>IF(U$2="Y",IF(MaGic_AVM_Land!U10=0,"",MaGic_AVM_Land!U10),"")</f>
        <v/>
      </c>
      <c r="V10" s="70" t="str">
        <f>IF(V$2="Y",IF(MaGic_AVM_Land!V10=0,"",MaGic_AVM_Land!V10),"")</f>
        <v/>
      </c>
      <c r="W10" s="70" t="str">
        <f>IF(W$2="Y",IF(MaGic_AVM_Land!W10=0,"",MaGic_AVM_Land!W10),"")</f>
        <v/>
      </c>
      <c r="X10" s="70" t="str">
        <f>IF(X$2="Y",IF(MaGic_AVM_Land!X10=0,"",MaGic_AVM_Land!X10),"")</f>
        <v/>
      </c>
      <c r="Y10" s="70" t="str">
        <f>IF(Y$2="Y",IF(MaGic_AVM_Land!Y10=0,"",MaGic_AVM_Land!Y10),"")</f>
        <v/>
      </c>
      <c r="Z10" s="70" t="str">
        <f>IF(Z$2="Y",IF(MaGic_AVM_Land!Z10=0,"",MaGic_AVM_Land!Z10),"")</f>
        <v/>
      </c>
      <c r="AA10" s="69" t="str">
        <f t="shared" si="0"/>
        <v/>
      </c>
      <c r="AB10" s="69" t="str" cm="1">
        <f t="array" ref="AB10">_xlfn.UNIQUE(C10:Z10,TRUE,FALSE)</f>
        <v/>
      </c>
    </row>
    <row r="11" spans="1:28">
      <c r="A11" s="70">
        <v>9</v>
      </c>
      <c r="B11" s="70" t="s">
        <v>63</v>
      </c>
      <c r="C11" s="70" t="str">
        <f>IF(C$2="Y",IF(MaGic_AVM_Land!C11=0,"",MaGic_AVM_Land!C11),"")</f>
        <v/>
      </c>
      <c r="D11" s="70" t="str">
        <f>IF(D$2="Y",IF(MaGic_AVM_Land!D11=0,"",MaGic_AVM_Land!D11),"")</f>
        <v/>
      </c>
      <c r="E11" s="70" t="str">
        <f>IF(E$2="Y",IF(MaGic_AVM_Land!E11=0,"",MaGic_AVM_Land!E11),"")</f>
        <v/>
      </c>
      <c r="F11" s="70" t="str">
        <f>IF(F$2="Y",IF(MaGic_AVM_Land!F11=0,"",MaGic_AVM_Land!F11),"")</f>
        <v/>
      </c>
      <c r="G11" s="70" t="str">
        <f>IF(G$2="Y",IF(MaGic_AVM_Land!G11=0,"",MaGic_AVM_Land!G11),"")</f>
        <v/>
      </c>
      <c r="H11" s="70" t="str">
        <f>IF(H$2="Y",IF(MaGic_AVM_Land!H11=0,"",MaGic_AVM_Land!H11),"")</f>
        <v/>
      </c>
      <c r="I11" s="70" t="str">
        <f>IF(I$2="Y",IF(MaGic_AVM_Land!I11=0,"",MaGic_AVM_Land!I11),"")</f>
        <v/>
      </c>
      <c r="J11" s="70" t="str">
        <f>IF(J$2="Y",IF(MaGic_AVM_Land!J11=0,"",MaGic_AVM_Land!J11),"")</f>
        <v/>
      </c>
      <c r="K11" s="70" t="str">
        <f>IF(K$2="Y",IF(MaGic_AVM_Land!K11=0,"",MaGic_AVM_Land!K11),"")</f>
        <v/>
      </c>
      <c r="L11" s="70" t="str">
        <f>IF(L$2="Y",IF(MaGic_AVM_Land!L11=0,"",MaGic_AVM_Land!L11),"")</f>
        <v/>
      </c>
      <c r="M11" s="70" t="str">
        <f>IF(M$2="Y",IF(MaGic_AVM_Land!M11=0,"",MaGic_AVM_Land!M11),"")</f>
        <v/>
      </c>
      <c r="N11" s="70" t="str">
        <f>IF(N$2="Y",IF(MaGic_AVM_Land!N11=0,"",MaGic_AVM_Land!N11),"")</f>
        <v/>
      </c>
      <c r="O11" s="70" t="str">
        <f>IF(O$2="Y",IF(MaGic_AVM_Land!O11=0,"",MaGic_AVM_Land!O11),"")</f>
        <v/>
      </c>
      <c r="P11" s="70" t="str">
        <f>IF(P$2="Y",IF(MaGic_AVM_Land!P11=0,"",MaGic_AVM_Land!P11),"")</f>
        <v/>
      </c>
      <c r="Q11" s="70" t="str">
        <f>IF(Q$2="Y",IF(MaGic_AVM_Land!Q11=0,"",MaGic_AVM_Land!Q11),"")</f>
        <v/>
      </c>
      <c r="R11" s="70" t="str">
        <f>IF(R$2="Y",IF(MaGic_AVM_Land!R11=0,"",MaGic_AVM_Land!R11),"")</f>
        <v/>
      </c>
      <c r="S11" s="70" t="str">
        <f>IF(S$2="Y",IF(MaGic_AVM_Land!S11=0,"",MaGic_AVM_Land!S11),"")</f>
        <v/>
      </c>
      <c r="T11" s="70" t="str">
        <f>IF(T$2="Y",IF(MaGic_AVM_Land!T11=0,"",MaGic_AVM_Land!T11),"")</f>
        <v/>
      </c>
      <c r="U11" s="70" t="str">
        <f>IF(U$2="Y",IF(MaGic_AVM_Land!U11=0,"",MaGic_AVM_Land!U11),"")</f>
        <v/>
      </c>
      <c r="V11" s="70" t="str">
        <f>IF(V$2="Y",IF(MaGic_AVM_Land!V11=0,"",MaGic_AVM_Land!V11),"")</f>
        <v/>
      </c>
      <c r="W11" s="70" t="str">
        <f>IF(W$2="Y",IF(MaGic_AVM_Land!W11=0,"",MaGic_AVM_Land!W11),"")</f>
        <v/>
      </c>
      <c r="X11" s="70" t="str">
        <f>IF(X$2="Y",IF(MaGic_AVM_Land!X11=0,"",MaGic_AVM_Land!X11),"")</f>
        <v/>
      </c>
      <c r="Y11" s="70" t="str">
        <f>IF(Y$2="Y",IF(MaGic_AVM_Land!Y11=0,"",MaGic_AVM_Land!Y11),"")</f>
        <v/>
      </c>
      <c r="Z11" s="70" t="str">
        <f>IF(Z$2="Y",IF(MaGic_AVM_Land!Z11=0,"",MaGic_AVM_Land!Z11),"")</f>
        <v/>
      </c>
      <c r="AA11" s="69" t="str">
        <f t="shared" si="0"/>
        <v/>
      </c>
      <c r="AB11" s="69" t="str" cm="1">
        <f t="array" ref="AB11">_xlfn.UNIQUE(C11:Z11,TRUE,FALSE)</f>
        <v/>
      </c>
    </row>
    <row r="12" spans="1:28">
      <c r="A12" s="70">
        <v>10</v>
      </c>
      <c r="B12" s="70" t="s">
        <v>65</v>
      </c>
      <c r="C12" s="70" t="str">
        <f>IF(C$2="Y",IF(MaGic_AVM_Land!C12=0,"",MaGic_AVM_Land!C12),"")</f>
        <v/>
      </c>
      <c r="D12" s="70" t="str">
        <f>IF(D$2="Y",IF(MaGic_AVM_Land!D12=0,"",MaGic_AVM_Land!D12),"")</f>
        <v/>
      </c>
      <c r="E12" s="70" t="str">
        <f>IF(E$2="Y",IF(MaGic_AVM_Land!E12=0,"",MaGic_AVM_Land!E12),"")</f>
        <v/>
      </c>
      <c r="F12" s="70" t="str">
        <f>IF(F$2="Y",IF(MaGic_AVM_Land!F12=0,"",MaGic_AVM_Land!F12),"")</f>
        <v/>
      </c>
      <c r="G12" s="70" t="str">
        <f>IF(G$2="Y",IF(MaGic_AVM_Land!G12=0,"",MaGic_AVM_Land!G12),"")</f>
        <v/>
      </c>
      <c r="H12" s="70" t="str">
        <f>IF(H$2="Y",IF(MaGic_AVM_Land!H12=0,"",MaGic_AVM_Land!H12),"")</f>
        <v/>
      </c>
      <c r="I12" s="70" t="str">
        <f>IF(I$2="Y",IF(MaGic_AVM_Land!I12=0,"",MaGic_AVM_Land!I12),"")</f>
        <v/>
      </c>
      <c r="J12" s="70" t="str">
        <f>IF(J$2="Y",IF(MaGic_AVM_Land!J12=0,"",MaGic_AVM_Land!J12),"")</f>
        <v/>
      </c>
      <c r="K12" s="70" t="str">
        <f>IF(K$2="Y",IF(MaGic_AVM_Land!K12=0,"",MaGic_AVM_Land!K12),"")</f>
        <v/>
      </c>
      <c r="L12" s="70" t="str">
        <f>IF(L$2="Y",IF(MaGic_AVM_Land!L12=0,"",MaGic_AVM_Land!L12),"")</f>
        <v/>
      </c>
      <c r="M12" s="70" t="str">
        <f>IF(M$2="Y",IF(MaGic_AVM_Land!M12=0,"",MaGic_AVM_Land!M12),"")</f>
        <v/>
      </c>
      <c r="N12" s="70" t="str">
        <f>IF(N$2="Y",IF(MaGic_AVM_Land!N12=0,"",MaGic_AVM_Land!N12),"")</f>
        <v/>
      </c>
      <c r="O12" s="70" t="str">
        <f>IF(O$2="Y",IF(MaGic_AVM_Land!O12=0,"",MaGic_AVM_Land!O12),"")</f>
        <v/>
      </c>
      <c r="P12" s="70" t="str">
        <f>IF(P$2="Y",IF(MaGic_AVM_Land!P12=0,"",MaGic_AVM_Land!P12),"")</f>
        <v/>
      </c>
      <c r="Q12" s="70" t="str">
        <f>IF(Q$2="Y",IF(MaGic_AVM_Land!Q12=0,"",MaGic_AVM_Land!Q12),"")</f>
        <v/>
      </c>
      <c r="R12" s="70" t="str">
        <f>IF(R$2="Y",IF(MaGic_AVM_Land!R12=0,"",MaGic_AVM_Land!R12),"")</f>
        <v/>
      </c>
      <c r="S12" s="70" t="str">
        <f>IF(S$2="Y",IF(MaGic_AVM_Land!S12=0,"",MaGic_AVM_Land!S12),"")</f>
        <v/>
      </c>
      <c r="T12" s="70" t="str">
        <f>IF(T$2="Y",IF(MaGic_AVM_Land!T12=0,"",MaGic_AVM_Land!T12),"")</f>
        <v/>
      </c>
      <c r="U12" s="70" t="str">
        <f>IF(U$2="Y",IF(MaGic_AVM_Land!U12=0,"",MaGic_AVM_Land!U12),"")</f>
        <v/>
      </c>
      <c r="V12" s="70" t="str">
        <f>IF(V$2="Y",IF(MaGic_AVM_Land!V12=0,"",MaGic_AVM_Land!V12),"")</f>
        <v/>
      </c>
      <c r="W12" s="70" t="str">
        <f>IF(W$2="Y",IF(MaGic_AVM_Land!W12=0,"",MaGic_AVM_Land!W12),"")</f>
        <v/>
      </c>
      <c r="X12" s="70" t="str">
        <f>IF(X$2="Y",IF(MaGic_AVM_Land!X12=0,"",MaGic_AVM_Land!X12),"")</f>
        <v/>
      </c>
      <c r="Y12" s="70" t="str">
        <f>IF(Y$2="Y",IF(MaGic_AVM_Land!Y12=0,"",MaGic_AVM_Land!Y12),"")</f>
        <v/>
      </c>
      <c r="Z12" s="70" t="str">
        <f>IF(Z$2="Y",IF(MaGic_AVM_Land!Z12=0,"",MaGic_AVM_Land!Z12),"")</f>
        <v/>
      </c>
      <c r="AA12" s="69" t="str">
        <f t="shared" si="0"/>
        <v/>
      </c>
      <c r="AB12" s="69" t="str" cm="1">
        <f t="array" ref="AB12">_xlfn.UNIQUE(C12:Z12,TRUE,FALSE)</f>
        <v/>
      </c>
    </row>
    <row r="13" spans="1:28">
      <c r="A13" s="70">
        <v>11</v>
      </c>
      <c r="B13" s="70" t="s">
        <v>67</v>
      </c>
      <c r="C13" s="71" t="str">
        <f>IF(C$2="Y",IF(MaGic_AVM_Land!C13=0,"",MaGic_AVM_Land!C13),"")</f>
        <v/>
      </c>
      <c r="D13" s="71" t="str">
        <f>IF(D$2="Y",IF(MaGic_AVM_Land!D13=0,"",MaGic_AVM_Land!D13),"")</f>
        <v/>
      </c>
      <c r="E13" s="71" t="str">
        <f>IF(E$2="Y",IF(MaGic_AVM_Land!E13=0,"",MaGic_AVM_Land!E13),"")</f>
        <v/>
      </c>
      <c r="F13" s="71" t="str">
        <f>IF(F$2="Y",IF(MaGic_AVM_Land!F13=0,"",MaGic_AVM_Land!F13),"")</f>
        <v/>
      </c>
      <c r="G13" s="71" t="str">
        <f>IF(G$2="Y",IF(MaGic_AVM_Land!G13=0,"",MaGic_AVM_Land!G13),"")</f>
        <v/>
      </c>
      <c r="H13" s="71" t="str">
        <f>IF(H$2="Y",IF(MaGic_AVM_Land!H13=0,"",MaGic_AVM_Land!H13),"")</f>
        <v/>
      </c>
      <c r="I13" s="71" t="str">
        <f>IF(I$2="Y",IF(MaGic_AVM_Land!I13=0,"",MaGic_AVM_Land!I13),"")</f>
        <v/>
      </c>
      <c r="J13" s="71" t="str">
        <f>IF(J$2="Y",IF(MaGic_AVM_Land!J13=0,"",MaGic_AVM_Land!J13),"")</f>
        <v/>
      </c>
      <c r="K13" s="71" t="str">
        <f>IF(K$2="Y",IF(MaGic_AVM_Land!K13=0,"",MaGic_AVM_Land!K13),"")</f>
        <v/>
      </c>
      <c r="L13" s="71" t="str">
        <f>IF(L$2="Y",IF(MaGic_AVM_Land!L13=0,"",MaGic_AVM_Land!L13),"")</f>
        <v/>
      </c>
      <c r="M13" s="71" t="str">
        <f>IF(M$2="Y",IF(MaGic_AVM_Land!M13=0,"",MaGic_AVM_Land!M13),"")</f>
        <v/>
      </c>
      <c r="N13" s="71" t="str">
        <f>IF(N$2="Y",IF(MaGic_AVM_Land!N13=0,"",MaGic_AVM_Land!N13),"")</f>
        <v/>
      </c>
      <c r="O13" s="71" t="str">
        <f>IF(O$2="Y",IF(MaGic_AVM_Land!O13=0,"",MaGic_AVM_Land!O13),"")</f>
        <v/>
      </c>
      <c r="P13" s="71" t="str">
        <f>IF(P$2="Y",IF(MaGic_AVM_Land!P13=0,"",MaGic_AVM_Land!P13),"")</f>
        <v/>
      </c>
      <c r="Q13" s="71" t="str">
        <f>IF(Q$2="Y",IF(MaGic_AVM_Land!Q13=0,"",MaGic_AVM_Land!Q13),"")</f>
        <v/>
      </c>
      <c r="R13" s="71" t="str">
        <f>IF(R$2="Y",IF(MaGic_AVM_Land!R13=0,"",MaGic_AVM_Land!R13),"")</f>
        <v/>
      </c>
      <c r="S13" s="71" t="str">
        <f>IF(S$2="Y",IF(MaGic_AVM_Land!S13=0,"",MaGic_AVM_Land!S13),"")</f>
        <v/>
      </c>
      <c r="T13" s="71" t="str">
        <f>IF(T$2="Y",IF(MaGic_AVM_Land!T13=0,"",MaGic_AVM_Land!T13),"")</f>
        <v/>
      </c>
      <c r="U13" s="71" t="str">
        <f>IF(U$2="Y",IF(MaGic_AVM_Land!U13=0,"",MaGic_AVM_Land!U13),"")</f>
        <v/>
      </c>
      <c r="V13" s="71" t="str">
        <f>IF(V$2="Y",IF(MaGic_AVM_Land!V13=0,"",MaGic_AVM_Land!V13),"")</f>
        <v/>
      </c>
      <c r="W13" s="71" t="str">
        <f>IF(W$2="Y",IF(MaGic_AVM_Land!W13=0,"",MaGic_AVM_Land!W13),"")</f>
        <v/>
      </c>
      <c r="X13" s="71" t="str">
        <f>IF(X$2="Y",IF(MaGic_AVM_Land!X13=0,"",MaGic_AVM_Land!X13),"")</f>
        <v/>
      </c>
      <c r="Y13" s="71" t="str">
        <f>IF(Y$2="Y",IF(MaGic_AVM_Land!Y13=0,"",MaGic_AVM_Land!Y13),"")</f>
        <v/>
      </c>
      <c r="Z13" s="71" t="str">
        <f>IF(Z$2="Y",IF(MaGic_AVM_Land!Z13=0,"",MaGic_AVM_Land!Z13),"")</f>
        <v/>
      </c>
      <c r="AA13" s="69" t="str">
        <f t="shared" si="0"/>
        <v/>
      </c>
      <c r="AB13" s="69" t="str" cm="1">
        <f t="array" ref="AB13">_xlfn.UNIQUE(C13:Z13,TRUE,FALSE)</f>
        <v/>
      </c>
    </row>
    <row r="14" spans="1:28">
      <c r="A14" s="70">
        <v>12</v>
      </c>
      <c r="B14" s="70" t="s">
        <v>69</v>
      </c>
      <c r="C14" s="71" t="str">
        <f>IF(C$2="Y",IF(MaGic_AVM_Land!C14=0,"",MaGic_AVM_Land!C14),"")</f>
        <v/>
      </c>
      <c r="D14" s="71" t="str">
        <f>IF(D$2="Y",IF(MaGic_AVM_Land!D14=0,"",MaGic_AVM_Land!D14),"")</f>
        <v/>
      </c>
      <c r="E14" s="71" t="str">
        <f>IF(E$2="Y",IF(MaGic_AVM_Land!E14=0,"",MaGic_AVM_Land!E14),"")</f>
        <v/>
      </c>
      <c r="F14" s="71" t="str">
        <f>IF(F$2="Y",IF(MaGic_AVM_Land!F14=0,"",MaGic_AVM_Land!F14),"")</f>
        <v/>
      </c>
      <c r="G14" s="71" t="str">
        <f>IF(G$2="Y",IF(MaGic_AVM_Land!G14=0,"",MaGic_AVM_Land!G14),"")</f>
        <v/>
      </c>
      <c r="H14" s="71" t="str">
        <f>IF(H$2="Y",IF(MaGic_AVM_Land!H14=0,"",MaGic_AVM_Land!H14),"")</f>
        <v/>
      </c>
      <c r="I14" s="71" t="str">
        <f>IF(I$2="Y",IF(MaGic_AVM_Land!I14=0,"",MaGic_AVM_Land!I14),"")</f>
        <v/>
      </c>
      <c r="J14" s="71" t="str">
        <f>IF(J$2="Y",IF(MaGic_AVM_Land!J14=0,"",MaGic_AVM_Land!J14),"")</f>
        <v/>
      </c>
      <c r="K14" s="71" t="str">
        <f>IF(K$2="Y",IF(MaGic_AVM_Land!K14=0,"",MaGic_AVM_Land!K14),"")</f>
        <v/>
      </c>
      <c r="L14" s="71" t="str">
        <f>IF(L$2="Y",IF(MaGic_AVM_Land!L14=0,"",MaGic_AVM_Land!L14),"")</f>
        <v/>
      </c>
      <c r="M14" s="71" t="str">
        <f>IF(M$2="Y",IF(MaGic_AVM_Land!M14=0,"",MaGic_AVM_Land!M14),"")</f>
        <v/>
      </c>
      <c r="N14" s="71" t="str">
        <f>IF(N$2="Y",IF(MaGic_AVM_Land!N14=0,"",MaGic_AVM_Land!N14),"")</f>
        <v/>
      </c>
      <c r="O14" s="71" t="str">
        <f>IF(O$2="Y",IF(MaGic_AVM_Land!O14=0,"",MaGic_AVM_Land!O14),"")</f>
        <v/>
      </c>
      <c r="P14" s="71" t="str">
        <f>IF(P$2="Y",IF(MaGic_AVM_Land!P14=0,"",MaGic_AVM_Land!P14),"")</f>
        <v/>
      </c>
      <c r="Q14" s="71" t="str">
        <f>IF(Q$2="Y",IF(MaGic_AVM_Land!Q14=0,"",MaGic_AVM_Land!Q14),"")</f>
        <v/>
      </c>
      <c r="R14" s="71" t="str">
        <f>IF(R$2="Y",IF(MaGic_AVM_Land!R14=0,"",MaGic_AVM_Land!R14),"")</f>
        <v/>
      </c>
      <c r="S14" s="71" t="str">
        <f>IF(S$2="Y",IF(MaGic_AVM_Land!S14=0,"",MaGic_AVM_Land!S14),"")</f>
        <v/>
      </c>
      <c r="T14" s="71" t="str">
        <f>IF(T$2="Y",IF(MaGic_AVM_Land!T14=0,"",MaGic_AVM_Land!T14),"")</f>
        <v/>
      </c>
      <c r="U14" s="71" t="str">
        <f>IF(U$2="Y",IF(MaGic_AVM_Land!U14=0,"",MaGic_AVM_Land!U14),"")</f>
        <v/>
      </c>
      <c r="V14" s="71" t="str">
        <f>IF(V$2="Y",IF(MaGic_AVM_Land!V14=0,"",MaGic_AVM_Land!V14),"")</f>
        <v/>
      </c>
      <c r="W14" s="71" t="str">
        <f>IF(W$2="Y",IF(MaGic_AVM_Land!W14=0,"",MaGic_AVM_Land!W14),"")</f>
        <v/>
      </c>
      <c r="X14" s="71" t="str">
        <f>IF(X$2="Y",IF(MaGic_AVM_Land!X14=0,"",MaGic_AVM_Land!X14),"")</f>
        <v/>
      </c>
      <c r="Y14" s="71" t="str">
        <f>IF(Y$2="Y",IF(MaGic_AVM_Land!Y14=0,"",MaGic_AVM_Land!Y14),"")</f>
        <v/>
      </c>
      <c r="Z14" s="71" t="str">
        <f>IF(Z$2="Y",IF(MaGic_AVM_Land!Z14=0,"",MaGic_AVM_Land!Z14),"")</f>
        <v/>
      </c>
      <c r="AA14" s="69" t="str">
        <f t="shared" si="0"/>
        <v/>
      </c>
      <c r="AB14" s="69" t="str" cm="1">
        <f t="array" ref="AB14">_xlfn.UNIQUE(C14:Z14,TRUE,FALSE)</f>
        <v/>
      </c>
    </row>
    <row r="15" spans="1:28">
      <c r="A15" s="70">
        <v>13</v>
      </c>
      <c r="B15" s="70" t="s">
        <v>70</v>
      </c>
      <c r="C15" s="71" t="str">
        <f>IF(C$2="Y",IF(MaGic_AVM_Land!C15=0,"",MaGic_AVM_Land!C15),"")</f>
        <v/>
      </c>
      <c r="D15" s="71" t="str">
        <f>IF(D$2="Y",IF(MaGic_AVM_Land!D15=0,"",MaGic_AVM_Land!D15),"")</f>
        <v/>
      </c>
      <c r="E15" s="71" t="str">
        <f>IF(E$2="Y",IF(MaGic_AVM_Land!E15=0,"",MaGic_AVM_Land!E15),"")</f>
        <v/>
      </c>
      <c r="F15" s="71" t="str">
        <f>IF(F$2="Y",IF(MaGic_AVM_Land!F15=0,"",MaGic_AVM_Land!F15),"")</f>
        <v/>
      </c>
      <c r="G15" s="71" t="str">
        <f>IF(G$2="Y",IF(MaGic_AVM_Land!G15=0,"",MaGic_AVM_Land!G15),"")</f>
        <v/>
      </c>
      <c r="H15" s="71" t="str">
        <f>IF(H$2="Y",IF(MaGic_AVM_Land!H15=0,"",MaGic_AVM_Land!H15),"")</f>
        <v/>
      </c>
      <c r="I15" s="71" t="str">
        <f>IF(I$2="Y",IF(MaGic_AVM_Land!I15=0,"",MaGic_AVM_Land!I15),"")</f>
        <v/>
      </c>
      <c r="J15" s="71" t="str">
        <f>IF(J$2="Y",IF(MaGic_AVM_Land!J15=0,"",MaGic_AVM_Land!J15),"")</f>
        <v/>
      </c>
      <c r="K15" s="71" t="str">
        <f>IF(K$2="Y",IF(MaGic_AVM_Land!K15=0,"",MaGic_AVM_Land!K15),"")</f>
        <v/>
      </c>
      <c r="L15" s="71" t="str">
        <f>IF(L$2="Y",IF(MaGic_AVM_Land!L15=0,"",MaGic_AVM_Land!L15),"")</f>
        <v/>
      </c>
      <c r="M15" s="71" t="str">
        <f>IF(M$2="Y",IF(MaGic_AVM_Land!M15=0,"",MaGic_AVM_Land!M15),"")</f>
        <v/>
      </c>
      <c r="N15" s="71" t="str">
        <f>IF(N$2="Y",IF(MaGic_AVM_Land!N15=0,"",MaGic_AVM_Land!N15),"")</f>
        <v/>
      </c>
      <c r="O15" s="71" t="str">
        <f>IF(O$2="Y",IF(MaGic_AVM_Land!O15=0,"",MaGic_AVM_Land!O15),"")</f>
        <v/>
      </c>
      <c r="P15" s="71" t="str">
        <f>IF(P$2="Y",IF(MaGic_AVM_Land!P15=0,"",MaGic_AVM_Land!P15),"")</f>
        <v/>
      </c>
      <c r="Q15" s="71" t="str">
        <f>IF(Q$2="Y",IF(MaGic_AVM_Land!Q15=0,"",MaGic_AVM_Land!Q15),"")</f>
        <v/>
      </c>
      <c r="R15" s="71" t="str">
        <f>IF(R$2="Y",IF(MaGic_AVM_Land!R15=0,"",MaGic_AVM_Land!R15),"")</f>
        <v/>
      </c>
      <c r="S15" s="71" t="str">
        <f>IF(S$2="Y",IF(MaGic_AVM_Land!S15=0,"",MaGic_AVM_Land!S15),"")</f>
        <v/>
      </c>
      <c r="T15" s="71" t="str">
        <f>IF(T$2="Y",IF(MaGic_AVM_Land!T15=0,"",MaGic_AVM_Land!T15),"")</f>
        <v/>
      </c>
      <c r="U15" s="71" t="str">
        <f>IF(U$2="Y",IF(MaGic_AVM_Land!U15=0,"",MaGic_AVM_Land!U15),"")</f>
        <v/>
      </c>
      <c r="V15" s="71" t="str">
        <f>IF(V$2="Y",IF(MaGic_AVM_Land!V15=0,"",MaGic_AVM_Land!V15),"")</f>
        <v/>
      </c>
      <c r="W15" s="71" t="str">
        <f>IF(W$2="Y",IF(MaGic_AVM_Land!W15=0,"",MaGic_AVM_Land!W15),"")</f>
        <v/>
      </c>
      <c r="X15" s="71" t="str">
        <f>IF(X$2="Y",IF(MaGic_AVM_Land!X15=0,"",MaGic_AVM_Land!X15),"")</f>
        <v/>
      </c>
      <c r="Y15" s="71" t="str">
        <f>IF(Y$2="Y",IF(MaGic_AVM_Land!Y15=0,"",MaGic_AVM_Land!Y15),"")</f>
        <v/>
      </c>
      <c r="Z15" s="71" t="str">
        <f>IF(Z$2="Y",IF(MaGic_AVM_Land!Z15=0,"",MaGic_AVM_Land!Z15),"")</f>
        <v/>
      </c>
      <c r="AA15" s="69" t="str">
        <f t="shared" si="0"/>
        <v/>
      </c>
      <c r="AB15" s="69" t="str" cm="1">
        <f t="array" ref="AB15">_xlfn.UNIQUE(C15:Z15,TRUE,FALSE)</f>
        <v/>
      </c>
    </row>
    <row r="16" spans="1:28">
      <c r="A16" s="70">
        <v>14</v>
      </c>
      <c r="B16" s="70" t="s">
        <v>71</v>
      </c>
      <c r="C16" s="71" t="str">
        <f>IF(C$2="Y",IF(MaGic_AVM_Land!C16=0,"",MaGic_AVM_Land!C16),"")</f>
        <v/>
      </c>
      <c r="D16" s="71" t="str">
        <f>IF(D$2="Y",IF(MaGic_AVM_Land!D16=0,"",MaGic_AVM_Land!D16),"")</f>
        <v/>
      </c>
      <c r="E16" s="71" t="str">
        <f>IF(E$2="Y",IF(MaGic_AVM_Land!E16=0,"",MaGic_AVM_Land!E16),"")</f>
        <v/>
      </c>
      <c r="F16" s="71" t="str">
        <f>IF(F$2="Y",IF(MaGic_AVM_Land!F16=0,"",MaGic_AVM_Land!F16),"")</f>
        <v/>
      </c>
      <c r="G16" s="71" t="str">
        <f>IF(G$2="Y",IF(MaGic_AVM_Land!G16=0,"",MaGic_AVM_Land!G16),"")</f>
        <v/>
      </c>
      <c r="H16" s="71" t="str">
        <f>IF(H$2="Y",IF(MaGic_AVM_Land!H16=0,"",MaGic_AVM_Land!H16),"")</f>
        <v/>
      </c>
      <c r="I16" s="71" t="str">
        <f>IF(I$2="Y",IF(MaGic_AVM_Land!I16=0,"",MaGic_AVM_Land!I16),"")</f>
        <v/>
      </c>
      <c r="J16" s="71" t="str">
        <f>IF(J$2="Y",IF(MaGic_AVM_Land!J16=0,"",MaGic_AVM_Land!J16),"")</f>
        <v/>
      </c>
      <c r="K16" s="71" t="str">
        <f>IF(K$2="Y",IF(MaGic_AVM_Land!K16=0,"",MaGic_AVM_Land!K16),"")</f>
        <v/>
      </c>
      <c r="L16" s="71" t="str">
        <f>IF(L$2="Y",IF(MaGic_AVM_Land!L16=0,"",MaGic_AVM_Land!L16),"")</f>
        <v/>
      </c>
      <c r="M16" s="71" t="str">
        <f>IF(M$2="Y",IF(MaGic_AVM_Land!M16=0,"",MaGic_AVM_Land!M16),"")</f>
        <v/>
      </c>
      <c r="N16" s="71" t="str">
        <f>IF(N$2="Y",IF(MaGic_AVM_Land!N16=0,"",MaGic_AVM_Land!N16),"")</f>
        <v/>
      </c>
      <c r="O16" s="71" t="str">
        <f>IF(O$2="Y",IF(MaGic_AVM_Land!O16=0,"",MaGic_AVM_Land!O16),"")</f>
        <v/>
      </c>
      <c r="P16" s="71" t="str">
        <f>IF(P$2="Y",IF(MaGic_AVM_Land!P16=0,"",MaGic_AVM_Land!P16),"")</f>
        <v/>
      </c>
      <c r="Q16" s="71" t="str">
        <f>IF(Q$2="Y",IF(MaGic_AVM_Land!Q16=0,"",MaGic_AVM_Land!Q16),"")</f>
        <v/>
      </c>
      <c r="R16" s="71" t="str">
        <f>IF(R$2="Y",IF(MaGic_AVM_Land!R16=0,"",MaGic_AVM_Land!R16),"")</f>
        <v/>
      </c>
      <c r="S16" s="71" t="str">
        <f>IF(S$2="Y",IF(MaGic_AVM_Land!S16=0,"",MaGic_AVM_Land!S16),"")</f>
        <v/>
      </c>
      <c r="T16" s="71" t="str">
        <f>IF(T$2="Y",IF(MaGic_AVM_Land!T16=0,"",MaGic_AVM_Land!T16),"")</f>
        <v/>
      </c>
      <c r="U16" s="71" t="str">
        <f>IF(U$2="Y",IF(MaGic_AVM_Land!U16=0,"",MaGic_AVM_Land!U16),"")</f>
        <v/>
      </c>
      <c r="V16" s="71" t="str">
        <f>IF(V$2="Y",IF(MaGic_AVM_Land!V16=0,"",MaGic_AVM_Land!V16),"")</f>
        <v/>
      </c>
      <c r="W16" s="71" t="str">
        <f>IF(W$2="Y",IF(MaGic_AVM_Land!W16=0,"",MaGic_AVM_Land!W16),"")</f>
        <v/>
      </c>
      <c r="X16" s="71" t="str">
        <f>IF(X$2="Y",IF(MaGic_AVM_Land!X16=0,"",MaGic_AVM_Land!X16),"")</f>
        <v/>
      </c>
      <c r="Y16" s="71" t="str">
        <f>IF(Y$2="Y",IF(MaGic_AVM_Land!Y16=0,"",MaGic_AVM_Land!Y16),"")</f>
        <v/>
      </c>
      <c r="Z16" s="71" t="str">
        <f>IF(Z$2="Y",IF(MaGic_AVM_Land!Z16=0,"",MaGic_AVM_Land!Z16),"")</f>
        <v/>
      </c>
      <c r="AA16" s="69" t="str">
        <f t="shared" si="0"/>
        <v/>
      </c>
      <c r="AB16" s="69" t="str" cm="1">
        <f t="array" ref="AB16">_xlfn.UNIQUE(C16:Z16,TRUE,FALSE)</f>
        <v/>
      </c>
    </row>
    <row r="17" spans="1:28">
      <c r="A17" s="70">
        <v>15</v>
      </c>
      <c r="B17" s="70" t="s">
        <v>77</v>
      </c>
      <c r="C17" s="71" t="str">
        <f>IF(C$2="Y",IF(MaGic_AVM_Land!C17=0,"",MaGic_AVM_Land!C17),"")</f>
        <v/>
      </c>
      <c r="D17" s="71" t="str">
        <f>IF(D$2="Y",IF(MaGic_AVM_Land!D17=0,"",MaGic_AVM_Land!D17),"")</f>
        <v/>
      </c>
      <c r="E17" s="71" t="str">
        <f>IF(E$2="Y",IF(MaGic_AVM_Land!E17=0,"",MaGic_AVM_Land!E17),"")</f>
        <v/>
      </c>
      <c r="F17" s="71" t="str">
        <f>IF(F$2="Y",IF(MaGic_AVM_Land!F17=0,"",MaGic_AVM_Land!F17),"")</f>
        <v/>
      </c>
      <c r="G17" s="71" t="str">
        <f>IF(G$2="Y",IF(MaGic_AVM_Land!G17=0,"",MaGic_AVM_Land!G17),"")</f>
        <v/>
      </c>
      <c r="H17" s="71" t="str">
        <f>IF(H$2="Y",IF(MaGic_AVM_Land!H17=0,"",MaGic_AVM_Land!H17),"")</f>
        <v/>
      </c>
      <c r="I17" s="71" t="str">
        <f>IF(I$2="Y",IF(MaGic_AVM_Land!I17=0,"",MaGic_AVM_Land!I17),"")</f>
        <v/>
      </c>
      <c r="J17" s="71" t="str">
        <f>IF(J$2="Y",IF(MaGic_AVM_Land!J17=0,"",MaGic_AVM_Land!J17),"")</f>
        <v/>
      </c>
      <c r="K17" s="71" t="str">
        <f>IF(K$2="Y",IF(MaGic_AVM_Land!K17=0,"",MaGic_AVM_Land!K17),"")</f>
        <v/>
      </c>
      <c r="L17" s="71" t="str">
        <f>IF(L$2="Y",IF(MaGic_AVM_Land!L17=0,"",MaGic_AVM_Land!L17),"")</f>
        <v/>
      </c>
      <c r="M17" s="71" t="str">
        <f>IF(M$2="Y",IF(MaGic_AVM_Land!M17=0,"",MaGic_AVM_Land!M17),"")</f>
        <v/>
      </c>
      <c r="N17" s="71" t="str">
        <f>IF(N$2="Y",IF(MaGic_AVM_Land!N17=0,"",MaGic_AVM_Land!N17),"")</f>
        <v/>
      </c>
      <c r="O17" s="71" t="str">
        <f>IF(O$2="Y",IF(MaGic_AVM_Land!O17=0,"",MaGic_AVM_Land!O17),"")</f>
        <v/>
      </c>
      <c r="P17" s="71" t="str">
        <f>IF(P$2="Y",IF(MaGic_AVM_Land!P17=0,"",MaGic_AVM_Land!P17),"")</f>
        <v/>
      </c>
      <c r="Q17" s="71" t="str">
        <f>IF(Q$2="Y",IF(MaGic_AVM_Land!Q17=0,"",MaGic_AVM_Land!Q17),"")</f>
        <v/>
      </c>
      <c r="R17" s="71" t="str">
        <f>IF(R$2="Y",IF(MaGic_AVM_Land!R17=0,"",MaGic_AVM_Land!R17),"")</f>
        <v/>
      </c>
      <c r="S17" s="71" t="str">
        <f>IF(S$2="Y",IF(MaGic_AVM_Land!S17=0,"",MaGic_AVM_Land!S17),"")</f>
        <v/>
      </c>
      <c r="T17" s="71" t="str">
        <f>IF(T$2="Y",IF(MaGic_AVM_Land!T17=0,"",MaGic_AVM_Land!T17),"")</f>
        <v/>
      </c>
      <c r="U17" s="71" t="str">
        <f>IF(U$2="Y",IF(MaGic_AVM_Land!U17=0,"",MaGic_AVM_Land!U17),"")</f>
        <v/>
      </c>
      <c r="V17" s="71" t="str">
        <f>IF(V$2="Y",IF(MaGic_AVM_Land!V17=0,"",MaGic_AVM_Land!V17),"")</f>
        <v/>
      </c>
      <c r="W17" s="71" t="str">
        <f>IF(W$2="Y",IF(MaGic_AVM_Land!W17=0,"",MaGic_AVM_Land!W17),"")</f>
        <v/>
      </c>
      <c r="X17" s="71" t="str">
        <f>IF(X$2="Y",IF(MaGic_AVM_Land!X17=0,"",MaGic_AVM_Land!X17),"")</f>
        <v/>
      </c>
      <c r="Y17" s="71" t="str">
        <f>IF(Y$2="Y",IF(MaGic_AVM_Land!Y17=0,"",MaGic_AVM_Land!Y17),"")</f>
        <v/>
      </c>
      <c r="Z17" s="71" t="str">
        <f>IF(Z$2="Y",IF(MaGic_AVM_Land!Z17=0,"",MaGic_AVM_Land!Z17),"")</f>
        <v/>
      </c>
      <c r="AA17" s="69" t="str">
        <f t="shared" si="0"/>
        <v/>
      </c>
      <c r="AB17" s="69" t="str" cm="1">
        <f t="array" ref="AB17">_xlfn.UNIQUE(C17:Z17,TRUE,FALSE)</f>
        <v/>
      </c>
    </row>
    <row r="18" spans="1:28">
      <c r="A18" s="70">
        <v>16</v>
      </c>
      <c r="B18" s="70" t="s">
        <v>78</v>
      </c>
      <c r="C18" s="71" t="str">
        <f>IF(C$2="Y",IF(MaGic_AVM_Land!C18=0,"",MaGic_AVM_Land!C18),"")</f>
        <v/>
      </c>
      <c r="D18" s="71" t="str">
        <f>IF(D$2="Y",IF(MaGic_AVM_Land!D18=0,"",MaGic_AVM_Land!D18),"")</f>
        <v/>
      </c>
      <c r="E18" s="71" t="str">
        <f>IF(E$2="Y",IF(MaGic_AVM_Land!E18=0,"",MaGic_AVM_Land!E18),"")</f>
        <v/>
      </c>
      <c r="F18" s="71" t="str">
        <f>IF(F$2="Y",IF(MaGic_AVM_Land!F18=0,"",MaGic_AVM_Land!F18),"")</f>
        <v/>
      </c>
      <c r="G18" s="71" t="str">
        <f>IF(G$2="Y",IF(MaGic_AVM_Land!G18=0,"",MaGic_AVM_Land!G18),"")</f>
        <v/>
      </c>
      <c r="H18" s="71" t="str">
        <f>IF(H$2="Y",IF(MaGic_AVM_Land!H18=0,"",MaGic_AVM_Land!H18),"")</f>
        <v/>
      </c>
      <c r="I18" s="71" t="str">
        <f>IF(I$2="Y",IF(MaGic_AVM_Land!I18=0,"",MaGic_AVM_Land!I18),"")</f>
        <v/>
      </c>
      <c r="J18" s="71" t="str">
        <f>IF(J$2="Y",IF(MaGic_AVM_Land!J18=0,"",MaGic_AVM_Land!J18),"")</f>
        <v/>
      </c>
      <c r="K18" s="71" t="str">
        <f>IF(K$2="Y",IF(MaGic_AVM_Land!K18=0,"",MaGic_AVM_Land!K18),"")</f>
        <v/>
      </c>
      <c r="L18" s="71" t="str">
        <f>IF(L$2="Y",IF(MaGic_AVM_Land!L18=0,"",MaGic_AVM_Land!L18),"")</f>
        <v/>
      </c>
      <c r="M18" s="71" t="str">
        <f>IF(M$2="Y",IF(MaGic_AVM_Land!M18=0,"",MaGic_AVM_Land!M18),"")</f>
        <v/>
      </c>
      <c r="N18" s="71" t="str">
        <f>IF(N$2="Y",IF(MaGic_AVM_Land!N18=0,"",MaGic_AVM_Land!N18),"")</f>
        <v/>
      </c>
      <c r="O18" s="71" t="str">
        <f>IF(O$2="Y",IF(MaGic_AVM_Land!O18=0,"",MaGic_AVM_Land!O18),"")</f>
        <v/>
      </c>
      <c r="P18" s="71" t="str">
        <f>IF(P$2="Y",IF(MaGic_AVM_Land!P18=0,"",MaGic_AVM_Land!P18),"")</f>
        <v/>
      </c>
      <c r="Q18" s="71" t="str">
        <f>IF(Q$2="Y",IF(MaGic_AVM_Land!Q18=0,"",MaGic_AVM_Land!Q18),"")</f>
        <v/>
      </c>
      <c r="R18" s="71" t="str">
        <f>IF(R$2="Y",IF(MaGic_AVM_Land!R18=0,"",MaGic_AVM_Land!R18),"")</f>
        <v/>
      </c>
      <c r="S18" s="71" t="str">
        <f>IF(S$2="Y",IF(MaGic_AVM_Land!S18=0,"",MaGic_AVM_Land!S18),"")</f>
        <v/>
      </c>
      <c r="T18" s="71" t="str">
        <f>IF(T$2="Y",IF(MaGic_AVM_Land!T18=0,"",MaGic_AVM_Land!T18),"")</f>
        <v/>
      </c>
      <c r="U18" s="71" t="str">
        <f>IF(U$2="Y",IF(MaGic_AVM_Land!U18=0,"",MaGic_AVM_Land!U18),"")</f>
        <v/>
      </c>
      <c r="V18" s="71" t="str">
        <f>IF(V$2="Y",IF(MaGic_AVM_Land!V18=0,"",MaGic_AVM_Land!V18),"")</f>
        <v/>
      </c>
      <c r="W18" s="71" t="str">
        <f>IF(W$2="Y",IF(MaGic_AVM_Land!W18=0,"",MaGic_AVM_Land!W18),"")</f>
        <v/>
      </c>
      <c r="X18" s="71" t="str">
        <f>IF(X$2="Y",IF(MaGic_AVM_Land!X18=0,"",MaGic_AVM_Land!X18),"")</f>
        <v/>
      </c>
      <c r="Y18" s="71" t="str">
        <f>IF(Y$2="Y",IF(MaGic_AVM_Land!Y18=0,"",MaGic_AVM_Land!Y18),"")</f>
        <v/>
      </c>
      <c r="Z18" s="71" t="str">
        <f>IF(Z$2="Y",IF(MaGic_AVM_Land!Z18=0,"",MaGic_AVM_Land!Z18),"")</f>
        <v/>
      </c>
      <c r="AA18" s="69" t="str">
        <f t="shared" si="0"/>
        <v/>
      </c>
      <c r="AB18" s="69" t="str" cm="1">
        <f t="array" ref="AB18">_xlfn.UNIQUE(C18:Z18,TRUE,FALSE)</f>
        <v/>
      </c>
    </row>
    <row r="19" spans="1:28">
      <c r="A19" s="70">
        <v>17</v>
      </c>
      <c r="B19" s="70" t="s">
        <v>79</v>
      </c>
      <c r="C19" s="71" t="str">
        <f>IF(C$2="Y",IF(MaGic_AVM_Land!C19=0,"",MaGic_AVM_Land!C19),"")</f>
        <v/>
      </c>
      <c r="D19" s="71" t="str">
        <f>IF(D$2="Y",IF(MaGic_AVM_Land!D19=0,"",MaGic_AVM_Land!D19),"")</f>
        <v/>
      </c>
      <c r="E19" s="71" t="str">
        <f>IF(E$2="Y",IF(MaGic_AVM_Land!E19=0,"",MaGic_AVM_Land!E19),"")</f>
        <v/>
      </c>
      <c r="F19" s="71" t="str">
        <f>IF(F$2="Y",IF(MaGic_AVM_Land!F19=0,"",MaGic_AVM_Land!F19),"")</f>
        <v/>
      </c>
      <c r="G19" s="71" t="str">
        <f>IF(G$2="Y",IF(MaGic_AVM_Land!G19=0,"",MaGic_AVM_Land!G19),"")</f>
        <v/>
      </c>
      <c r="H19" s="71" t="str">
        <f>IF(H$2="Y",IF(MaGic_AVM_Land!H19=0,"",MaGic_AVM_Land!H19),"")</f>
        <v/>
      </c>
      <c r="I19" s="71" t="str">
        <f>IF(I$2="Y",IF(MaGic_AVM_Land!I19=0,"",MaGic_AVM_Land!I19),"")</f>
        <v/>
      </c>
      <c r="J19" s="71" t="str">
        <f>IF(J$2="Y",IF(MaGic_AVM_Land!J19=0,"",MaGic_AVM_Land!J19),"")</f>
        <v/>
      </c>
      <c r="K19" s="71" t="str">
        <f>IF(K$2="Y",IF(MaGic_AVM_Land!K19=0,"",MaGic_AVM_Land!K19),"")</f>
        <v/>
      </c>
      <c r="L19" s="71" t="str">
        <f>IF(L$2="Y",IF(MaGic_AVM_Land!L19=0,"",MaGic_AVM_Land!L19),"")</f>
        <v/>
      </c>
      <c r="M19" s="71" t="str">
        <f>IF(M$2="Y",IF(MaGic_AVM_Land!M19=0,"",MaGic_AVM_Land!M19),"")</f>
        <v/>
      </c>
      <c r="N19" s="71" t="str">
        <f>IF(N$2="Y",IF(MaGic_AVM_Land!N19=0,"",MaGic_AVM_Land!N19),"")</f>
        <v/>
      </c>
      <c r="O19" s="71" t="str">
        <f>IF(O$2="Y",IF(MaGic_AVM_Land!O19=0,"",MaGic_AVM_Land!O19),"")</f>
        <v/>
      </c>
      <c r="P19" s="71" t="str">
        <f>IF(P$2="Y",IF(MaGic_AVM_Land!P19=0,"",MaGic_AVM_Land!P19),"")</f>
        <v/>
      </c>
      <c r="Q19" s="71" t="str">
        <f>IF(Q$2="Y",IF(MaGic_AVM_Land!Q19=0,"",MaGic_AVM_Land!Q19),"")</f>
        <v/>
      </c>
      <c r="R19" s="71" t="str">
        <f>IF(R$2="Y",IF(MaGic_AVM_Land!R19=0,"",MaGic_AVM_Land!R19),"")</f>
        <v/>
      </c>
      <c r="S19" s="71" t="str">
        <f>IF(S$2="Y",IF(MaGic_AVM_Land!S19=0,"",MaGic_AVM_Land!S19),"")</f>
        <v/>
      </c>
      <c r="T19" s="71" t="str">
        <f>IF(T$2="Y",IF(MaGic_AVM_Land!T19=0,"",MaGic_AVM_Land!T19),"")</f>
        <v/>
      </c>
      <c r="U19" s="71" t="str">
        <f>IF(U$2="Y",IF(MaGic_AVM_Land!U19=0,"",MaGic_AVM_Land!U19),"")</f>
        <v/>
      </c>
      <c r="V19" s="71" t="str">
        <f>IF(V$2="Y",IF(MaGic_AVM_Land!V19=0,"",MaGic_AVM_Land!V19),"")</f>
        <v/>
      </c>
      <c r="W19" s="71" t="str">
        <f>IF(W$2="Y",IF(MaGic_AVM_Land!W19=0,"",MaGic_AVM_Land!W19),"")</f>
        <v/>
      </c>
      <c r="X19" s="71" t="str">
        <f>IF(X$2="Y",IF(MaGic_AVM_Land!X19=0,"",MaGic_AVM_Land!X19),"")</f>
        <v/>
      </c>
      <c r="Y19" s="71" t="str">
        <f>IF(Y$2="Y",IF(MaGic_AVM_Land!Y19=0,"",MaGic_AVM_Land!Y19),"")</f>
        <v/>
      </c>
      <c r="Z19" s="71" t="str">
        <f>IF(Z$2="Y",IF(MaGic_AVM_Land!Z19=0,"",MaGic_AVM_Land!Z19),"")</f>
        <v/>
      </c>
      <c r="AA19" s="69" t="str">
        <f t="shared" si="0"/>
        <v/>
      </c>
      <c r="AB19" s="69" t="str" cm="1">
        <f t="array" ref="AB19">_xlfn.UNIQUE(C19:Z19,TRUE,FALSE)</f>
        <v/>
      </c>
    </row>
    <row r="20" spans="1:28">
      <c r="A20" s="70">
        <v>18</v>
      </c>
      <c r="B20" s="70" t="s">
        <v>80</v>
      </c>
      <c r="C20" s="71" t="str">
        <f>IF(C$2="Y",IF(MaGic_AVM_Land!C20=0,"",MaGic_AVM_Land!C20),"")</f>
        <v/>
      </c>
      <c r="D20" s="71" t="str">
        <f>IF(D$2="Y",IF(MaGic_AVM_Land!D20=0,"",MaGic_AVM_Land!D20),"")</f>
        <v/>
      </c>
      <c r="E20" s="71" t="str">
        <f>IF(E$2="Y",IF(MaGic_AVM_Land!E20=0,"",MaGic_AVM_Land!E20),"")</f>
        <v/>
      </c>
      <c r="F20" s="71" t="str">
        <f>IF(F$2="Y",IF(MaGic_AVM_Land!F20=0,"",MaGic_AVM_Land!F20),"")</f>
        <v/>
      </c>
      <c r="G20" s="71" t="str">
        <f>IF(G$2="Y",IF(MaGic_AVM_Land!G20=0,"",MaGic_AVM_Land!G20),"")</f>
        <v/>
      </c>
      <c r="H20" s="71" t="str">
        <f>IF(H$2="Y",IF(MaGic_AVM_Land!H20=0,"",MaGic_AVM_Land!H20),"")</f>
        <v/>
      </c>
      <c r="I20" s="71" t="str">
        <f>IF(I$2="Y",IF(MaGic_AVM_Land!I20=0,"",MaGic_AVM_Land!I20),"")</f>
        <v/>
      </c>
      <c r="J20" s="71" t="str">
        <f>IF(J$2="Y",IF(MaGic_AVM_Land!J20=0,"",MaGic_AVM_Land!J20),"")</f>
        <v/>
      </c>
      <c r="K20" s="71" t="str">
        <f>IF(K$2="Y",IF(MaGic_AVM_Land!K20=0,"",MaGic_AVM_Land!K20),"")</f>
        <v/>
      </c>
      <c r="L20" s="71" t="str">
        <f>IF(L$2="Y",IF(MaGic_AVM_Land!L20=0,"",MaGic_AVM_Land!L20),"")</f>
        <v/>
      </c>
      <c r="M20" s="71" t="str">
        <f>IF(M$2="Y",IF(MaGic_AVM_Land!M20=0,"",MaGic_AVM_Land!M20),"")</f>
        <v/>
      </c>
      <c r="N20" s="71" t="str">
        <f>IF(N$2="Y",IF(MaGic_AVM_Land!N20=0,"",MaGic_AVM_Land!N20),"")</f>
        <v/>
      </c>
      <c r="O20" s="71" t="str">
        <f>IF(O$2="Y",IF(MaGic_AVM_Land!O20=0,"",MaGic_AVM_Land!O20),"")</f>
        <v/>
      </c>
      <c r="P20" s="71" t="str">
        <f>IF(P$2="Y",IF(MaGic_AVM_Land!P20=0,"",MaGic_AVM_Land!P20),"")</f>
        <v/>
      </c>
      <c r="Q20" s="71" t="str">
        <f>IF(Q$2="Y",IF(MaGic_AVM_Land!Q20=0,"",MaGic_AVM_Land!Q20),"")</f>
        <v/>
      </c>
      <c r="R20" s="71" t="str">
        <f>IF(R$2="Y",IF(MaGic_AVM_Land!R20=0,"",MaGic_AVM_Land!R20),"")</f>
        <v/>
      </c>
      <c r="S20" s="71" t="str">
        <f>IF(S$2="Y",IF(MaGic_AVM_Land!S20=0,"",MaGic_AVM_Land!S20),"")</f>
        <v/>
      </c>
      <c r="T20" s="71" t="str">
        <f>IF(T$2="Y",IF(MaGic_AVM_Land!T20=0,"",MaGic_AVM_Land!T20),"")</f>
        <v/>
      </c>
      <c r="U20" s="71" t="str">
        <f>IF(U$2="Y",IF(MaGic_AVM_Land!U20=0,"",MaGic_AVM_Land!U20),"")</f>
        <v/>
      </c>
      <c r="V20" s="71" t="str">
        <f>IF(V$2="Y",IF(MaGic_AVM_Land!V20=0,"",MaGic_AVM_Land!V20),"")</f>
        <v/>
      </c>
      <c r="W20" s="71" t="str">
        <f>IF(W$2="Y",IF(MaGic_AVM_Land!W20=0,"",MaGic_AVM_Land!W20),"")</f>
        <v/>
      </c>
      <c r="X20" s="71" t="str">
        <f>IF(X$2="Y",IF(MaGic_AVM_Land!X20=0,"",MaGic_AVM_Land!X20),"")</f>
        <v/>
      </c>
      <c r="Y20" s="71" t="str">
        <f>IF(Y$2="Y",IF(MaGic_AVM_Land!Y20=0,"",MaGic_AVM_Land!Y20),"")</f>
        <v/>
      </c>
      <c r="Z20" s="71" t="str">
        <f>IF(Z$2="Y",IF(MaGic_AVM_Land!Z20=0,"",MaGic_AVM_Land!Z20),"")</f>
        <v/>
      </c>
      <c r="AA20" s="69" t="str">
        <f t="shared" si="0"/>
        <v/>
      </c>
      <c r="AB20" s="69" t="str" cm="1">
        <f t="array" ref="AB20">_xlfn.UNIQUE(C20:Z20,TRUE,FALSE)</f>
        <v/>
      </c>
    </row>
    <row r="21" spans="1:28">
      <c r="A21" s="70">
        <v>19</v>
      </c>
      <c r="B21" s="70" t="s">
        <v>81</v>
      </c>
      <c r="C21" s="71" t="str">
        <f>IF(C$2="Y",IF(MaGic_AVM_Land!C21=0,"",MaGic_AVM_Land!C21),"")</f>
        <v/>
      </c>
      <c r="D21" s="71" t="str">
        <f>IF(D$2="Y",IF(MaGic_AVM_Land!D21=0,"",MaGic_AVM_Land!D21),"")</f>
        <v/>
      </c>
      <c r="E21" s="71" t="str">
        <f>IF(E$2="Y",IF(MaGic_AVM_Land!E21=0,"",MaGic_AVM_Land!E21),"")</f>
        <v/>
      </c>
      <c r="F21" s="71" t="str">
        <f>IF(F$2="Y",IF(MaGic_AVM_Land!F21=0,"",MaGic_AVM_Land!F21),"")</f>
        <v/>
      </c>
      <c r="G21" s="71" t="str">
        <f>IF(G$2="Y",IF(MaGic_AVM_Land!G21=0,"",MaGic_AVM_Land!G21),"")</f>
        <v/>
      </c>
      <c r="H21" s="71" t="str">
        <f>IF(H$2="Y",IF(MaGic_AVM_Land!H21=0,"",MaGic_AVM_Land!H21),"")</f>
        <v/>
      </c>
      <c r="I21" s="71" t="str">
        <f>IF(I$2="Y",IF(MaGic_AVM_Land!I21=0,"",MaGic_AVM_Land!I21),"")</f>
        <v/>
      </c>
      <c r="J21" s="71" t="str">
        <f>IF(J$2="Y",IF(MaGic_AVM_Land!J21=0,"",MaGic_AVM_Land!J21),"")</f>
        <v/>
      </c>
      <c r="K21" s="71" t="str">
        <f>IF(K$2="Y",IF(MaGic_AVM_Land!K21=0,"",MaGic_AVM_Land!K21),"")</f>
        <v/>
      </c>
      <c r="L21" s="71" t="str">
        <f>IF(L$2="Y",IF(MaGic_AVM_Land!L21=0,"",MaGic_AVM_Land!L21),"")</f>
        <v/>
      </c>
      <c r="M21" s="71" t="str">
        <f>IF(M$2="Y",IF(MaGic_AVM_Land!M21=0,"",MaGic_AVM_Land!M21),"")</f>
        <v/>
      </c>
      <c r="N21" s="71" t="str">
        <f>IF(N$2="Y",IF(MaGic_AVM_Land!N21=0,"",MaGic_AVM_Land!N21),"")</f>
        <v/>
      </c>
      <c r="O21" s="71" t="str">
        <f>IF(O$2="Y",IF(MaGic_AVM_Land!O21=0,"",MaGic_AVM_Land!O21),"")</f>
        <v/>
      </c>
      <c r="P21" s="71" t="str">
        <f>IF(P$2="Y",IF(MaGic_AVM_Land!P21=0,"",MaGic_AVM_Land!P21),"")</f>
        <v/>
      </c>
      <c r="Q21" s="71" t="str">
        <f>IF(Q$2="Y",IF(MaGic_AVM_Land!Q21=0,"",MaGic_AVM_Land!Q21),"")</f>
        <v/>
      </c>
      <c r="R21" s="71" t="str">
        <f>IF(R$2="Y",IF(MaGic_AVM_Land!R21=0,"",MaGic_AVM_Land!R21),"")</f>
        <v/>
      </c>
      <c r="S21" s="71" t="str">
        <f>IF(S$2="Y",IF(MaGic_AVM_Land!S21=0,"",MaGic_AVM_Land!S21),"")</f>
        <v/>
      </c>
      <c r="T21" s="71" t="str">
        <f>IF(T$2="Y",IF(MaGic_AVM_Land!T21=0,"",MaGic_AVM_Land!T21),"")</f>
        <v/>
      </c>
      <c r="U21" s="71" t="str">
        <f>IF(U$2="Y",IF(MaGic_AVM_Land!U21=0,"",MaGic_AVM_Land!U21),"")</f>
        <v/>
      </c>
      <c r="V21" s="71" t="str">
        <f>IF(V$2="Y",IF(MaGic_AVM_Land!V21=0,"",MaGic_AVM_Land!V21),"")</f>
        <v/>
      </c>
      <c r="W21" s="71" t="str">
        <f>IF(W$2="Y",IF(MaGic_AVM_Land!W21=0,"",MaGic_AVM_Land!W21),"")</f>
        <v/>
      </c>
      <c r="X21" s="71" t="str">
        <f>IF(X$2="Y",IF(MaGic_AVM_Land!X21=0,"",MaGic_AVM_Land!X21),"")</f>
        <v/>
      </c>
      <c r="Y21" s="71" t="str">
        <f>IF(Y$2="Y",IF(MaGic_AVM_Land!Y21=0,"",MaGic_AVM_Land!Y21),"")</f>
        <v/>
      </c>
      <c r="Z21" s="71" t="str">
        <f>IF(Z$2="Y",IF(MaGic_AVM_Land!Z21=0,"",MaGic_AVM_Land!Z21),"")</f>
        <v/>
      </c>
      <c r="AA21" s="69" t="str">
        <f t="shared" si="0"/>
        <v/>
      </c>
      <c r="AB21" s="69" t="str" cm="1">
        <f t="array" ref="AB21">_xlfn.UNIQUE(C21:Z21,TRUE,FALSE)</f>
        <v/>
      </c>
    </row>
    <row r="22" spans="1:28">
      <c r="A22" s="70">
        <v>20</v>
      </c>
      <c r="B22" s="70" t="s">
        <v>82</v>
      </c>
      <c r="C22" s="71" t="str">
        <f>IF(C$2="Y",IF(MaGic_AVM_Land!C22=0,"",MaGic_AVM_Land!C22),"")</f>
        <v/>
      </c>
      <c r="D22" s="71" t="str">
        <f>IF(D$2="Y",IF(MaGic_AVM_Land!D22=0,"",MaGic_AVM_Land!D22),"")</f>
        <v/>
      </c>
      <c r="E22" s="71" t="str">
        <f>IF(E$2="Y",IF(MaGic_AVM_Land!E22=0,"",MaGic_AVM_Land!E22),"")</f>
        <v/>
      </c>
      <c r="F22" s="71" t="str">
        <f>IF(F$2="Y",IF(MaGic_AVM_Land!F22=0,"",MaGic_AVM_Land!F22),"")</f>
        <v/>
      </c>
      <c r="G22" s="71" t="str">
        <f>IF(G$2="Y",IF(MaGic_AVM_Land!G22=0,"",MaGic_AVM_Land!G22),"")</f>
        <v/>
      </c>
      <c r="H22" s="71" t="str">
        <f>IF(H$2="Y",IF(MaGic_AVM_Land!H22=0,"",MaGic_AVM_Land!H22),"")</f>
        <v/>
      </c>
      <c r="I22" s="71" t="str">
        <f>IF(I$2="Y",IF(MaGic_AVM_Land!I22=0,"",MaGic_AVM_Land!I22),"")</f>
        <v/>
      </c>
      <c r="J22" s="71" t="str">
        <f>IF(J$2="Y",IF(MaGic_AVM_Land!J22=0,"",MaGic_AVM_Land!J22),"")</f>
        <v/>
      </c>
      <c r="K22" s="71" t="str">
        <f>IF(K$2="Y",IF(MaGic_AVM_Land!K22=0,"",MaGic_AVM_Land!K22),"")</f>
        <v/>
      </c>
      <c r="L22" s="71" t="str">
        <f>IF(L$2="Y",IF(MaGic_AVM_Land!L22=0,"",MaGic_AVM_Land!L22),"")</f>
        <v/>
      </c>
      <c r="M22" s="71" t="str">
        <f>IF(M$2="Y",IF(MaGic_AVM_Land!M22=0,"",MaGic_AVM_Land!M22),"")</f>
        <v/>
      </c>
      <c r="N22" s="71" t="str">
        <f>IF(N$2="Y",IF(MaGic_AVM_Land!N22=0,"",MaGic_AVM_Land!N22),"")</f>
        <v/>
      </c>
      <c r="O22" s="71" t="str">
        <f>IF(O$2="Y",IF(MaGic_AVM_Land!O22=0,"",MaGic_AVM_Land!O22),"")</f>
        <v/>
      </c>
      <c r="P22" s="71" t="str">
        <f>IF(P$2="Y",IF(MaGic_AVM_Land!P22=0,"",MaGic_AVM_Land!P22),"")</f>
        <v/>
      </c>
      <c r="Q22" s="71" t="str">
        <f>IF(Q$2="Y",IF(MaGic_AVM_Land!Q22=0,"",MaGic_AVM_Land!Q22),"")</f>
        <v/>
      </c>
      <c r="R22" s="71" t="str">
        <f>IF(R$2="Y",IF(MaGic_AVM_Land!R22=0,"",MaGic_AVM_Land!R22),"")</f>
        <v/>
      </c>
      <c r="S22" s="71" t="str">
        <f>IF(S$2="Y",IF(MaGic_AVM_Land!S22=0,"",MaGic_AVM_Land!S22),"")</f>
        <v/>
      </c>
      <c r="T22" s="71" t="str">
        <f>IF(T$2="Y",IF(MaGic_AVM_Land!T22=0,"",MaGic_AVM_Land!T22),"")</f>
        <v/>
      </c>
      <c r="U22" s="71" t="str">
        <f>IF(U$2="Y",IF(MaGic_AVM_Land!U22=0,"",MaGic_AVM_Land!U22),"")</f>
        <v/>
      </c>
      <c r="V22" s="71" t="str">
        <f>IF(V$2="Y",IF(MaGic_AVM_Land!V22=0,"",MaGic_AVM_Land!V22),"")</f>
        <v/>
      </c>
      <c r="W22" s="71" t="str">
        <f>IF(W$2="Y",IF(MaGic_AVM_Land!W22=0,"",MaGic_AVM_Land!W22),"")</f>
        <v/>
      </c>
      <c r="X22" s="71" t="str">
        <f>IF(X$2="Y",IF(MaGic_AVM_Land!X22=0,"",MaGic_AVM_Land!X22),"")</f>
        <v/>
      </c>
      <c r="Y22" s="71" t="str">
        <f>IF(Y$2="Y",IF(MaGic_AVM_Land!Y22=0,"",MaGic_AVM_Land!Y22),"")</f>
        <v/>
      </c>
      <c r="Z22" s="71" t="str">
        <f>IF(Z$2="Y",IF(MaGic_AVM_Land!Z22=0,"",MaGic_AVM_Land!Z22),"")</f>
        <v/>
      </c>
      <c r="AA22" s="69" t="str">
        <f t="shared" si="0"/>
        <v/>
      </c>
      <c r="AB22" s="69" t="str" cm="1">
        <f t="array" ref="AB22">_xlfn.UNIQUE(C22:Z22,TRUE,FALSE)</f>
        <v/>
      </c>
    </row>
    <row r="23" spans="1:28">
      <c r="A23" s="70">
        <v>21</v>
      </c>
      <c r="B23" s="70" t="s">
        <v>83</v>
      </c>
      <c r="C23" s="70" t="str">
        <f>IF(C$2="Y",IF(MaGic_AVM_Land!C23=0,"",MaGic_AVM_Land!C23),"")</f>
        <v/>
      </c>
      <c r="D23" s="70" t="str">
        <f>IF(D$2="Y",IF(MaGic_AVM_Land!D23=0,"",MaGic_AVM_Land!D23),"")</f>
        <v/>
      </c>
      <c r="E23" s="70" t="str">
        <f>IF(E$2="Y",IF(MaGic_AVM_Land!E23=0,"",MaGic_AVM_Land!E23),"")</f>
        <v/>
      </c>
      <c r="F23" s="70" t="str">
        <f>IF(F$2="Y",IF(MaGic_AVM_Land!F23=0,"",MaGic_AVM_Land!F23),"")</f>
        <v/>
      </c>
      <c r="G23" s="70" t="str">
        <f>IF(G$2="Y",IF(MaGic_AVM_Land!G23=0,"",MaGic_AVM_Land!G23),"")</f>
        <v/>
      </c>
      <c r="H23" s="70" t="str">
        <f>IF(H$2="Y",IF(MaGic_AVM_Land!H23=0,"",MaGic_AVM_Land!H23),"")</f>
        <v/>
      </c>
      <c r="I23" s="70" t="str">
        <f>IF(I$2="Y",IF(MaGic_AVM_Land!I23=0,"",MaGic_AVM_Land!I23),"")</f>
        <v/>
      </c>
      <c r="J23" s="70" t="str">
        <f>IF(J$2="Y",IF(MaGic_AVM_Land!J23=0,"",MaGic_AVM_Land!J23),"")</f>
        <v/>
      </c>
      <c r="K23" s="70" t="str">
        <f>IF(K$2="Y",IF(MaGic_AVM_Land!K23=0,"",MaGic_AVM_Land!K23),"")</f>
        <v/>
      </c>
      <c r="L23" s="70" t="str">
        <f>IF(L$2="Y",IF(MaGic_AVM_Land!L23=0,"",MaGic_AVM_Land!L23),"")</f>
        <v/>
      </c>
      <c r="M23" s="70" t="str">
        <f>IF(M$2="Y",IF(MaGic_AVM_Land!M23=0,"",MaGic_AVM_Land!M23),"")</f>
        <v/>
      </c>
      <c r="N23" s="70" t="str">
        <f>IF(N$2="Y",IF(MaGic_AVM_Land!N23=0,"",MaGic_AVM_Land!N23),"")</f>
        <v/>
      </c>
      <c r="O23" s="70" t="str">
        <f>IF(O$2="Y",IF(MaGic_AVM_Land!O23=0,"",MaGic_AVM_Land!O23),"")</f>
        <v/>
      </c>
      <c r="P23" s="70" t="str">
        <f>IF(P$2="Y",IF(MaGic_AVM_Land!P23=0,"",MaGic_AVM_Land!P23),"")</f>
        <v/>
      </c>
      <c r="Q23" s="70" t="str">
        <f>IF(Q$2="Y",IF(MaGic_AVM_Land!Q23=0,"",MaGic_AVM_Land!Q23),"")</f>
        <v/>
      </c>
      <c r="R23" s="70" t="str">
        <f>IF(R$2="Y",IF(MaGic_AVM_Land!R23=0,"",MaGic_AVM_Land!R23),"")</f>
        <v/>
      </c>
      <c r="S23" s="70" t="str">
        <f>IF(S$2="Y",IF(MaGic_AVM_Land!S23=0,"",MaGic_AVM_Land!S23),"")</f>
        <v/>
      </c>
      <c r="T23" s="70" t="str">
        <f>IF(T$2="Y",IF(MaGic_AVM_Land!T23=0,"",MaGic_AVM_Land!T23),"")</f>
        <v/>
      </c>
      <c r="U23" s="70" t="str">
        <f>IF(U$2="Y",IF(MaGic_AVM_Land!U23=0,"",MaGic_AVM_Land!U23),"")</f>
        <v/>
      </c>
      <c r="V23" s="70" t="str">
        <f>IF(V$2="Y",IF(MaGic_AVM_Land!V23=0,"",MaGic_AVM_Land!V23),"")</f>
        <v/>
      </c>
      <c r="W23" s="70" t="str">
        <f>IF(W$2="Y",IF(MaGic_AVM_Land!W23=0,"",MaGic_AVM_Land!W23),"")</f>
        <v/>
      </c>
      <c r="X23" s="70" t="str">
        <f>IF(X$2="Y",IF(MaGic_AVM_Land!X23=0,"",MaGic_AVM_Land!X23),"")</f>
        <v/>
      </c>
      <c r="Y23" s="70" t="str">
        <f>IF(Y$2="Y",IF(MaGic_AVM_Land!Y23=0,"",MaGic_AVM_Land!Y23),"")</f>
        <v/>
      </c>
      <c r="Z23" s="70" t="str">
        <f>IF(Z$2="Y",IF(MaGic_AVM_Land!Z23=0,"",MaGic_AVM_Land!Z23),"")</f>
        <v/>
      </c>
      <c r="AA23" s="69" t="str">
        <f t="shared" si="0"/>
        <v/>
      </c>
      <c r="AB23" s="69" t="str" cm="1">
        <f t="array" ref="AB23">_xlfn.UNIQUE(C23:Z23,TRUE,FALSE)</f>
        <v/>
      </c>
    </row>
    <row r="24" spans="1:28">
      <c r="A24" s="70">
        <v>22</v>
      </c>
      <c r="B24" s="70" t="s">
        <v>84</v>
      </c>
      <c r="C24" s="70" t="str">
        <f>IF(C$2="Y",IF(MaGic_AVM_Land!C24=0,"",MaGic_AVM_Land!C24),"")</f>
        <v/>
      </c>
      <c r="D24" s="70" t="str">
        <f>IF(D$2="Y",IF(MaGic_AVM_Land!D24=0,"",MaGic_AVM_Land!D24),"")</f>
        <v/>
      </c>
      <c r="E24" s="70" t="str">
        <f>IF(E$2="Y",IF(MaGic_AVM_Land!E24=0,"",MaGic_AVM_Land!E24),"")</f>
        <v/>
      </c>
      <c r="F24" s="70" t="str">
        <f>IF(F$2="Y",IF(MaGic_AVM_Land!F24=0,"",MaGic_AVM_Land!F24),"")</f>
        <v/>
      </c>
      <c r="G24" s="70" t="str">
        <f>IF(G$2="Y",IF(MaGic_AVM_Land!G24=0,"",MaGic_AVM_Land!G24),"")</f>
        <v/>
      </c>
      <c r="H24" s="70" t="str">
        <f>IF(H$2="Y",IF(MaGic_AVM_Land!H24=0,"",MaGic_AVM_Land!H24),"")</f>
        <v/>
      </c>
      <c r="I24" s="70" t="str">
        <f>IF(I$2="Y",IF(MaGic_AVM_Land!I24=0,"",MaGic_AVM_Land!I24),"")</f>
        <v/>
      </c>
      <c r="J24" s="70" t="str">
        <f>IF(J$2="Y",IF(MaGic_AVM_Land!J24=0,"",MaGic_AVM_Land!J24),"")</f>
        <v/>
      </c>
      <c r="K24" s="70" t="str">
        <f>IF(K$2="Y",IF(MaGic_AVM_Land!K24=0,"",MaGic_AVM_Land!K24),"")</f>
        <v/>
      </c>
      <c r="L24" s="70" t="str">
        <f>IF(L$2="Y",IF(MaGic_AVM_Land!L24=0,"",MaGic_AVM_Land!L24),"")</f>
        <v/>
      </c>
      <c r="M24" s="70" t="str">
        <f>IF(M$2="Y",IF(MaGic_AVM_Land!M24=0,"",MaGic_AVM_Land!M24),"")</f>
        <v/>
      </c>
      <c r="N24" s="70" t="str">
        <f>IF(N$2="Y",IF(MaGic_AVM_Land!N24=0,"",MaGic_AVM_Land!N24),"")</f>
        <v/>
      </c>
      <c r="O24" s="70" t="str">
        <f>IF(O$2="Y",IF(MaGic_AVM_Land!O24=0,"",MaGic_AVM_Land!O24),"")</f>
        <v/>
      </c>
      <c r="P24" s="70" t="str">
        <f>IF(P$2="Y",IF(MaGic_AVM_Land!P24=0,"",MaGic_AVM_Land!P24),"")</f>
        <v/>
      </c>
      <c r="Q24" s="70" t="str">
        <f>IF(Q$2="Y",IF(MaGic_AVM_Land!Q24=0,"",MaGic_AVM_Land!Q24),"")</f>
        <v/>
      </c>
      <c r="R24" s="70" t="str">
        <f>IF(R$2="Y",IF(MaGic_AVM_Land!R24=0,"",MaGic_AVM_Land!R24),"")</f>
        <v/>
      </c>
      <c r="S24" s="70" t="str">
        <f>IF(S$2="Y",IF(MaGic_AVM_Land!S24=0,"",MaGic_AVM_Land!S24),"")</f>
        <v/>
      </c>
      <c r="T24" s="70" t="str">
        <f>IF(T$2="Y",IF(MaGic_AVM_Land!T24=0,"",MaGic_AVM_Land!T24),"")</f>
        <v/>
      </c>
      <c r="U24" s="70" t="str">
        <f>IF(U$2="Y",IF(MaGic_AVM_Land!U24=0,"",MaGic_AVM_Land!U24),"")</f>
        <v/>
      </c>
      <c r="V24" s="70" t="str">
        <f>IF(V$2="Y",IF(MaGic_AVM_Land!V24=0,"",MaGic_AVM_Land!V24),"")</f>
        <v/>
      </c>
      <c r="W24" s="70" t="str">
        <f>IF(W$2="Y",IF(MaGic_AVM_Land!W24=0,"",MaGic_AVM_Land!W24),"")</f>
        <v/>
      </c>
      <c r="X24" s="70" t="str">
        <f>IF(X$2="Y",IF(MaGic_AVM_Land!X24=0,"",MaGic_AVM_Land!X24),"")</f>
        <v/>
      </c>
      <c r="Y24" s="70" t="str">
        <f>IF(Y$2="Y",IF(MaGic_AVM_Land!Y24=0,"",MaGic_AVM_Land!Y24),"")</f>
        <v/>
      </c>
      <c r="Z24" s="70" t="str">
        <f>IF(Z$2="Y",IF(MaGic_AVM_Land!Z24=0,"",MaGic_AVM_Land!Z24),"")</f>
        <v/>
      </c>
      <c r="AA24" s="69" t="str">
        <f t="shared" si="0"/>
        <v/>
      </c>
      <c r="AB24" s="69" t="str" cm="1">
        <f t="array" ref="AB24">_xlfn.UNIQUE(C24:Z24,TRUE,FALSE)</f>
        <v/>
      </c>
    </row>
    <row r="25" spans="1:28">
      <c r="A25" s="70"/>
      <c r="B25" s="70" t="s">
        <v>168</v>
      </c>
      <c r="C25" s="70" t="str">
        <f>IF(C$2="Y",IF(MaGic_AVM_Land!C25=0,"",MaGic_AVM_Land!C25),"")</f>
        <v/>
      </c>
      <c r="D25" s="70" t="str">
        <f>IF(D$2="Y",IF(MaGic_AVM_Land!D25=0,"",MaGic_AVM_Land!D25),"")</f>
        <v/>
      </c>
      <c r="E25" s="70" t="str">
        <f>IF(E$2="Y",IF(MaGic_AVM_Land!E25=0,"",MaGic_AVM_Land!E25),"")</f>
        <v/>
      </c>
      <c r="F25" s="70" t="str">
        <f>IF(F$2="Y",IF(MaGic_AVM_Land!F25=0,"",MaGic_AVM_Land!F25),"")</f>
        <v/>
      </c>
      <c r="G25" s="70" t="str">
        <f>IF(G$2="Y",IF(MaGic_AVM_Land!G25=0,"",MaGic_AVM_Land!G25),"")</f>
        <v/>
      </c>
      <c r="H25" s="70" t="str">
        <f>IF(H$2="Y",IF(MaGic_AVM_Land!H25=0,"",MaGic_AVM_Land!H25),"")</f>
        <v/>
      </c>
      <c r="I25" s="70" t="str">
        <f>IF(I$2="Y",IF(MaGic_AVM_Land!I25=0,"",MaGic_AVM_Land!I25),"")</f>
        <v/>
      </c>
      <c r="J25" s="70" t="str">
        <f>IF(J$2="Y",IF(MaGic_AVM_Land!J25=0,"",MaGic_AVM_Land!J25),"")</f>
        <v/>
      </c>
      <c r="K25" s="70" t="str">
        <f>IF(K$2="Y",IF(MaGic_AVM_Land!K25=0,"",MaGic_AVM_Land!K25),"")</f>
        <v/>
      </c>
      <c r="L25" s="70" t="str">
        <f>IF(L$2="Y",IF(MaGic_AVM_Land!L25=0,"",MaGic_AVM_Land!L25),"")</f>
        <v/>
      </c>
      <c r="M25" s="70" t="str">
        <f>IF(M$2="Y",IF(MaGic_AVM_Land!M25=0,"",MaGic_AVM_Land!M25),"")</f>
        <v/>
      </c>
      <c r="N25" s="70" t="str">
        <f>IF(N$2="Y",IF(MaGic_AVM_Land!N25=0,"",MaGic_AVM_Land!N25),"")</f>
        <v/>
      </c>
      <c r="O25" s="70" t="str">
        <f>IF(O$2="Y",IF(MaGic_AVM_Land!O25=0,"",MaGic_AVM_Land!O25),"")</f>
        <v/>
      </c>
      <c r="P25" s="70" t="str">
        <f>IF(P$2="Y",IF(MaGic_AVM_Land!P25=0,"",MaGic_AVM_Land!P25),"")</f>
        <v/>
      </c>
      <c r="Q25" s="70" t="str">
        <f>IF(Q$2="Y",IF(MaGic_AVM_Land!Q25=0,"",MaGic_AVM_Land!Q25),"")</f>
        <v/>
      </c>
      <c r="R25" s="70" t="str">
        <f>IF(R$2="Y",IF(MaGic_AVM_Land!R25=0,"",MaGic_AVM_Land!R25),"")</f>
        <v/>
      </c>
      <c r="S25" s="70" t="str">
        <f>IF(S$2="Y",IF(MaGic_AVM_Land!S25=0,"",MaGic_AVM_Land!S25),"")</f>
        <v/>
      </c>
      <c r="T25" s="70" t="str">
        <f>IF(T$2="Y",IF(MaGic_AVM_Land!T25=0,"",MaGic_AVM_Land!T25),"")</f>
        <v/>
      </c>
      <c r="U25" s="70" t="str">
        <f>IF(U$2="Y",IF(MaGic_AVM_Land!U25=0,"",MaGic_AVM_Land!U25),"")</f>
        <v/>
      </c>
      <c r="V25" s="70" t="str">
        <f>IF(V$2="Y",IF(MaGic_AVM_Land!V25=0,"",MaGic_AVM_Land!V25),"")</f>
        <v/>
      </c>
      <c r="W25" s="70" t="str">
        <f>IF(W$2="Y",IF(MaGic_AVM_Land!W25=0,"",MaGic_AVM_Land!W25),"")</f>
        <v/>
      </c>
      <c r="X25" s="70" t="str">
        <f>IF(X$2="Y",IF(MaGic_AVM_Land!X25=0,"",MaGic_AVM_Land!X25),"")</f>
        <v/>
      </c>
      <c r="Y25" s="70" t="str">
        <f>IF(Y$2="Y",IF(MaGic_AVM_Land!Y25=0,"",MaGic_AVM_Land!Y25),"")</f>
        <v/>
      </c>
      <c r="Z25" s="70" t="str">
        <f>IF(Z$2="Y",IF(MaGic_AVM_Land!Z25=0,"",MaGic_AVM_Land!Z25),"")</f>
        <v/>
      </c>
      <c r="AA25" s="69" t="str">
        <f t="shared" si="0"/>
        <v/>
      </c>
      <c r="AB25" s="69" t="str" cm="1">
        <f t="array" ref="AB25">_xlfn.UNIQUE(C25:Z25,TRUE,FALSE)</f>
        <v/>
      </c>
    </row>
    <row r="26" spans="1:28" s="68" customFormat="1">
      <c r="A26" s="72">
        <v>24</v>
      </c>
      <c r="B26" s="72" t="s">
        <v>91</v>
      </c>
      <c r="C26" s="72" t="str">
        <f>IF(C$2="Y",IF(MaGic_AVM_Land!C26=0,"",MaGic_AVM_Land!C26),"")</f>
        <v/>
      </c>
      <c r="D26" s="72" t="str">
        <f>IF(D$2="Y",IF(MaGic_AVM_Land!D26=0,"",MaGic_AVM_Land!D26),"")</f>
        <v/>
      </c>
      <c r="E26" s="72" t="str">
        <f>IF(E$2="Y",IF(MaGic_AVM_Land!E26=0,"",MaGic_AVM_Land!E26),"")</f>
        <v/>
      </c>
      <c r="F26" s="72" t="str">
        <f>IF(F$2="Y",IF(MaGic_AVM_Land!F26=0,"",MaGic_AVM_Land!F26),"")</f>
        <v/>
      </c>
      <c r="G26" s="72" t="str">
        <f>IF(G$2="Y",IF(MaGic_AVM_Land!G26=0,"",MaGic_AVM_Land!G26),"")</f>
        <v/>
      </c>
      <c r="H26" s="72" t="str">
        <f>IF(H$2="Y",IF(MaGic_AVM_Land!H26=0,"",MaGic_AVM_Land!H26),"")</f>
        <v/>
      </c>
      <c r="I26" s="72" t="str">
        <f>IF(I$2="Y",IF(MaGic_AVM_Land!I26=0,"",MaGic_AVM_Land!I26),"")</f>
        <v/>
      </c>
      <c r="J26" s="72" t="str">
        <f>IF(J$2="Y",IF(MaGic_AVM_Land!J26=0,"",MaGic_AVM_Land!J26),"")</f>
        <v/>
      </c>
      <c r="K26" s="72" t="str">
        <f>IF(K$2="Y",IF(MaGic_AVM_Land!K26=0,"",MaGic_AVM_Land!K26),"")</f>
        <v/>
      </c>
      <c r="L26" s="72" t="str">
        <f>IF(L$2="Y",IF(MaGic_AVM_Land!L26=0,"",MaGic_AVM_Land!L26),"")</f>
        <v/>
      </c>
      <c r="M26" s="72" t="str">
        <f>IF(M$2="Y",IF(MaGic_AVM_Land!M26=0,"",MaGic_AVM_Land!M26),"")</f>
        <v/>
      </c>
      <c r="N26" s="72" t="str">
        <f>IF(N$2="Y",IF(MaGic_AVM_Land!N26=0,"",MaGic_AVM_Land!N26),"")</f>
        <v/>
      </c>
      <c r="O26" s="72" t="str">
        <f>IF(O$2="Y",IF(MaGic_AVM_Land!O26=0,"",MaGic_AVM_Land!O26),"")</f>
        <v/>
      </c>
      <c r="P26" s="72" t="str">
        <f>IF(P$2="Y",IF(MaGic_AVM_Land!P26=0,"",MaGic_AVM_Land!P26),"")</f>
        <v/>
      </c>
      <c r="Q26" s="72" t="str">
        <f>IF(Q$2="Y",IF(MaGic_AVM_Land!Q26=0,"",MaGic_AVM_Land!Q26),"")</f>
        <v/>
      </c>
      <c r="R26" s="72" t="str">
        <f>IF(R$2="Y",IF(MaGic_AVM_Land!R26=0,"",MaGic_AVM_Land!R26),"")</f>
        <v/>
      </c>
      <c r="S26" s="72" t="str">
        <f>IF(S$2="Y",IF(MaGic_AVM_Land!S26=0,"",MaGic_AVM_Land!S26),"")</f>
        <v/>
      </c>
      <c r="T26" s="72" t="str">
        <f>IF(T$2="Y",IF(MaGic_AVM_Land!T26=0,"",MaGic_AVM_Land!T26),"")</f>
        <v/>
      </c>
      <c r="U26" s="72" t="str">
        <f>IF(U$2="Y",IF(MaGic_AVM_Land!U26=0,"",MaGic_AVM_Land!U26),"")</f>
        <v/>
      </c>
      <c r="V26" s="72" t="str">
        <f>IF(V$2="Y",IF(MaGic_AVM_Land!V26=0,"",MaGic_AVM_Land!V26),"")</f>
        <v/>
      </c>
      <c r="W26" s="72" t="str">
        <f>IF(W$2="Y",IF(MaGic_AVM_Land!W26=0,"",MaGic_AVM_Land!W26),"")</f>
        <v/>
      </c>
      <c r="X26" s="72" t="str">
        <f>IF(X$2="Y",IF(MaGic_AVM_Land!X26=0,"",MaGic_AVM_Land!X26),"")</f>
        <v/>
      </c>
      <c r="Y26" s="72" t="str">
        <f>IF(Y$2="Y",IF(MaGic_AVM_Land!Y26=0,"",MaGic_AVM_Land!Y26),"")</f>
        <v/>
      </c>
      <c r="Z26" s="72" t="str">
        <f>IF(Z$2="Y",IF(MaGic_AVM_Land!Z26=0,"",MaGic_AVM_Land!Z26),"")</f>
        <v/>
      </c>
      <c r="AA26" s="69" t="str">
        <f t="shared" si="0"/>
        <v/>
      </c>
      <c r="AB26" s="69" t="str" cm="1">
        <f t="array" ref="AB26">_xlfn.UNIQUE(C26:Z26,TRUE,FALSE)</f>
        <v/>
      </c>
    </row>
    <row r="27" spans="1:28" s="68" customFormat="1">
      <c r="A27" s="72">
        <v>25</v>
      </c>
      <c r="B27" s="72" t="s">
        <v>94</v>
      </c>
      <c r="C27" s="72" t="str">
        <f>IF(C$2="Y",IF(MaGic_AVM_Land!C27=0,"",MaGic_AVM_Land!C27),"")</f>
        <v/>
      </c>
      <c r="D27" s="72" t="str">
        <f>IF(D$2="Y",IF(MaGic_AVM_Land!D27=0,"",MaGic_AVM_Land!D27),"")</f>
        <v/>
      </c>
      <c r="E27" s="72" t="str">
        <f>IF(E$2="Y",IF(MaGic_AVM_Land!E27=0,"",MaGic_AVM_Land!E27),"")</f>
        <v/>
      </c>
      <c r="F27" s="72" t="str">
        <f>IF(F$2="Y",IF(MaGic_AVM_Land!F27=0,"",MaGic_AVM_Land!F27),"")</f>
        <v/>
      </c>
      <c r="G27" s="72" t="str">
        <f>IF(G$2="Y",IF(MaGic_AVM_Land!G27=0,"",MaGic_AVM_Land!G27),"")</f>
        <v/>
      </c>
      <c r="H27" s="72" t="str">
        <f>IF(H$2="Y",IF(MaGic_AVM_Land!H27=0,"",MaGic_AVM_Land!H27),"")</f>
        <v/>
      </c>
      <c r="I27" s="72" t="str">
        <f>IF(I$2="Y",IF(MaGic_AVM_Land!I27=0,"",MaGic_AVM_Land!I27),"")</f>
        <v/>
      </c>
      <c r="J27" s="72" t="str">
        <f>IF(J$2="Y",IF(MaGic_AVM_Land!J27=0,"",MaGic_AVM_Land!J27),"")</f>
        <v/>
      </c>
      <c r="K27" s="72" t="str">
        <f>IF(K$2="Y",IF(MaGic_AVM_Land!K27=0,"",MaGic_AVM_Land!K27),"")</f>
        <v/>
      </c>
      <c r="L27" s="72" t="str">
        <f>IF(L$2="Y",IF(MaGic_AVM_Land!L27=0,"",MaGic_AVM_Land!L27),"")</f>
        <v/>
      </c>
      <c r="M27" s="72" t="str">
        <f>IF(M$2="Y",IF(MaGic_AVM_Land!M27=0,"",MaGic_AVM_Land!M27),"")</f>
        <v/>
      </c>
      <c r="N27" s="72" t="str">
        <f>IF(N$2="Y",IF(MaGic_AVM_Land!N27=0,"",MaGic_AVM_Land!N27),"")</f>
        <v/>
      </c>
      <c r="O27" s="72" t="str">
        <f>IF(O$2="Y",IF(MaGic_AVM_Land!O27=0,"",MaGic_AVM_Land!O27),"")</f>
        <v/>
      </c>
      <c r="P27" s="72" t="str">
        <f>IF(P$2="Y",IF(MaGic_AVM_Land!P27=0,"",MaGic_AVM_Land!P27),"")</f>
        <v/>
      </c>
      <c r="Q27" s="72" t="str">
        <f>IF(Q$2="Y",IF(MaGic_AVM_Land!Q27=0,"",MaGic_AVM_Land!Q27),"")</f>
        <v/>
      </c>
      <c r="R27" s="72" t="str">
        <f>IF(R$2="Y",IF(MaGic_AVM_Land!R27=0,"",MaGic_AVM_Land!R27),"")</f>
        <v/>
      </c>
      <c r="S27" s="72" t="str">
        <f>IF(S$2="Y",IF(MaGic_AVM_Land!S27=0,"",MaGic_AVM_Land!S27),"")</f>
        <v/>
      </c>
      <c r="T27" s="72" t="str">
        <f>IF(T$2="Y",IF(MaGic_AVM_Land!T27=0,"",MaGic_AVM_Land!T27),"")</f>
        <v/>
      </c>
      <c r="U27" s="72" t="str">
        <f>IF(U$2="Y",IF(MaGic_AVM_Land!U27=0,"",MaGic_AVM_Land!U27),"")</f>
        <v/>
      </c>
      <c r="V27" s="72" t="str">
        <f>IF(V$2="Y",IF(MaGic_AVM_Land!V27=0,"",MaGic_AVM_Land!V27),"")</f>
        <v/>
      </c>
      <c r="W27" s="72" t="str">
        <f>IF(W$2="Y",IF(MaGic_AVM_Land!W27=0,"",MaGic_AVM_Land!W27),"")</f>
        <v/>
      </c>
      <c r="X27" s="72" t="str">
        <f>IF(X$2="Y",IF(MaGic_AVM_Land!X27=0,"",MaGic_AVM_Land!X27),"")</f>
        <v/>
      </c>
      <c r="Y27" s="72" t="str">
        <f>IF(Y$2="Y",IF(MaGic_AVM_Land!Y27=0,"",MaGic_AVM_Land!Y27),"")</f>
        <v/>
      </c>
      <c r="Z27" s="72" t="str">
        <f>IF(Z$2="Y",IF(MaGic_AVM_Land!Z27=0,"",MaGic_AVM_Land!Z27),"")</f>
        <v/>
      </c>
      <c r="AA27" s="69" t="str">
        <f t="shared" si="0"/>
        <v/>
      </c>
      <c r="AB27" s="69" t="str" cm="1">
        <f t="array" ref="AB27">_xlfn.UNIQUE(C27:Z27,TRUE,FALSE)</f>
        <v/>
      </c>
    </row>
    <row r="28" spans="1:28" s="68" customFormat="1">
      <c r="A28" s="72">
        <v>26</v>
      </c>
      <c r="B28" s="72" t="s">
        <v>97</v>
      </c>
      <c r="C28" s="72" t="str">
        <f>IF(C$2="Y",IF(MaGic_AVM_Land!C28=0,"",MaGic_AVM_Land!C28),"")</f>
        <v/>
      </c>
      <c r="D28" s="72" t="str">
        <f>IF(D$2="Y",IF(MaGic_AVM_Land!D28=0,"",MaGic_AVM_Land!D28),"")</f>
        <v/>
      </c>
      <c r="E28" s="72" t="str">
        <f>IF(E$2="Y",IF(MaGic_AVM_Land!E28=0,"",MaGic_AVM_Land!E28),"")</f>
        <v/>
      </c>
      <c r="F28" s="72" t="str">
        <f>IF(F$2="Y",IF(MaGic_AVM_Land!F28=0,"",MaGic_AVM_Land!F28),"")</f>
        <v/>
      </c>
      <c r="G28" s="72" t="str">
        <f>IF(G$2="Y",IF(MaGic_AVM_Land!G28=0,"",MaGic_AVM_Land!G28),"")</f>
        <v/>
      </c>
      <c r="H28" s="72" t="str">
        <f>IF(H$2="Y",IF(MaGic_AVM_Land!H28=0,"",MaGic_AVM_Land!H28),"")</f>
        <v/>
      </c>
      <c r="I28" s="72" t="str">
        <f>IF(I$2="Y",IF(MaGic_AVM_Land!I28=0,"",MaGic_AVM_Land!I28),"")</f>
        <v/>
      </c>
      <c r="J28" s="72" t="str">
        <f>IF(J$2="Y",IF(MaGic_AVM_Land!J28=0,"",MaGic_AVM_Land!J28),"")</f>
        <v/>
      </c>
      <c r="K28" s="72" t="str">
        <f>IF(K$2="Y",IF(MaGic_AVM_Land!K28=0,"",MaGic_AVM_Land!K28),"")</f>
        <v/>
      </c>
      <c r="L28" s="72" t="str">
        <f>IF(L$2="Y",IF(MaGic_AVM_Land!L28=0,"",MaGic_AVM_Land!L28),"")</f>
        <v/>
      </c>
      <c r="M28" s="72" t="str">
        <f>IF(M$2="Y",IF(MaGic_AVM_Land!M28=0,"",MaGic_AVM_Land!M28),"")</f>
        <v/>
      </c>
      <c r="N28" s="72" t="str">
        <f>IF(N$2="Y",IF(MaGic_AVM_Land!N28=0,"",MaGic_AVM_Land!N28),"")</f>
        <v/>
      </c>
      <c r="O28" s="72" t="str">
        <f>IF(O$2="Y",IF(MaGic_AVM_Land!O28=0,"",MaGic_AVM_Land!O28),"")</f>
        <v/>
      </c>
      <c r="P28" s="72" t="str">
        <f>IF(P$2="Y",IF(MaGic_AVM_Land!P28=0,"",MaGic_AVM_Land!P28),"")</f>
        <v/>
      </c>
      <c r="Q28" s="72" t="str">
        <f>IF(Q$2="Y",IF(MaGic_AVM_Land!Q28=0,"",MaGic_AVM_Land!Q28),"")</f>
        <v/>
      </c>
      <c r="R28" s="72" t="str">
        <f>IF(R$2="Y",IF(MaGic_AVM_Land!R28=0,"",MaGic_AVM_Land!R28),"")</f>
        <v/>
      </c>
      <c r="S28" s="72" t="str">
        <f>IF(S$2="Y",IF(MaGic_AVM_Land!S28=0,"",MaGic_AVM_Land!S28),"")</f>
        <v/>
      </c>
      <c r="T28" s="72" t="str">
        <f>IF(T$2="Y",IF(MaGic_AVM_Land!T28=0,"",MaGic_AVM_Land!T28),"")</f>
        <v/>
      </c>
      <c r="U28" s="72" t="str">
        <f>IF(U$2="Y",IF(MaGic_AVM_Land!U28=0,"",MaGic_AVM_Land!U28),"")</f>
        <v/>
      </c>
      <c r="V28" s="72" t="str">
        <f>IF(V$2="Y",IF(MaGic_AVM_Land!V28=0,"",MaGic_AVM_Land!V28),"")</f>
        <v/>
      </c>
      <c r="W28" s="72" t="str">
        <f>IF(W$2="Y",IF(MaGic_AVM_Land!W28=0,"",MaGic_AVM_Land!W28),"")</f>
        <v/>
      </c>
      <c r="X28" s="72" t="str">
        <f>IF(X$2="Y",IF(MaGic_AVM_Land!X28=0,"",MaGic_AVM_Land!X28),"")</f>
        <v/>
      </c>
      <c r="Y28" s="72" t="str">
        <f>IF(Y$2="Y",IF(MaGic_AVM_Land!Y28=0,"",MaGic_AVM_Land!Y28),"")</f>
        <v/>
      </c>
      <c r="Z28" s="72" t="str">
        <f>IF(Z$2="Y",IF(MaGic_AVM_Land!Z28=0,"",MaGic_AVM_Land!Z28),"")</f>
        <v/>
      </c>
      <c r="AA28" s="69" t="str">
        <f t="shared" si="0"/>
        <v/>
      </c>
      <c r="AB28" s="69" t="str" cm="1">
        <f t="array" ref="AB28">_xlfn.UNIQUE(C28:Z28,TRUE,FALSE)</f>
        <v/>
      </c>
    </row>
    <row r="29" spans="1:28" s="68" customFormat="1">
      <c r="A29" s="72">
        <v>27</v>
      </c>
      <c r="B29" s="72" t="s">
        <v>100</v>
      </c>
      <c r="C29" s="72" t="str">
        <f>IF(C$2="Y",IF(MaGic_AVM_Land!C29=0,"",MaGic_AVM_Land!C29),"")</f>
        <v/>
      </c>
      <c r="D29" s="72" t="str">
        <f>IF(D$2="Y",IF(MaGic_AVM_Land!D29=0,"",MaGic_AVM_Land!D29),"")</f>
        <v/>
      </c>
      <c r="E29" s="72" t="str">
        <f>IF(E$2="Y",IF(MaGic_AVM_Land!E29=0,"",MaGic_AVM_Land!E29),"")</f>
        <v/>
      </c>
      <c r="F29" s="72" t="str">
        <f>IF(F$2="Y",IF(MaGic_AVM_Land!F29=0,"",MaGic_AVM_Land!F29),"")</f>
        <v/>
      </c>
      <c r="G29" s="72" t="str">
        <f>IF(G$2="Y",IF(MaGic_AVM_Land!G29=0,"",MaGic_AVM_Land!G29),"")</f>
        <v/>
      </c>
      <c r="H29" s="72" t="str">
        <f>IF(H$2="Y",IF(MaGic_AVM_Land!H29=0,"",MaGic_AVM_Land!H29),"")</f>
        <v/>
      </c>
      <c r="I29" s="72" t="str">
        <f>IF(I$2="Y",IF(MaGic_AVM_Land!I29=0,"",MaGic_AVM_Land!I29),"")</f>
        <v/>
      </c>
      <c r="J29" s="72" t="str">
        <f>IF(J$2="Y",IF(MaGic_AVM_Land!J29=0,"",MaGic_AVM_Land!J29),"")</f>
        <v/>
      </c>
      <c r="K29" s="72" t="str">
        <f>IF(K$2="Y",IF(MaGic_AVM_Land!K29=0,"",MaGic_AVM_Land!K29),"")</f>
        <v/>
      </c>
      <c r="L29" s="72" t="str">
        <f>IF(L$2="Y",IF(MaGic_AVM_Land!L29=0,"",MaGic_AVM_Land!L29),"")</f>
        <v/>
      </c>
      <c r="M29" s="72" t="str">
        <f>IF(M$2="Y",IF(MaGic_AVM_Land!M29=0,"",MaGic_AVM_Land!M29),"")</f>
        <v/>
      </c>
      <c r="N29" s="72" t="str">
        <f>IF(N$2="Y",IF(MaGic_AVM_Land!N29=0,"",MaGic_AVM_Land!N29),"")</f>
        <v/>
      </c>
      <c r="O29" s="72" t="str">
        <f>IF(O$2="Y",IF(MaGic_AVM_Land!O29=0,"",MaGic_AVM_Land!O29),"")</f>
        <v/>
      </c>
      <c r="P29" s="72" t="str">
        <f>IF(P$2="Y",IF(MaGic_AVM_Land!P29=0,"",MaGic_AVM_Land!P29),"")</f>
        <v/>
      </c>
      <c r="Q29" s="72" t="str">
        <f>IF(Q$2="Y",IF(MaGic_AVM_Land!Q29=0,"",MaGic_AVM_Land!Q29),"")</f>
        <v/>
      </c>
      <c r="R29" s="72" t="str">
        <f>IF(R$2="Y",IF(MaGic_AVM_Land!R29=0,"",MaGic_AVM_Land!R29),"")</f>
        <v/>
      </c>
      <c r="S29" s="72" t="str">
        <f>IF(S$2="Y",IF(MaGic_AVM_Land!S29=0,"",MaGic_AVM_Land!S29),"")</f>
        <v/>
      </c>
      <c r="T29" s="72" t="str">
        <f>IF(T$2="Y",IF(MaGic_AVM_Land!T29=0,"",MaGic_AVM_Land!T29),"")</f>
        <v/>
      </c>
      <c r="U29" s="72" t="str">
        <f>IF(U$2="Y",IF(MaGic_AVM_Land!U29=0,"",MaGic_AVM_Land!U29),"")</f>
        <v/>
      </c>
      <c r="V29" s="72" t="str">
        <f>IF(V$2="Y",IF(MaGic_AVM_Land!V29=0,"",MaGic_AVM_Land!V29),"")</f>
        <v/>
      </c>
      <c r="W29" s="72" t="str">
        <f>IF(W$2="Y",IF(MaGic_AVM_Land!W29=0,"",MaGic_AVM_Land!W29),"")</f>
        <v/>
      </c>
      <c r="X29" s="72" t="str">
        <f>IF(X$2="Y",IF(MaGic_AVM_Land!X29=0,"",MaGic_AVM_Land!X29),"")</f>
        <v/>
      </c>
      <c r="Y29" s="72" t="str">
        <f>IF(Y$2="Y",IF(MaGic_AVM_Land!Y29=0,"",MaGic_AVM_Land!Y29),"")</f>
        <v/>
      </c>
      <c r="Z29" s="72" t="str">
        <f>IF(Z$2="Y",IF(MaGic_AVM_Land!Z29=0,"",MaGic_AVM_Land!Z29),"")</f>
        <v/>
      </c>
      <c r="AA29" s="69" t="str">
        <f t="shared" si="0"/>
        <v/>
      </c>
      <c r="AB29" s="69" t="str" cm="1">
        <f t="array" ref="AB29">_xlfn.UNIQUE(C29:Z29,TRUE,FALSE)</f>
        <v/>
      </c>
    </row>
    <row r="30" spans="1:28">
      <c r="A30" s="70">
        <v>28</v>
      </c>
      <c r="B30" s="70" t="s">
        <v>175</v>
      </c>
      <c r="C30" s="70" t="str">
        <f>IF(C$2="Y",IF(MaGic_AVM_Land!C30=0,"",MaGic_AVM_Land!C30),"")</f>
        <v/>
      </c>
      <c r="D30" s="70" t="str">
        <f>IF(D$2="Y",IF(MaGic_AVM_Land!D30=0,"",MaGic_AVM_Land!D30),"")</f>
        <v/>
      </c>
      <c r="E30" s="70" t="str">
        <f>IF(E$2="Y",IF(MaGic_AVM_Land!E30=0,"",MaGic_AVM_Land!E30),"")</f>
        <v/>
      </c>
      <c r="F30" s="70" t="str">
        <f>IF(F$2="Y",IF(MaGic_AVM_Land!F30=0,"",MaGic_AVM_Land!F30),"")</f>
        <v/>
      </c>
      <c r="G30" s="70" t="str">
        <f>IF(G$2="Y",IF(MaGic_AVM_Land!G30=0,"",MaGic_AVM_Land!G30),"")</f>
        <v/>
      </c>
      <c r="H30" s="70" t="str">
        <f>IF(H$2="Y",IF(MaGic_AVM_Land!H30=0,"",MaGic_AVM_Land!H30),"")</f>
        <v/>
      </c>
      <c r="I30" s="70" t="str">
        <f>IF(I$2="Y",IF(MaGic_AVM_Land!I30=0,"",MaGic_AVM_Land!I30),"")</f>
        <v/>
      </c>
      <c r="J30" s="70" t="str">
        <f>IF(J$2="Y",IF(MaGic_AVM_Land!J30=0,"",MaGic_AVM_Land!J30),"")</f>
        <v/>
      </c>
      <c r="K30" s="70" t="str">
        <f>IF(K$2="Y",IF(MaGic_AVM_Land!K30=0,"",MaGic_AVM_Land!K30),"")</f>
        <v/>
      </c>
      <c r="L30" s="70" t="str">
        <f>IF(L$2="Y",IF(MaGic_AVM_Land!L30=0,"",MaGic_AVM_Land!L30),"")</f>
        <v/>
      </c>
      <c r="M30" s="70" t="str">
        <f>IF(M$2="Y",IF(MaGic_AVM_Land!M30=0,"",MaGic_AVM_Land!M30),"")</f>
        <v/>
      </c>
      <c r="N30" s="70" t="str">
        <f>IF(N$2="Y",IF(MaGic_AVM_Land!N30=0,"",MaGic_AVM_Land!N30),"")</f>
        <v/>
      </c>
      <c r="O30" s="70" t="str">
        <f>IF(O$2="Y",IF(MaGic_AVM_Land!O30=0,"",MaGic_AVM_Land!O30),"")</f>
        <v/>
      </c>
      <c r="P30" s="70" t="str">
        <f>IF(P$2="Y",IF(MaGic_AVM_Land!P30=0,"",MaGic_AVM_Land!P30),"")</f>
        <v/>
      </c>
      <c r="Q30" s="70" t="str">
        <f>IF(Q$2="Y",IF(MaGic_AVM_Land!Q30=0,"",MaGic_AVM_Land!Q30),"")</f>
        <v/>
      </c>
      <c r="R30" s="70" t="str">
        <f>IF(R$2="Y",IF(MaGic_AVM_Land!R30=0,"",MaGic_AVM_Land!R30),"")</f>
        <v/>
      </c>
      <c r="S30" s="70" t="str">
        <f>IF(S$2="Y",IF(MaGic_AVM_Land!S30=0,"",MaGic_AVM_Land!S30),"")</f>
        <v/>
      </c>
      <c r="T30" s="70" t="str">
        <f>IF(T$2="Y",IF(MaGic_AVM_Land!T30=0,"",MaGic_AVM_Land!T30),"")</f>
        <v/>
      </c>
      <c r="U30" s="70" t="str">
        <f>IF(U$2="Y",IF(MaGic_AVM_Land!U30=0,"",MaGic_AVM_Land!U30),"")</f>
        <v/>
      </c>
      <c r="V30" s="70" t="str">
        <f>IF(V$2="Y",IF(MaGic_AVM_Land!V30=0,"",MaGic_AVM_Land!V30),"")</f>
        <v/>
      </c>
      <c r="W30" s="70" t="str">
        <f>IF(W$2="Y",IF(MaGic_AVM_Land!W30=0,"",MaGic_AVM_Land!W30),"")</f>
        <v/>
      </c>
      <c r="X30" s="70" t="str">
        <f>IF(X$2="Y",IF(MaGic_AVM_Land!X30=0,"",MaGic_AVM_Land!X30),"")</f>
        <v/>
      </c>
      <c r="Y30" s="70" t="str">
        <f>IF(Y$2="Y",IF(MaGic_AVM_Land!Y30=0,"",MaGic_AVM_Land!Y30),"")</f>
        <v/>
      </c>
      <c r="Z30" s="70" t="str">
        <f>IF(Z$2="Y",IF(MaGic_AVM_Land!Z30=0,"",MaGic_AVM_Land!Z30),"")</f>
        <v/>
      </c>
      <c r="AA30" s="69" t="str">
        <f t="shared" si="0"/>
        <v/>
      </c>
      <c r="AB30" s="69" t="str" cm="1">
        <f t="array" ref="AB30">_xlfn.UNIQUE(C30:Z30,TRUE,FALSE)</f>
        <v/>
      </c>
    </row>
    <row r="31" spans="1:28">
      <c r="A31" s="70">
        <v>29</v>
      </c>
      <c r="B31" s="70" t="s">
        <v>1103</v>
      </c>
      <c r="C31" s="70" t="str">
        <f>IF(C$2="Y",IF(MaGic_AVM_Land!C31=0,"",MaGic_AVM_Land!C31),"")</f>
        <v/>
      </c>
      <c r="D31" s="70" t="str">
        <f>IF(D$2="Y",IF(MaGic_AVM_Land!D31=0,"",MaGic_AVM_Land!D31),"")</f>
        <v/>
      </c>
      <c r="E31" s="70" t="str">
        <f>IF(E$2="Y",IF(MaGic_AVM_Land!E31=0,"",MaGic_AVM_Land!E31),"")</f>
        <v/>
      </c>
      <c r="F31" s="70" t="str">
        <f>IF(F$2="Y",IF(MaGic_AVM_Land!F31=0,"",MaGic_AVM_Land!F31),"")</f>
        <v/>
      </c>
      <c r="G31" s="70" t="str">
        <f>IF(G$2="Y",IF(MaGic_AVM_Land!G31=0,"",MaGic_AVM_Land!G31),"")</f>
        <v/>
      </c>
      <c r="H31" s="70" t="str">
        <f>IF(H$2="Y",IF(MaGic_AVM_Land!H31=0,"",MaGic_AVM_Land!H31),"")</f>
        <v/>
      </c>
      <c r="I31" s="70" t="str">
        <f>IF(I$2="Y",IF(MaGic_AVM_Land!I31=0,"",MaGic_AVM_Land!I31),"")</f>
        <v/>
      </c>
      <c r="J31" s="70" t="str">
        <f>IF(J$2="Y",IF(MaGic_AVM_Land!J31=0,"",MaGic_AVM_Land!J31),"")</f>
        <v/>
      </c>
      <c r="K31" s="70" t="str">
        <f>IF(K$2="Y",IF(MaGic_AVM_Land!K31=0,"",MaGic_AVM_Land!K31),"")</f>
        <v/>
      </c>
      <c r="L31" s="70" t="str">
        <f>IF(L$2="Y",IF(MaGic_AVM_Land!L31=0,"",MaGic_AVM_Land!L31),"")</f>
        <v/>
      </c>
      <c r="M31" s="70" t="str">
        <f>IF(M$2="Y",IF(MaGic_AVM_Land!M31=0,"",MaGic_AVM_Land!M31),"")</f>
        <v/>
      </c>
      <c r="N31" s="70" t="str">
        <f>IF(N$2="Y",IF(MaGic_AVM_Land!N31=0,"",MaGic_AVM_Land!N31),"")</f>
        <v/>
      </c>
      <c r="O31" s="70" t="str">
        <f>IF(O$2="Y",IF(MaGic_AVM_Land!O31=0,"",MaGic_AVM_Land!O31),"")</f>
        <v/>
      </c>
      <c r="P31" s="70" t="str">
        <f>IF(P$2="Y",IF(MaGic_AVM_Land!P31=0,"",MaGic_AVM_Land!P31),"")</f>
        <v/>
      </c>
      <c r="Q31" s="70" t="str">
        <f>IF(Q$2="Y",IF(MaGic_AVM_Land!Q31=0,"",MaGic_AVM_Land!Q31),"")</f>
        <v/>
      </c>
      <c r="R31" s="70" t="str">
        <f>IF(R$2="Y",IF(MaGic_AVM_Land!R31=0,"",MaGic_AVM_Land!R31),"")</f>
        <v/>
      </c>
      <c r="S31" s="70" t="str">
        <f>IF(S$2="Y",IF(MaGic_AVM_Land!S31=0,"",MaGic_AVM_Land!S31),"")</f>
        <v/>
      </c>
      <c r="T31" s="70" t="str">
        <f>IF(T$2="Y",IF(MaGic_AVM_Land!T31=0,"",MaGic_AVM_Land!T31),"")</f>
        <v/>
      </c>
      <c r="U31" s="70" t="str">
        <f>IF(U$2="Y",IF(MaGic_AVM_Land!U31=0,"",MaGic_AVM_Land!U31),"")</f>
        <v/>
      </c>
      <c r="V31" s="70" t="str">
        <f>IF(V$2="Y",IF(MaGic_AVM_Land!V31=0,"",MaGic_AVM_Land!V31),"")</f>
        <v/>
      </c>
      <c r="W31" s="70" t="str">
        <f>IF(W$2="Y",IF(MaGic_AVM_Land!W31=0,"",MaGic_AVM_Land!W31),"")</f>
        <v/>
      </c>
      <c r="X31" s="70" t="str">
        <f>IF(X$2="Y",IF(MaGic_AVM_Land!X31=0,"",MaGic_AVM_Land!X31),"")</f>
        <v/>
      </c>
      <c r="Y31" s="70" t="str">
        <f>IF(Y$2="Y",IF(MaGic_AVM_Land!Y31=0,"",MaGic_AVM_Land!Y31),"")</f>
        <v/>
      </c>
      <c r="Z31" s="70" t="str">
        <f>IF(Z$2="Y",IF(MaGic_AVM_Land!Z31=0,"",MaGic_AVM_Land!Z31),"")</f>
        <v/>
      </c>
      <c r="AA31" s="69" t="str">
        <f t="shared" si="0"/>
        <v/>
      </c>
      <c r="AB31" s="69" t="str" cm="1">
        <f t="array" ref="AB31">_xlfn.UNIQUE(C31:Z31,TRUE,FALSE)</f>
        <v/>
      </c>
    </row>
    <row r="32" spans="1:28">
      <c r="A32" s="70">
        <v>30</v>
      </c>
      <c r="B32" s="70" t="s">
        <v>1104</v>
      </c>
      <c r="C32" s="70" t="str">
        <f>IF(C$2="Y",IF(MaGic_AVM_Land!C32=0,"",MaGic_AVM_Land!C32),"")</f>
        <v/>
      </c>
      <c r="D32" s="70" t="str">
        <f>IF(D$2="Y",IF(MaGic_AVM_Land!D32=0,"",MaGic_AVM_Land!D32),"")</f>
        <v/>
      </c>
      <c r="E32" s="70" t="str">
        <f>IF(E$2="Y",IF(MaGic_AVM_Land!E32=0,"",MaGic_AVM_Land!E32),"")</f>
        <v/>
      </c>
      <c r="F32" s="70" t="str">
        <f>IF(F$2="Y",IF(MaGic_AVM_Land!F32=0,"",MaGic_AVM_Land!F32),"")</f>
        <v/>
      </c>
      <c r="G32" s="70" t="str">
        <f>IF(G$2="Y",IF(MaGic_AVM_Land!G32=0,"",MaGic_AVM_Land!G32),"")</f>
        <v/>
      </c>
      <c r="H32" s="70" t="str">
        <f>IF(H$2="Y",IF(MaGic_AVM_Land!H32=0,"",MaGic_AVM_Land!H32),"")</f>
        <v/>
      </c>
      <c r="I32" s="70" t="str">
        <f>IF(I$2="Y",IF(MaGic_AVM_Land!I32=0,"",MaGic_AVM_Land!I32),"")</f>
        <v/>
      </c>
      <c r="J32" s="70" t="str">
        <f>IF(J$2="Y",IF(MaGic_AVM_Land!J32=0,"",MaGic_AVM_Land!J32),"")</f>
        <v/>
      </c>
      <c r="K32" s="70" t="str">
        <f>IF(K$2="Y",IF(MaGic_AVM_Land!K32=0,"",MaGic_AVM_Land!K32),"")</f>
        <v/>
      </c>
      <c r="L32" s="70" t="str">
        <f>IF(L$2="Y",IF(MaGic_AVM_Land!L32=0,"",MaGic_AVM_Land!L32),"")</f>
        <v/>
      </c>
      <c r="M32" s="70" t="str">
        <f>IF(M$2="Y",IF(MaGic_AVM_Land!M32=0,"",MaGic_AVM_Land!M32),"")</f>
        <v/>
      </c>
      <c r="N32" s="70" t="str">
        <f>IF(N$2="Y",IF(MaGic_AVM_Land!N32=0,"",MaGic_AVM_Land!N32),"")</f>
        <v/>
      </c>
      <c r="O32" s="70" t="str">
        <f>IF(O$2="Y",IF(MaGic_AVM_Land!O32=0,"",MaGic_AVM_Land!O32),"")</f>
        <v/>
      </c>
      <c r="P32" s="70" t="str">
        <f>IF(P$2="Y",IF(MaGic_AVM_Land!P32=0,"",MaGic_AVM_Land!P32),"")</f>
        <v/>
      </c>
      <c r="Q32" s="70" t="str">
        <f>IF(Q$2="Y",IF(MaGic_AVM_Land!Q32=0,"",MaGic_AVM_Land!Q32),"")</f>
        <v/>
      </c>
      <c r="R32" s="70" t="str">
        <f>IF(R$2="Y",IF(MaGic_AVM_Land!R32=0,"",MaGic_AVM_Land!R32),"")</f>
        <v/>
      </c>
      <c r="S32" s="70" t="str">
        <f>IF(S$2="Y",IF(MaGic_AVM_Land!S32=0,"",MaGic_AVM_Land!S32),"")</f>
        <v/>
      </c>
      <c r="T32" s="70" t="str">
        <f>IF(T$2="Y",IF(MaGic_AVM_Land!T32=0,"",MaGic_AVM_Land!T32),"")</f>
        <v/>
      </c>
      <c r="U32" s="70" t="str">
        <f>IF(U$2="Y",IF(MaGic_AVM_Land!U32=0,"",MaGic_AVM_Land!U32),"")</f>
        <v/>
      </c>
      <c r="V32" s="70" t="str">
        <f>IF(V$2="Y",IF(MaGic_AVM_Land!V32=0,"",MaGic_AVM_Land!V32),"")</f>
        <v/>
      </c>
      <c r="W32" s="70" t="str">
        <f>IF(W$2="Y",IF(MaGic_AVM_Land!W32=0,"",MaGic_AVM_Land!W32),"")</f>
        <v/>
      </c>
      <c r="X32" s="70" t="str">
        <f>IF(X$2="Y",IF(MaGic_AVM_Land!X32=0,"",MaGic_AVM_Land!X32),"")</f>
        <v/>
      </c>
      <c r="Y32" s="70" t="str">
        <f>IF(Y$2="Y",IF(MaGic_AVM_Land!Y32=0,"",MaGic_AVM_Land!Y32),"")</f>
        <v/>
      </c>
      <c r="Z32" s="70" t="str">
        <f>IF(Z$2="Y",IF(MaGic_AVM_Land!Z32=0,"",MaGic_AVM_Land!Z32),"")</f>
        <v/>
      </c>
      <c r="AA32" s="69">
        <f>MAX(AC32:AZ32)</f>
        <v>0</v>
      </c>
      <c r="AB32" s="69" t="str" cm="1">
        <f t="array" ref="AB32">_xlfn.UNIQUE(C32:Z32,TRUE,FALSE)</f>
        <v/>
      </c>
    </row>
    <row r="33" spans="1:28">
      <c r="A33" s="70">
        <v>31</v>
      </c>
      <c r="B33" s="70" t="s">
        <v>1105</v>
      </c>
      <c r="C33" s="70" t="str">
        <f>IF(C$2="Y",IF(MaGic_AVM_Land!C33=0,"",MaGic_AVM_Land!C33),"")</f>
        <v/>
      </c>
      <c r="D33" s="70" t="str">
        <f>IF(D$2="Y",IF(MaGic_AVM_Land!D33=0,"",MaGic_AVM_Land!D33),"")</f>
        <v/>
      </c>
      <c r="E33" s="70" t="str">
        <f>IF(E$2="Y",IF(MaGic_AVM_Land!E33=0,"",MaGic_AVM_Land!E33),"")</f>
        <v/>
      </c>
      <c r="F33" s="70" t="str">
        <f>IF(F$2="Y",IF(MaGic_AVM_Land!F33=0,"",MaGic_AVM_Land!F33),"")</f>
        <v/>
      </c>
      <c r="G33" s="70" t="str">
        <f>IF(G$2="Y",IF(MaGic_AVM_Land!G33=0,"",MaGic_AVM_Land!G33),"")</f>
        <v/>
      </c>
      <c r="H33" s="70" t="str">
        <f>IF(H$2="Y",IF(MaGic_AVM_Land!H33=0,"",MaGic_AVM_Land!H33),"")</f>
        <v/>
      </c>
      <c r="I33" s="70" t="str">
        <f>IF(I$2="Y",IF(MaGic_AVM_Land!I33=0,"",MaGic_AVM_Land!I33),"")</f>
        <v/>
      </c>
      <c r="J33" s="70" t="str">
        <f>IF(J$2="Y",IF(MaGic_AVM_Land!J33=0,"",MaGic_AVM_Land!J33),"")</f>
        <v/>
      </c>
      <c r="K33" s="70" t="str">
        <f>IF(K$2="Y",IF(MaGic_AVM_Land!K33=0,"",MaGic_AVM_Land!K33),"")</f>
        <v/>
      </c>
      <c r="L33" s="70" t="str">
        <f>IF(L$2="Y",IF(MaGic_AVM_Land!L33=0,"",MaGic_AVM_Land!L33),"")</f>
        <v/>
      </c>
      <c r="M33" s="70" t="str">
        <f>IF(M$2="Y",IF(MaGic_AVM_Land!M33=0,"",MaGic_AVM_Land!M33),"")</f>
        <v/>
      </c>
      <c r="N33" s="70" t="str">
        <f>IF(N$2="Y",IF(MaGic_AVM_Land!N33=0,"",MaGic_AVM_Land!N33),"")</f>
        <v/>
      </c>
      <c r="O33" s="70" t="str">
        <f>IF(O$2="Y",IF(MaGic_AVM_Land!O33=0,"",MaGic_AVM_Land!O33),"")</f>
        <v/>
      </c>
      <c r="P33" s="70" t="str">
        <f>IF(P$2="Y",IF(MaGic_AVM_Land!P33=0,"",MaGic_AVM_Land!P33),"")</f>
        <v/>
      </c>
      <c r="Q33" s="70" t="str">
        <f>IF(Q$2="Y",IF(MaGic_AVM_Land!Q33=0,"",MaGic_AVM_Land!Q33),"")</f>
        <v/>
      </c>
      <c r="R33" s="70" t="str">
        <f>IF(R$2="Y",IF(MaGic_AVM_Land!R33=0,"",MaGic_AVM_Land!R33),"")</f>
        <v/>
      </c>
      <c r="S33" s="70" t="str">
        <f>IF(S$2="Y",IF(MaGic_AVM_Land!S33=0,"",MaGic_AVM_Land!S33),"")</f>
        <v/>
      </c>
      <c r="T33" s="70" t="str">
        <f>IF(T$2="Y",IF(MaGic_AVM_Land!T33=0,"",MaGic_AVM_Land!T33),"")</f>
        <v/>
      </c>
      <c r="U33" s="70" t="str">
        <f>IF(U$2="Y",IF(MaGic_AVM_Land!U33=0,"",MaGic_AVM_Land!U33),"")</f>
        <v/>
      </c>
      <c r="V33" s="70" t="str">
        <f>IF(V$2="Y",IF(MaGic_AVM_Land!V33=0,"",MaGic_AVM_Land!V33),"")</f>
        <v/>
      </c>
      <c r="W33" s="70" t="str">
        <f>IF(W$2="Y",IF(MaGic_AVM_Land!W33=0,"",MaGic_AVM_Land!W33),"")</f>
        <v/>
      </c>
      <c r="X33" s="70" t="str">
        <f>IF(X$2="Y",IF(MaGic_AVM_Land!X33=0,"",MaGic_AVM_Land!X33),"")</f>
        <v/>
      </c>
      <c r="Y33" s="70" t="str">
        <f>IF(Y$2="Y",IF(MaGic_AVM_Land!Y33=0,"",MaGic_AVM_Land!Y33),"")</f>
        <v/>
      </c>
      <c r="Z33" s="70" t="str">
        <f>IF(Z$2="Y",IF(MaGic_AVM_Land!Z33=0,"",MaGic_AVM_Land!Z33),"")</f>
        <v/>
      </c>
      <c r="AA33" s="69" t="str">
        <f t="shared" si="0"/>
        <v/>
      </c>
      <c r="AB33" s="69" t="str" cm="1">
        <f t="array" ref="AB33">_xlfn.UNIQUE(C33:Z33,TRUE,FALSE)</f>
        <v/>
      </c>
    </row>
    <row r="34" spans="1:28">
      <c r="A34" s="70"/>
      <c r="B34" s="70" t="s">
        <v>110</v>
      </c>
      <c r="C34" s="70" t="str">
        <f>IF(C$2="Y",IF(MaGic_AVM_Land!C34=0,"",MaGic_AVM_Land!C34),"")</f>
        <v/>
      </c>
      <c r="D34" s="70" t="str">
        <f>IF(D$2="Y",IF(MaGic_AVM_Land!D34=0,"",MaGic_AVM_Land!D34),"")</f>
        <v/>
      </c>
      <c r="E34" s="70" t="str">
        <f>IF(E$2="Y",IF(MaGic_AVM_Land!E34=0,"",MaGic_AVM_Land!E34),"")</f>
        <v/>
      </c>
      <c r="F34" s="70" t="str">
        <f>IF(F$2="Y",IF(MaGic_AVM_Land!F34=0,"",MaGic_AVM_Land!F34),"")</f>
        <v/>
      </c>
      <c r="G34" s="70" t="str">
        <f>IF(G$2="Y",IF(MaGic_AVM_Land!G34=0,"",MaGic_AVM_Land!G34),"")</f>
        <v/>
      </c>
      <c r="H34" s="70" t="str">
        <f>IF(H$2="Y",IF(MaGic_AVM_Land!H34=0,"",MaGic_AVM_Land!H34),"")</f>
        <v/>
      </c>
      <c r="I34" s="70" t="str">
        <f>IF(I$2="Y",IF(MaGic_AVM_Land!I34=0,"",MaGic_AVM_Land!I34),"")</f>
        <v/>
      </c>
      <c r="J34" s="70" t="str">
        <f>IF(J$2="Y",IF(MaGic_AVM_Land!J34=0,"",MaGic_AVM_Land!J34),"")</f>
        <v/>
      </c>
      <c r="K34" s="70" t="str">
        <f>IF(K$2="Y",IF(MaGic_AVM_Land!K34=0,"",MaGic_AVM_Land!K34),"")</f>
        <v/>
      </c>
      <c r="L34" s="70" t="str">
        <f>IF(L$2="Y",IF(MaGic_AVM_Land!L34=0,"",MaGic_AVM_Land!L34),"")</f>
        <v/>
      </c>
      <c r="M34" s="70" t="str">
        <f>IF(M$2="Y",IF(MaGic_AVM_Land!M34=0,"",MaGic_AVM_Land!M34),"")</f>
        <v/>
      </c>
      <c r="N34" s="70" t="str">
        <f>IF(N$2="Y",IF(MaGic_AVM_Land!N34=0,"",MaGic_AVM_Land!N34),"")</f>
        <v/>
      </c>
      <c r="O34" s="70" t="str">
        <f>IF(O$2="Y",IF(MaGic_AVM_Land!O34=0,"",MaGic_AVM_Land!O34),"")</f>
        <v/>
      </c>
      <c r="P34" s="70" t="str">
        <f>IF(P$2="Y",IF(MaGic_AVM_Land!P34=0,"",MaGic_AVM_Land!P34),"")</f>
        <v/>
      </c>
      <c r="Q34" s="70" t="str">
        <f>IF(Q$2="Y",IF(MaGic_AVM_Land!Q34=0,"",MaGic_AVM_Land!Q34),"")</f>
        <v/>
      </c>
      <c r="R34" s="70" t="str">
        <f>IF(R$2="Y",IF(MaGic_AVM_Land!R34=0,"",MaGic_AVM_Land!R34),"")</f>
        <v/>
      </c>
      <c r="S34" s="70" t="str">
        <f>IF(S$2="Y",IF(MaGic_AVM_Land!S34=0,"",MaGic_AVM_Land!S34),"")</f>
        <v/>
      </c>
      <c r="T34" s="70" t="str">
        <f>IF(T$2="Y",IF(MaGic_AVM_Land!T34=0,"",MaGic_AVM_Land!T34),"")</f>
        <v/>
      </c>
      <c r="U34" s="70" t="str">
        <f>IF(U$2="Y",IF(MaGic_AVM_Land!U34=0,"",MaGic_AVM_Land!U34),"")</f>
        <v/>
      </c>
      <c r="V34" s="70" t="str">
        <f>IF(V$2="Y",IF(MaGic_AVM_Land!V34=0,"",MaGic_AVM_Land!V34),"")</f>
        <v/>
      </c>
      <c r="W34" s="70" t="str">
        <f>IF(W$2="Y",IF(MaGic_AVM_Land!W34=0,"",MaGic_AVM_Land!W34),"")</f>
        <v/>
      </c>
      <c r="X34" s="70" t="str">
        <f>IF(X$2="Y",IF(MaGic_AVM_Land!X34=0,"",MaGic_AVM_Land!X34),"")</f>
        <v/>
      </c>
      <c r="Y34" s="70" t="str">
        <f>IF(Y$2="Y",IF(MaGic_AVM_Land!Y34=0,"",MaGic_AVM_Land!Y34),"")</f>
        <v/>
      </c>
      <c r="Z34" s="70" t="str">
        <f>IF(Z$2="Y",IF(MaGic_AVM_Land!Z34=0,"",MaGic_AVM_Land!Z34),"")</f>
        <v/>
      </c>
      <c r="AA34" s="69" t="str">
        <f t="shared" si="0"/>
        <v/>
      </c>
      <c r="AB34" s="69" t="str" cm="1">
        <f t="array" ref="AB34">_xlfn.UNIQUE(C34:Z34,TRUE,FALSE)</f>
        <v/>
      </c>
    </row>
    <row r="35" spans="1:28">
      <c r="A35" s="70">
        <v>1</v>
      </c>
      <c r="B35" s="70" t="s">
        <v>1106</v>
      </c>
      <c r="C35" s="70" t="str">
        <f>IF(C$2="Y",IF(MaGic_AVM_Land!C35=0,"",MaGic_AVM_Land!C35),"")</f>
        <v/>
      </c>
      <c r="D35" s="70" t="str">
        <f>IF(D$2="Y",IF(MaGic_AVM_Land!D35=0,"",MaGic_AVM_Land!D35),"")</f>
        <v/>
      </c>
      <c r="E35" s="70" t="str">
        <f>IF(E$2="Y",IF(MaGic_AVM_Land!E35=0,"",MaGic_AVM_Land!E35),"")</f>
        <v/>
      </c>
      <c r="F35" s="70" t="str">
        <f>IF(F$2="Y",IF(MaGic_AVM_Land!F35=0,"",MaGic_AVM_Land!F35),"")</f>
        <v/>
      </c>
      <c r="G35" s="70" t="str">
        <f>IF(G$2="Y",IF(MaGic_AVM_Land!G35=0,"",MaGic_AVM_Land!G35),"")</f>
        <v/>
      </c>
      <c r="H35" s="70" t="str">
        <f>IF(H$2="Y",IF(MaGic_AVM_Land!H35=0,"",MaGic_AVM_Land!H35),"")</f>
        <v/>
      </c>
      <c r="I35" s="70" t="str">
        <f>IF(I$2="Y",IF(MaGic_AVM_Land!I35=0,"",MaGic_AVM_Land!I35),"")</f>
        <v/>
      </c>
      <c r="J35" s="70" t="str">
        <f>IF(J$2="Y",IF(MaGic_AVM_Land!J35=0,"",MaGic_AVM_Land!J35),"")</f>
        <v/>
      </c>
      <c r="K35" s="70" t="str">
        <f>IF(K$2="Y",IF(MaGic_AVM_Land!K35=0,"",MaGic_AVM_Land!K35),"")</f>
        <v/>
      </c>
      <c r="L35" s="70" t="str">
        <f>IF(L$2="Y",IF(MaGic_AVM_Land!L35=0,"",MaGic_AVM_Land!L35),"")</f>
        <v/>
      </c>
      <c r="M35" s="70" t="str">
        <f>IF(M$2="Y",IF(MaGic_AVM_Land!M35=0,"",MaGic_AVM_Land!M35),"")</f>
        <v/>
      </c>
      <c r="N35" s="70" t="str">
        <f>IF(N$2="Y",IF(MaGic_AVM_Land!N35=0,"",MaGic_AVM_Land!N35),"")</f>
        <v/>
      </c>
      <c r="O35" s="70" t="str">
        <f>IF(O$2="Y",IF(MaGic_AVM_Land!O35=0,"",MaGic_AVM_Land!O35),"")</f>
        <v/>
      </c>
      <c r="P35" s="70" t="str">
        <f>IF(P$2="Y",IF(MaGic_AVM_Land!P35=0,"",MaGic_AVM_Land!P35),"")</f>
        <v/>
      </c>
      <c r="Q35" s="70" t="str">
        <f>IF(Q$2="Y",IF(MaGic_AVM_Land!Q35=0,"",MaGic_AVM_Land!Q35),"")</f>
        <v/>
      </c>
      <c r="R35" s="70" t="str">
        <f>IF(R$2="Y",IF(MaGic_AVM_Land!R35=0,"",MaGic_AVM_Land!R35),"")</f>
        <v/>
      </c>
      <c r="S35" s="70" t="str">
        <f>IF(S$2="Y",IF(MaGic_AVM_Land!S35=0,"",MaGic_AVM_Land!S35),"")</f>
        <v/>
      </c>
      <c r="T35" s="70" t="str">
        <f>IF(T$2="Y",IF(MaGic_AVM_Land!T35=0,"",MaGic_AVM_Land!T35),"")</f>
        <v/>
      </c>
      <c r="U35" s="70" t="str">
        <f>IF(U$2="Y",IF(MaGic_AVM_Land!U35=0,"",MaGic_AVM_Land!U35),"")</f>
        <v/>
      </c>
      <c r="V35" s="70" t="str">
        <f>IF(V$2="Y",IF(MaGic_AVM_Land!V35=0,"",MaGic_AVM_Land!V35),"")</f>
        <v/>
      </c>
      <c r="W35" s="70" t="str">
        <f>IF(W$2="Y",IF(MaGic_AVM_Land!W35=0,"",MaGic_AVM_Land!W35),"")</f>
        <v/>
      </c>
      <c r="X35" s="70" t="str">
        <f>IF(X$2="Y",IF(MaGic_AVM_Land!X35=0,"",MaGic_AVM_Land!X35),"")</f>
        <v/>
      </c>
      <c r="Y35" s="70" t="str">
        <f>IF(Y$2="Y",IF(MaGic_AVM_Land!Y35=0,"",MaGic_AVM_Land!Y35),"")</f>
        <v/>
      </c>
      <c r="Z35" s="70" t="str">
        <f>IF(Z$2="Y",IF(MaGic_AVM_Land!Z35=0,"",MaGic_AVM_Land!Z35),"")</f>
        <v/>
      </c>
      <c r="AA35" s="69" t="str">
        <f t="shared" si="0"/>
        <v/>
      </c>
      <c r="AB35" s="69" t="str" cm="1">
        <f t="array" ref="AB35">_xlfn.UNIQUE(C35:Z35,TRUE,FALSE)</f>
        <v/>
      </c>
    </row>
    <row r="36" spans="1:28">
      <c r="A36" s="70">
        <v>2</v>
      </c>
      <c r="B36" s="70" t="s">
        <v>112</v>
      </c>
      <c r="C36" s="70" t="str">
        <f>IF(C$2="Y",IF(MaGic_AVM_Land!C36=0,"",MaGic_AVM_Land!C36),"")</f>
        <v/>
      </c>
      <c r="D36" s="70" t="str">
        <f>IF(D$2="Y",IF(MaGic_AVM_Land!D36=0,"",MaGic_AVM_Land!D36),"")</f>
        <v/>
      </c>
      <c r="E36" s="70" t="str">
        <f>IF(E$2="Y",IF(MaGic_AVM_Land!E36=0,"",MaGic_AVM_Land!E36),"")</f>
        <v/>
      </c>
      <c r="F36" s="70" t="str">
        <f>IF(F$2="Y",IF(MaGic_AVM_Land!F36=0,"",MaGic_AVM_Land!F36),"")</f>
        <v/>
      </c>
      <c r="G36" s="70" t="str">
        <f>IF(G$2="Y",IF(MaGic_AVM_Land!G36=0,"",MaGic_AVM_Land!G36),"")</f>
        <v/>
      </c>
      <c r="H36" s="70" t="str">
        <f>IF(H$2="Y",IF(MaGic_AVM_Land!H36=0,"",MaGic_AVM_Land!H36),"")</f>
        <v/>
      </c>
      <c r="I36" s="70" t="str">
        <f>IF(I$2="Y",IF(MaGic_AVM_Land!I36=0,"",MaGic_AVM_Land!I36),"")</f>
        <v/>
      </c>
      <c r="J36" s="70" t="str">
        <f>IF(J$2="Y",IF(MaGic_AVM_Land!J36=0,"",MaGic_AVM_Land!J36),"")</f>
        <v/>
      </c>
      <c r="K36" s="70" t="str">
        <f>IF(K$2="Y",IF(MaGic_AVM_Land!K36=0,"",MaGic_AVM_Land!K36),"")</f>
        <v/>
      </c>
      <c r="L36" s="70" t="str">
        <f>IF(L$2="Y",IF(MaGic_AVM_Land!L36=0,"",MaGic_AVM_Land!L36),"")</f>
        <v/>
      </c>
      <c r="M36" s="70" t="str">
        <f>IF(M$2="Y",IF(MaGic_AVM_Land!M36=0,"",MaGic_AVM_Land!M36),"")</f>
        <v/>
      </c>
      <c r="N36" s="70" t="str">
        <f>IF(N$2="Y",IF(MaGic_AVM_Land!N36=0,"",MaGic_AVM_Land!N36),"")</f>
        <v/>
      </c>
      <c r="O36" s="70" t="str">
        <f>IF(O$2="Y",IF(MaGic_AVM_Land!O36=0,"",MaGic_AVM_Land!O36),"")</f>
        <v/>
      </c>
      <c r="P36" s="70" t="str">
        <f>IF(P$2="Y",IF(MaGic_AVM_Land!P36=0,"",MaGic_AVM_Land!P36),"")</f>
        <v/>
      </c>
      <c r="Q36" s="70" t="str">
        <f>IF(Q$2="Y",IF(MaGic_AVM_Land!Q36=0,"",MaGic_AVM_Land!Q36),"")</f>
        <v/>
      </c>
      <c r="R36" s="70" t="str">
        <f>IF(R$2="Y",IF(MaGic_AVM_Land!R36=0,"",MaGic_AVM_Land!R36),"")</f>
        <v/>
      </c>
      <c r="S36" s="70" t="str">
        <f>IF(S$2="Y",IF(MaGic_AVM_Land!S36=0,"",MaGic_AVM_Land!S36),"")</f>
        <v/>
      </c>
      <c r="T36" s="70" t="str">
        <f>IF(T$2="Y",IF(MaGic_AVM_Land!T36=0,"",MaGic_AVM_Land!T36),"")</f>
        <v/>
      </c>
      <c r="U36" s="70" t="str">
        <f>IF(U$2="Y",IF(MaGic_AVM_Land!U36=0,"",MaGic_AVM_Land!U36),"")</f>
        <v/>
      </c>
      <c r="V36" s="70" t="str">
        <f>IF(V$2="Y",IF(MaGic_AVM_Land!V36=0,"",MaGic_AVM_Land!V36),"")</f>
        <v/>
      </c>
      <c r="W36" s="70" t="str">
        <f>IF(W$2="Y",IF(MaGic_AVM_Land!W36=0,"",MaGic_AVM_Land!W36),"")</f>
        <v/>
      </c>
      <c r="X36" s="70" t="str">
        <f>IF(X$2="Y",IF(MaGic_AVM_Land!X36=0,"",MaGic_AVM_Land!X36),"")</f>
        <v/>
      </c>
      <c r="Y36" s="70" t="str">
        <f>IF(Y$2="Y",IF(MaGic_AVM_Land!Y36=0,"",MaGic_AVM_Land!Y36),"")</f>
        <v/>
      </c>
      <c r="Z36" s="70" t="str">
        <f>IF(Z$2="Y",IF(MaGic_AVM_Land!Z36=0,"",MaGic_AVM_Land!Z36),"")</f>
        <v/>
      </c>
      <c r="AA36" s="69" t="str">
        <f t="shared" si="0"/>
        <v/>
      </c>
      <c r="AB36" s="69" t="str" cm="1">
        <f t="array" ref="AB36">_xlfn.UNIQUE(C36:Z36,TRUE,FALSE)</f>
        <v/>
      </c>
    </row>
    <row r="37" spans="1:28">
      <c r="A37" s="70">
        <v>3</v>
      </c>
      <c r="B37" s="70" t="s">
        <v>113</v>
      </c>
      <c r="C37" s="70" t="str">
        <f>IF(C$2="Y",IF(MaGic_AVM_Land!C37=0,"",MaGic_AVM_Land!C37),"")</f>
        <v/>
      </c>
      <c r="D37" s="70" t="str">
        <f>IF(D$2="Y",IF(MaGic_AVM_Land!D37=0,"",MaGic_AVM_Land!D37),"")</f>
        <v/>
      </c>
      <c r="E37" s="70" t="str">
        <f>IF(E$2="Y",IF(MaGic_AVM_Land!E37=0,"",MaGic_AVM_Land!E37),"")</f>
        <v/>
      </c>
      <c r="F37" s="70" t="str">
        <f>IF(F$2="Y",IF(MaGic_AVM_Land!F37=0,"",MaGic_AVM_Land!F37),"")</f>
        <v/>
      </c>
      <c r="G37" s="70" t="str">
        <f>IF(G$2="Y",IF(MaGic_AVM_Land!G37=0,"",MaGic_AVM_Land!G37),"")</f>
        <v/>
      </c>
      <c r="H37" s="70" t="str">
        <f>IF(H$2="Y",IF(MaGic_AVM_Land!H37=0,"",MaGic_AVM_Land!H37),"")</f>
        <v/>
      </c>
      <c r="I37" s="70" t="str">
        <f>IF(I$2="Y",IF(MaGic_AVM_Land!I37=0,"",MaGic_AVM_Land!I37),"")</f>
        <v/>
      </c>
      <c r="J37" s="70" t="str">
        <f>IF(J$2="Y",IF(MaGic_AVM_Land!J37=0,"",MaGic_AVM_Land!J37),"")</f>
        <v/>
      </c>
      <c r="K37" s="70" t="str">
        <f>IF(K$2="Y",IF(MaGic_AVM_Land!K37=0,"",MaGic_AVM_Land!K37),"")</f>
        <v/>
      </c>
      <c r="L37" s="70" t="str">
        <f>IF(L$2="Y",IF(MaGic_AVM_Land!L37=0,"",MaGic_AVM_Land!L37),"")</f>
        <v/>
      </c>
      <c r="M37" s="70" t="str">
        <f>IF(M$2="Y",IF(MaGic_AVM_Land!M37=0,"",MaGic_AVM_Land!M37),"")</f>
        <v/>
      </c>
      <c r="N37" s="70" t="str">
        <f>IF(N$2="Y",IF(MaGic_AVM_Land!N37=0,"",MaGic_AVM_Land!N37),"")</f>
        <v/>
      </c>
      <c r="O37" s="70" t="str">
        <f>IF(O$2="Y",IF(MaGic_AVM_Land!O37=0,"",MaGic_AVM_Land!O37),"")</f>
        <v/>
      </c>
      <c r="P37" s="70" t="str">
        <f>IF(P$2="Y",IF(MaGic_AVM_Land!P37=0,"",MaGic_AVM_Land!P37),"")</f>
        <v/>
      </c>
      <c r="Q37" s="70" t="str">
        <f>IF(Q$2="Y",IF(MaGic_AVM_Land!Q37=0,"",MaGic_AVM_Land!Q37),"")</f>
        <v/>
      </c>
      <c r="R37" s="70" t="str">
        <f>IF(R$2="Y",IF(MaGic_AVM_Land!R37=0,"",MaGic_AVM_Land!R37),"")</f>
        <v/>
      </c>
      <c r="S37" s="70" t="str">
        <f>IF(S$2="Y",IF(MaGic_AVM_Land!S37=0,"",MaGic_AVM_Land!S37),"")</f>
        <v/>
      </c>
      <c r="T37" s="70" t="str">
        <f>IF(T$2="Y",IF(MaGic_AVM_Land!T37=0,"",MaGic_AVM_Land!T37),"")</f>
        <v/>
      </c>
      <c r="U37" s="70" t="str">
        <f>IF(U$2="Y",IF(MaGic_AVM_Land!U37=0,"",MaGic_AVM_Land!U37),"")</f>
        <v/>
      </c>
      <c r="V37" s="70" t="str">
        <f>IF(V$2="Y",IF(MaGic_AVM_Land!V37=0,"",MaGic_AVM_Land!V37),"")</f>
        <v/>
      </c>
      <c r="W37" s="70" t="str">
        <f>IF(W$2="Y",IF(MaGic_AVM_Land!W37=0,"",MaGic_AVM_Land!W37),"")</f>
        <v/>
      </c>
      <c r="X37" s="70" t="str">
        <f>IF(X$2="Y",IF(MaGic_AVM_Land!X37=0,"",MaGic_AVM_Land!X37),"")</f>
        <v/>
      </c>
      <c r="Y37" s="70" t="str">
        <f>IF(Y$2="Y",IF(MaGic_AVM_Land!Y37=0,"",MaGic_AVM_Land!Y37),"")</f>
        <v/>
      </c>
      <c r="Z37" s="70" t="str">
        <f>IF(Z$2="Y",IF(MaGic_AVM_Land!Z37=0,"",MaGic_AVM_Land!Z37),"")</f>
        <v/>
      </c>
      <c r="AA37" s="69" t="str">
        <f t="shared" si="0"/>
        <v/>
      </c>
      <c r="AB37" s="69" t="str" cm="1">
        <f t="array" ref="AB37">_xlfn.UNIQUE(C37:Z37,TRUE,FALSE)</f>
        <v/>
      </c>
    </row>
    <row r="38" spans="1:28">
      <c r="A38" s="70">
        <v>4</v>
      </c>
      <c r="B38" s="70" t="s">
        <v>114</v>
      </c>
      <c r="C38" s="70"/>
      <c r="D38" s="70"/>
      <c r="E38" s="70"/>
      <c r="F38" s="70"/>
      <c r="G38" s="70"/>
      <c r="H38" s="70"/>
      <c r="I38" s="70"/>
      <c r="J38" s="70"/>
      <c r="K38" s="70"/>
      <c r="L38" s="70"/>
      <c r="M38" s="70"/>
      <c r="N38" s="70"/>
      <c r="O38" s="70"/>
      <c r="P38" s="70"/>
      <c r="Q38" s="70"/>
      <c r="R38" s="70"/>
      <c r="S38" s="70"/>
      <c r="T38" s="70"/>
      <c r="U38" s="70"/>
      <c r="V38" s="70"/>
      <c r="W38" s="70"/>
      <c r="X38" s="70"/>
      <c r="Y38" s="70"/>
      <c r="Z38" s="70"/>
      <c r="AA38" s="69" t="str">
        <f t="shared" si="0"/>
        <v>0</v>
      </c>
      <c r="AB38" s="69" cm="1">
        <f t="array" ref="AB38">_xlfn.UNIQUE(C38:Z38,TRUE,FALSE)</f>
        <v>0</v>
      </c>
    </row>
    <row r="39" spans="1:28">
      <c r="A39" s="70">
        <v>5</v>
      </c>
      <c r="B39" s="70" t="s">
        <v>115</v>
      </c>
      <c r="C39" s="70"/>
      <c r="D39" s="70"/>
      <c r="E39" s="70"/>
      <c r="F39" s="70"/>
      <c r="G39" s="70"/>
      <c r="H39" s="70"/>
      <c r="I39" s="70"/>
      <c r="J39" s="70"/>
      <c r="K39" s="70"/>
      <c r="L39" s="70"/>
      <c r="M39" s="70"/>
      <c r="N39" s="70"/>
      <c r="O39" s="70"/>
      <c r="P39" s="70"/>
      <c r="Q39" s="70"/>
      <c r="R39" s="70"/>
      <c r="S39" s="70"/>
      <c r="T39" s="70"/>
      <c r="U39" s="70"/>
      <c r="V39" s="70"/>
      <c r="W39" s="70"/>
      <c r="X39" s="70"/>
      <c r="Y39" s="70"/>
      <c r="Z39" s="70"/>
      <c r="AA39" s="69" t="str">
        <f t="shared" si="0"/>
        <v>0</v>
      </c>
      <c r="AB39" s="69" cm="1">
        <f t="array" ref="AB39">_xlfn.UNIQUE(C39:Z39,TRUE,FALSE)</f>
        <v>0</v>
      </c>
    </row>
    <row r="40" spans="1:28">
      <c r="A40" s="70">
        <v>6</v>
      </c>
      <c r="B40" s="70" t="s">
        <v>116</v>
      </c>
      <c r="C40" s="70"/>
      <c r="D40" s="70"/>
      <c r="E40" s="70"/>
      <c r="F40" s="70"/>
      <c r="G40" s="70"/>
      <c r="H40" s="70"/>
      <c r="I40" s="70"/>
      <c r="J40" s="70"/>
      <c r="K40" s="70"/>
      <c r="L40" s="70"/>
      <c r="M40" s="70"/>
      <c r="N40" s="70"/>
      <c r="O40" s="70"/>
      <c r="P40" s="70"/>
      <c r="Q40" s="70"/>
      <c r="R40" s="70"/>
      <c r="S40" s="70"/>
      <c r="T40" s="70"/>
      <c r="U40" s="70"/>
      <c r="V40" s="70"/>
      <c r="W40" s="70"/>
      <c r="X40" s="70"/>
      <c r="Y40" s="70"/>
      <c r="Z40" s="70"/>
      <c r="AA40" s="69" t="str">
        <f t="shared" si="0"/>
        <v>0</v>
      </c>
      <c r="AB40" s="69" cm="1">
        <f t="array" ref="AB40">_xlfn.UNIQUE(C40:Z40,TRUE,FALSE)</f>
        <v>0</v>
      </c>
    </row>
    <row r="41" spans="1:28">
      <c r="A41" s="70"/>
      <c r="B41" s="70" t="s">
        <v>117</v>
      </c>
      <c r="C41" s="70"/>
      <c r="D41" s="70"/>
      <c r="E41" s="70"/>
      <c r="F41" s="70"/>
      <c r="G41" s="70"/>
      <c r="H41" s="70"/>
      <c r="I41" s="70"/>
      <c r="J41" s="70"/>
      <c r="K41" s="70"/>
      <c r="L41" s="70"/>
      <c r="M41" s="70"/>
      <c r="N41" s="70"/>
      <c r="O41" s="70"/>
      <c r="P41" s="70"/>
      <c r="Q41" s="70"/>
      <c r="R41" s="70"/>
      <c r="S41" s="70"/>
      <c r="T41" s="70"/>
      <c r="U41" s="70"/>
      <c r="V41" s="70"/>
      <c r="W41" s="70"/>
      <c r="X41" s="70"/>
      <c r="Y41" s="70"/>
      <c r="Z41" s="70"/>
      <c r="AA41" s="69" t="str">
        <f t="shared" si="0"/>
        <v>0</v>
      </c>
      <c r="AB41" s="69" cm="1">
        <f t="array" ref="AB41">_xlfn.UNIQUE(C41:Z41,TRUE,FALSE)</f>
        <v>0</v>
      </c>
    </row>
    <row r="42" spans="1:28">
      <c r="A42" s="70">
        <v>1</v>
      </c>
      <c r="B42" s="70" t="s">
        <v>118</v>
      </c>
      <c r="C42" s="70"/>
      <c r="D42" s="70"/>
      <c r="E42" s="70"/>
      <c r="F42" s="70"/>
      <c r="G42" s="70"/>
      <c r="H42" s="70"/>
      <c r="I42" s="70"/>
      <c r="J42" s="70"/>
      <c r="K42" s="70"/>
      <c r="L42" s="70"/>
      <c r="M42" s="70"/>
      <c r="N42" s="70"/>
      <c r="O42" s="70"/>
      <c r="P42" s="70"/>
      <c r="Q42" s="70"/>
      <c r="R42" s="70"/>
      <c r="S42" s="70"/>
      <c r="T42" s="70"/>
      <c r="U42" s="70"/>
      <c r="V42" s="70"/>
      <c r="W42" s="70"/>
      <c r="X42" s="70"/>
      <c r="Y42" s="70"/>
      <c r="Z42" s="70"/>
      <c r="AA42" s="69" t="str">
        <f t="shared" si="0"/>
        <v>0</v>
      </c>
      <c r="AB42" s="69" cm="1">
        <f t="array" ref="AB42">_xlfn.UNIQUE(C42:Z42,TRUE,FALSE)</f>
        <v>0</v>
      </c>
    </row>
    <row r="43" spans="1:28">
      <c r="A43" s="70">
        <v>2</v>
      </c>
      <c r="B43" s="70" t="s">
        <v>119</v>
      </c>
      <c r="C43" s="70"/>
      <c r="D43" s="70"/>
      <c r="E43" s="70"/>
      <c r="F43" s="70"/>
      <c r="G43" s="70"/>
      <c r="H43" s="70"/>
      <c r="I43" s="70"/>
      <c r="J43" s="70"/>
      <c r="K43" s="70"/>
      <c r="L43" s="70"/>
      <c r="M43" s="70"/>
      <c r="N43" s="70"/>
      <c r="O43" s="70"/>
      <c r="P43" s="70"/>
      <c r="Q43" s="70"/>
      <c r="R43" s="70"/>
      <c r="S43" s="70"/>
      <c r="T43" s="70"/>
      <c r="U43" s="70"/>
      <c r="V43" s="70"/>
      <c r="W43" s="70"/>
      <c r="X43" s="70"/>
      <c r="Y43" s="70"/>
      <c r="Z43" s="70"/>
      <c r="AA43" s="69" t="str">
        <f t="shared" si="0"/>
        <v>0</v>
      </c>
      <c r="AB43" s="69" cm="1">
        <f t="array" ref="AB43">_xlfn.UNIQUE(C43:Z43,TRUE,FALSE)</f>
        <v>0</v>
      </c>
    </row>
    <row r="44" spans="1:28">
      <c r="A44" s="70">
        <v>3</v>
      </c>
      <c r="B44" s="70" t="s">
        <v>120</v>
      </c>
      <c r="C44" s="70"/>
      <c r="D44" s="70"/>
      <c r="E44" s="70"/>
      <c r="F44" s="70"/>
      <c r="G44" s="70"/>
      <c r="H44" s="70"/>
      <c r="I44" s="70"/>
      <c r="J44" s="70"/>
      <c r="K44" s="70"/>
      <c r="L44" s="70"/>
      <c r="M44" s="70"/>
      <c r="N44" s="70"/>
      <c r="O44" s="70"/>
      <c r="P44" s="70"/>
      <c r="Q44" s="70"/>
      <c r="R44" s="70"/>
      <c r="S44" s="70"/>
      <c r="T44" s="70"/>
      <c r="U44" s="70"/>
      <c r="V44" s="70"/>
      <c r="W44" s="70"/>
      <c r="X44" s="70"/>
      <c r="Y44" s="70"/>
      <c r="Z44" s="70"/>
      <c r="AA44" s="69" t="str">
        <f t="shared" si="0"/>
        <v>0</v>
      </c>
      <c r="AB44" s="69" cm="1">
        <f t="array" ref="AB44">_xlfn.UNIQUE(C44:Z44,TRUE,FALSE)</f>
        <v>0</v>
      </c>
    </row>
    <row r="45" spans="1:28">
      <c r="A45" s="70">
        <v>4</v>
      </c>
      <c r="B45" s="70" t="s">
        <v>121</v>
      </c>
      <c r="C45" s="70"/>
      <c r="D45" s="70"/>
      <c r="E45" s="70"/>
      <c r="F45" s="70"/>
      <c r="G45" s="70"/>
      <c r="H45" s="70"/>
      <c r="I45" s="70"/>
      <c r="J45" s="70"/>
      <c r="K45" s="70"/>
      <c r="L45" s="70"/>
      <c r="M45" s="70"/>
      <c r="N45" s="70"/>
      <c r="O45" s="70"/>
      <c r="P45" s="70"/>
      <c r="Q45" s="70"/>
      <c r="R45" s="70"/>
      <c r="S45" s="70"/>
      <c r="T45" s="70"/>
      <c r="U45" s="70"/>
      <c r="V45" s="70"/>
      <c r="W45" s="70"/>
      <c r="X45" s="70"/>
      <c r="Y45" s="70"/>
      <c r="Z45" s="70"/>
      <c r="AA45" s="69" t="str">
        <f t="shared" si="0"/>
        <v>0</v>
      </c>
      <c r="AB45" s="69" cm="1">
        <f t="array" ref="AB45">_xlfn.UNIQUE(C45:Z45,TRUE,FALSE)</f>
        <v>0</v>
      </c>
    </row>
    <row r="46" spans="1:28" ht="48" customHeight="1"/>
    <row r="47" spans="1:28" hidden="1"/>
    <row r="48" spans="1:2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spans="3:30" hidden="1"/>
    <row r="98" spans="3:30" hidden="1"/>
    <row r="99" spans="3:30" hidden="1"/>
    <row r="100" spans="3:30" hidden="1"/>
    <row r="101" spans="3:30" ht="170.25" customHeight="1">
      <c r="C101" s="19" t="str">
        <f>IF(C23="","",CONCATENATE(C23," Ares of land in ",IF(C20="","",CONCATENATE($B$20,C20,", ")),IF(C21="","",CONCATENATE($B$21,C21,", ")),IF(C22="","",CONCATENATE($B$22,C22,", ")),IF(C17="","",CONCATENATE($B$17,C17,", ")),IF(C18="","",CONCATENATE($B$18,C18,", ")),IF(C19="","",CONCATENATE($B$19,C19,", ")),IF(C14="","",CONCATENATE($B$14,C14,", ")),IF(C15="","",CONCATENATE($B$15,C15,", ")),IF(C16="","",CONCATENATE($B$16,C16))))</f>
        <v/>
      </c>
      <c r="D101" s="19" t="str">
        <f>IF(D23="","",CONCATENATE(D23," Ares of land in ",IF(D20="","",CONCATENATE($B$20,D20,", ")),IF(D21="","",CONCATENATE($B$21,D21,", ")),IF(D22="","",CONCATENATE($B$22,D22,", ")),IF(D17="","",CONCATENATE($B$17,D17,", ")),IF(D18="","",CONCATENATE($B$18,D18,", ")),IF(D19="","",CONCATENATE($B$19,D19,", ")),IF(D14="","",CONCATENATE($B$14,D14,", ")),IF(D15="","",CONCATENATE($B$15,D15,", ")),IF(D16="","",CONCATENATE($B$16,D16))))</f>
        <v/>
      </c>
      <c r="E101" s="19" t="str">
        <f t="shared" ref="E101:Z101" si="1">IF(E23="","",CONCATENATE(E23," Ares of land in ",IF(E20="","",CONCATENATE($B$20,E20,", ")),IF(E21="","",CONCATENATE($B$21,E21,", ")),IF(E22="","",CONCATENATE($B$22,E22,", ")),IF(E17="","",CONCATENATE($B$17,E17,", ")),IF(E18="","",CONCATENATE($B$18,E18,", ")),IF(E19="","",CONCATENATE($B$19,E19,", ")),IF(E14="","",CONCATENATE($B$14,E14,", ")),IF(E15="","",CONCATENATE($B$15,E15,", ")),IF(E16="","",CONCATENATE($B$16,E16))))</f>
        <v/>
      </c>
      <c r="F101" s="19" t="str">
        <f t="shared" si="1"/>
        <v/>
      </c>
      <c r="G101" s="19" t="str">
        <f t="shared" si="1"/>
        <v/>
      </c>
      <c r="H101" s="19" t="str">
        <f t="shared" si="1"/>
        <v/>
      </c>
      <c r="I101" s="19" t="str">
        <f t="shared" si="1"/>
        <v/>
      </c>
      <c r="J101" s="19" t="str">
        <f t="shared" si="1"/>
        <v/>
      </c>
      <c r="K101" s="19" t="str">
        <f t="shared" si="1"/>
        <v/>
      </c>
      <c r="L101" s="19" t="str">
        <f t="shared" si="1"/>
        <v/>
      </c>
      <c r="M101" s="19" t="str">
        <f t="shared" si="1"/>
        <v/>
      </c>
      <c r="N101" s="19" t="str">
        <f t="shared" si="1"/>
        <v/>
      </c>
      <c r="O101" s="19" t="str">
        <f t="shared" si="1"/>
        <v/>
      </c>
      <c r="P101" s="19" t="str">
        <f t="shared" si="1"/>
        <v/>
      </c>
      <c r="Q101" s="19" t="str">
        <f t="shared" si="1"/>
        <v/>
      </c>
      <c r="R101" s="19" t="str">
        <f t="shared" si="1"/>
        <v/>
      </c>
      <c r="S101" s="19" t="str">
        <f t="shared" si="1"/>
        <v/>
      </c>
      <c r="T101" s="19" t="str">
        <f t="shared" si="1"/>
        <v/>
      </c>
      <c r="U101" s="19" t="str">
        <f t="shared" si="1"/>
        <v/>
      </c>
      <c r="V101" s="19" t="str">
        <f t="shared" si="1"/>
        <v/>
      </c>
      <c r="W101" s="19" t="str">
        <f t="shared" si="1"/>
        <v/>
      </c>
      <c r="X101" s="19" t="str">
        <f t="shared" si="1"/>
        <v/>
      </c>
      <c r="Y101" s="19" t="str">
        <f t="shared" si="1"/>
        <v/>
      </c>
      <c r="Z101" s="19" t="str">
        <f t="shared" si="1"/>
        <v/>
      </c>
      <c r="AA101" s="19" t="str">
        <f>_xlfn.TEXTJOIN(" and ",TRUE,C101:Z101)</f>
        <v/>
      </c>
    </row>
    <row r="102" spans="3:30">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v>0</v>
      </c>
      <c r="AA102" s="19" t="s">
        <v>212</v>
      </c>
    </row>
    <row r="103" spans="3:30">
      <c r="Z103" s="19">
        <v>1</v>
      </c>
      <c r="AA103" s="19" t="str">
        <f>CONCATENATE(AA101," located in ",AA11,", ",AA10,", ",AA8,". ")</f>
        <v>located in , , .</v>
      </c>
    </row>
    <row r="104" spans="3:30" ht="146.25" customHeight="1">
      <c r="Z104" s="69">
        <v>2</v>
      </c>
      <c r="AA104" s="19" t="str">
        <f>CONCATENATE("A total of ",AA23," ares of land, comprising ",AA101," located in ",AA11,", ",AA10,", ",AA8,". ")</f>
        <v>A total of  ares of land, comprising  located in , , .</v>
      </c>
    </row>
    <row r="105" spans="3:30" ht="84.65" customHeight="1">
      <c r="Y105" s="477" t="s">
        <v>1107</v>
      </c>
      <c r="Z105" s="477"/>
      <c r="AA105" s="467" t="str">
        <f>IF(AA2&gt;2,AA104,VLOOKUP(AA2,Z102:AA104,2,FALSE))</f>
        <v>NA</v>
      </c>
    </row>
    <row r="106" spans="3:30">
      <c r="Y106" s="477"/>
      <c r="Z106" s="477"/>
      <c r="AA106" s="467"/>
    </row>
    <row r="107" spans="3:30" ht="79.150000000000006" customHeight="1">
      <c r="D107" s="69">
        <v>0</v>
      </c>
      <c r="W107" s="69" t="s">
        <v>102</v>
      </c>
      <c r="X107" s="69">
        <v>1</v>
      </c>
      <c r="Y107" s="477" t="str">
        <f>IF(ISNUMBER(SEARCH("Nil",$AA$30)),1,"0")</f>
        <v>0</v>
      </c>
      <c r="Z107" s="477"/>
      <c r="AA107" s="66" t="s">
        <v>1147</v>
      </c>
      <c r="AB107" s="66"/>
      <c r="AC107" s="19"/>
      <c r="AD107" s="19"/>
    </row>
    <row r="108" spans="3:30" ht="53.15" customHeight="1">
      <c r="W108" s="69" t="s">
        <v>103</v>
      </c>
      <c r="X108" s="69">
        <v>2</v>
      </c>
      <c r="Y108" s="477" t="str">
        <f>IF(ISNUMBER(SEARCH("Footway",$AA$30)),2,"0")</f>
        <v>0</v>
      </c>
      <c r="Z108" s="477"/>
      <c r="AA108" s="66" t="str">
        <f>_xlfn.TEXTJOIN(" ",TRUE,AB108:AD108)</f>
        <v>As per the site condition, the property has pedestrian access only. However, No information regarding the width of the access is available since this is not demarcated. This private road is used by</v>
      </c>
      <c r="AB108" s="66" t="s">
        <v>1148</v>
      </c>
      <c r="AC108" s="19" t="str">
        <f>IF($AA$32=0,"However, No information regarding the width of the access is available since this is not demarcated.",CONCATENATE("This has a width of ",$AA$32," meters."))</f>
        <v>However, No information regarding the width of the access is available since this is not demarcated.</v>
      </c>
      <c r="AD108" s="19" t="str">
        <f>CONCATENATE("This private road is used by ",$AA$31)</f>
        <v>This private road is used by</v>
      </c>
    </row>
    <row r="109" spans="3:30" ht="72.5">
      <c r="W109" s="69" t="s">
        <v>104</v>
      </c>
      <c r="X109" s="69">
        <v>3</v>
      </c>
      <c r="Y109" s="477" t="str">
        <f>IF(ISNUMBER(SEARCH("Private",$AA$30)),3,"0")</f>
        <v>0</v>
      </c>
      <c r="Z109" s="477"/>
      <c r="AA109" s="66" t="str">
        <f>_xlfn.TEXTJOIN(" ",TRUE,AB109:AD109)</f>
        <v>As per the site condition as on date, indicates that the property has access over a private road. However, No information regarding the width of the private road is available since the road is not demarcated. This private road is used by</v>
      </c>
      <c r="AB109" s="19" t="s">
        <v>1149</v>
      </c>
      <c r="AC109" s="19" t="str">
        <f>IF($AA$32=0,"However, No information regarding the width of the private road is available since the road is not demarcated.",CONCATENATE("This road has a width of ",$AA$32," meters."))</f>
        <v>However, No information regarding the width of the private road is available since the road is not demarcated.</v>
      </c>
      <c r="AD109" s="19" t="str">
        <f>CONCATENATE("This private road is used by ",$AA$31)</f>
        <v>This private road is used by</v>
      </c>
    </row>
    <row r="110" spans="3:30" ht="72.5">
      <c r="W110" s="69" t="s">
        <v>203</v>
      </c>
      <c r="X110" s="69">
        <v>4</v>
      </c>
      <c r="Y110" s="477" t="str">
        <f>IF(ISNUMBER(SEARCH("Panchayat",$AA$30)),4,"0")</f>
        <v>0</v>
      </c>
      <c r="Z110" s="477"/>
      <c r="AA110" s="66" t="str">
        <f>_xlfn.TEXTJOIN(" ",TRUE,AB110:AC110)</f>
        <v>As per the site condition, access to the property is provided by a Panchayat road. However, No information regarding the width of the Panchayat road is available since the road is not demarcated.</v>
      </c>
      <c r="AB110" s="66" t="s">
        <v>1150</v>
      </c>
      <c r="AC110" s="19" t="str">
        <f>IF($AA$32=0,"However, No information regarding the width of the Panchayat road is available since the road is not demarcated.",CONCATENATE("This road has a width of ",$AA$32," meters."))</f>
        <v>However, No information regarding the width of the Panchayat road is available since the road is not demarcated.</v>
      </c>
    </row>
    <row r="111" spans="3:30" ht="72.5">
      <c r="W111" s="69" t="s">
        <v>196</v>
      </c>
      <c r="X111" s="69">
        <v>5</v>
      </c>
      <c r="Y111" s="477" t="str">
        <f>IF(ISNUMBER(SEARCH("Municipality",$AA$30)),5,"0")</f>
        <v>0</v>
      </c>
      <c r="Z111" s="477"/>
      <c r="AA111" s="66" t="str">
        <f>_xlfn.TEXTJOIN(" ",TRUE,AB111:AC111)</f>
        <v>As per the site condition, access to the property is provided by a Municipality road. However, No information regarding the width of the Municipality road is available since the road is not demarcated.</v>
      </c>
      <c r="AB111" s="66" t="s">
        <v>1151</v>
      </c>
      <c r="AC111" s="19" t="str">
        <f>IF($AA$32=0,"However, No information regarding the width of the Municipality road is available since the road is not demarcated.",CONCATENATE("This road has a width of ",$AA$32," meters."))</f>
        <v>However, No information regarding the width of the Municipality road is available since the road is not demarcated.</v>
      </c>
    </row>
    <row r="112" spans="3:30" ht="72.5">
      <c r="W112" s="69" t="s">
        <v>188</v>
      </c>
      <c r="X112" s="69">
        <v>6</v>
      </c>
      <c r="Y112" s="477" t="str">
        <f>IF(ISNUMBER(SEARCH("Corporation",$AA$30)),6,"0")</f>
        <v>0</v>
      </c>
      <c r="Z112" s="477"/>
      <c r="AA112" s="66" t="str">
        <f>_xlfn.TEXTJOIN(" ",TRUE,AB112:AC112)</f>
        <v>As per the site condition, access to the property is provided by a Corporation road. However, No information regarding the width of the Corporation road is available since the road is not demarcated.</v>
      </c>
      <c r="AB112" s="66" t="s">
        <v>1152</v>
      </c>
      <c r="AC112" s="19" t="str">
        <f>IF($AA$32=0,"However, No information regarding the width of the Corporation road is available since the road is not demarcated.",CONCATENATE("This road has a width of ",$AA$32," meters."))</f>
        <v>However, No information regarding the width of the Corporation road is available since the road is not demarcated.</v>
      </c>
    </row>
    <row r="113" spans="23:29" ht="29">
      <c r="W113" s="69" t="s">
        <v>218</v>
      </c>
      <c r="X113" s="69">
        <v>7</v>
      </c>
      <c r="Y113" s="477" t="str">
        <f>IF(ISNUMBER(SEARCH("PWD",$AA$30)),7,"0")</f>
        <v>0</v>
      </c>
      <c r="Z113" s="477"/>
      <c r="AA113" s="66" t="s">
        <v>1153</v>
      </c>
      <c r="AB113" s="66"/>
      <c r="AC113" s="19"/>
    </row>
    <row r="114" spans="23:29" ht="29">
      <c r="W114" s="69" t="s">
        <v>221</v>
      </c>
      <c r="X114" s="69">
        <v>8</v>
      </c>
      <c r="Y114" s="477" t="str">
        <f>IF(ISNUMBER(SEARCH("SH",$AA$30)),8,"0")</f>
        <v>0</v>
      </c>
      <c r="Z114" s="477"/>
      <c r="AA114" s="66" t="s">
        <v>1154</v>
      </c>
      <c r="AB114" s="66"/>
      <c r="AC114" s="19"/>
    </row>
    <row r="115" spans="23:29" ht="29">
      <c r="W115" s="69" t="s">
        <v>224</v>
      </c>
      <c r="X115" s="69">
        <v>9</v>
      </c>
      <c r="Y115" s="477" t="str">
        <f>IF(ISNUMBER(SEARCH("NH",$AA$30)),9,"0")</f>
        <v>0</v>
      </c>
      <c r="Z115" s="477"/>
      <c r="AA115" s="66" t="s">
        <v>1155</v>
      </c>
      <c r="AB115" s="66"/>
      <c r="AC115" s="19"/>
    </row>
    <row r="116" spans="23:29" ht="65.650000000000006" customHeight="1">
      <c r="W116" s="69" t="s">
        <v>1120</v>
      </c>
      <c r="Y116" s="477">
        <f>MAX(Y107:Z115)</f>
        <v>0</v>
      </c>
      <c r="Z116" s="477"/>
      <c r="AA116" s="19" t="e">
        <f>VLOOKUP(Y116,X107:AA115,4,FALSE)</f>
        <v>#N/A</v>
      </c>
    </row>
    <row r="117" spans="23:29" ht="115.5" customHeight="1">
      <c r="X117" s="19"/>
      <c r="Y117" s="477"/>
      <c r="Z117" s="477"/>
    </row>
  </sheetData>
  <mergeCells count="13">
    <mergeCell ref="Y117:Z117"/>
    <mergeCell ref="AA105:AA106"/>
    <mergeCell ref="Y105:Z106"/>
    <mergeCell ref="Y112:Z112"/>
    <mergeCell ref="Y113:Z113"/>
    <mergeCell ref="Y114:Z114"/>
    <mergeCell ref="Y115:Z115"/>
    <mergeCell ref="Y116:Z116"/>
    <mergeCell ref="Y107:Z107"/>
    <mergeCell ref="Y108:Z108"/>
    <mergeCell ref="Y109:Z109"/>
    <mergeCell ref="Y110:Z110"/>
    <mergeCell ref="Y111:Z11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5"/>
  <dimension ref="B1:D25"/>
  <sheetViews>
    <sheetView workbookViewId="0"/>
  </sheetViews>
  <sheetFormatPr defaultColWidth="20.7265625" defaultRowHeight="30" customHeight="1"/>
  <cols>
    <col min="1" max="2" width="20.7265625" style="19"/>
    <col min="3" max="3" width="23.26953125" style="19" customWidth="1"/>
    <col min="4" max="16384" width="20.7265625" style="19"/>
  </cols>
  <sheetData>
    <row r="1" spans="2:4" s="67" customFormat="1" ht="30" customHeight="1">
      <c r="B1" s="67" t="s">
        <v>172</v>
      </c>
      <c r="C1" s="67" t="s">
        <v>166</v>
      </c>
    </row>
    <row r="2" spans="2:4" ht="30" customHeight="1">
      <c r="B2" s="19" t="str">
        <f>AVMDropdown!B2</f>
        <v>Agreement</v>
      </c>
      <c r="C2" s="19" t="str">
        <f>'01.AGRMT'!AA105</f>
        <v>2.07 Ares of land from Re-Sy No.254, Re-Sy Sub-Div No.21-2 located in Veilyoor Village, Thiruvanthupuram Taluk, Thiruvanthapuram District.</v>
      </c>
      <c r="D2" s="19" t="str">
        <f>'01.AGRMT'!AA105</f>
        <v>2.07 Ares of land from Re-Sy No.254, Re-Sy Sub-Div No.21-2 located in Veilyoor Village, Thiruvanthupuram Taluk, Thiruvanthapuram District.</v>
      </c>
    </row>
    <row r="3" spans="2:4" ht="30" customHeight="1">
      <c r="B3" s="19" t="str">
        <f>AVMDropdown!B3</f>
        <v>Title Deed</v>
      </c>
      <c r="C3" s="19" t="str">
        <f>'02.OTD'!AA105</f>
        <v>2.1 Ares of land in Re-Sy Block No.3, Re-Sy No.254, Re-Sy Sub-Div No.2-1 located in  Village,  Taluk,  District.</v>
      </c>
    </row>
    <row r="4" spans="2:4" ht="30" customHeight="1">
      <c r="B4" s="19" t="str">
        <f>AVMDropdown!B4</f>
        <v>Land Tax Receipt</v>
      </c>
      <c r="C4" s="19" t="str">
        <f>'03.LTR'!AA105</f>
        <v>4.15 Ares of land in Re-Sy Block No.3, Re-Sy No.254, Re-Sy Sub-Div No.21-2  located in Veilyoor Village, Thiruvanthupuram Taluk, Thiruvanthapuram District.</v>
      </c>
    </row>
    <row r="5" spans="2:4" ht="30" customHeight="1">
      <c r="B5" s="19" t="str">
        <f>AVMDropdown!B5</f>
        <v>Possession Certificate</v>
      </c>
      <c r="C5" s="19" t="str">
        <f>'04.POSN'!$AA$105</f>
        <v>0.79 Ares of land in Re-Sy Block No.3, Re-Sy No.254, Re-Sy Sub-Div No.21 located in  Village,  Taluk,  District.</v>
      </c>
    </row>
    <row r="6" spans="2:4" ht="30" customHeight="1">
      <c r="B6" s="19" t="str">
        <f>AVMDropdown!B6</f>
        <v>TIR Report</v>
      </c>
      <c r="C6" s="19" t="str">
        <f>'05.TIR'!$AA$105</f>
        <v>NA</v>
      </c>
    </row>
    <row r="7" spans="2:4" ht="30" customHeight="1">
      <c r="B7" s="19" t="str">
        <f>AVMDropdown!B7</f>
        <v>Location Sketch</v>
      </c>
      <c r="C7" s="19" t="str">
        <f>'06.BPER'!$AA$105</f>
        <v>NA</v>
      </c>
    </row>
    <row r="8" spans="2:4" ht="30" customHeight="1">
      <c r="B8" s="19" t="str">
        <f>AVMDropdown!B8</f>
        <v>Survey Sketch</v>
      </c>
      <c r="C8" s="19" t="str">
        <f>'07.DPER'!$AA$105</f>
        <v>NA</v>
      </c>
    </row>
    <row r="9" spans="2:4" ht="30" customHeight="1">
      <c r="B9" s="19" t="str">
        <f>AVMDropdown!B9</f>
        <v>Building Permit</v>
      </c>
      <c r="C9" s="19" t="s">
        <v>212</v>
      </c>
    </row>
    <row r="10" spans="2:4" ht="30" customHeight="1">
      <c r="B10" s="19" t="str">
        <f>AVMDropdown!B11</f>
        <v>Approved Plan</v>
      </c>
      <c r="C10" s="19" t="s">
        <v>212</v>
      </c>
    </row>
    <row r="11" spans="2:4" ht="30" customHeight="1">
      <c r="B11" s="19" t="str">
        <f>AVMDropdown!B12</f>
        <v>Engineers Plan</v>
      </c>
      <c r="C11" s="19" t="s">
        <v>212</v>
      </c>
    </row>
    <row r="12" spans="2:4" ht="30" customHeight="1">
      <c r="B12" s="19" t="str">
        <f>AVMDropdown!B13</f>
        <v>Building Tax Receipt</v>
      </c>
      <c r="C12" s="19" t="s">
        <v>212</v>
      </c>
    </row>
    <row r="13" spans="2:4" ht="30" customHeight="1">
      <c r="B13" s="19" t="str">
        <f>AVMDropdown!B14</f>
        <v>Building Certificate</v>
      </c>
      <c r="C13" s="19" t="s">
        <v>212</v>
      </c>
    </row>
    <row r="14" spans="2:4" ht="30" customHeight="1">
      <c r="B14" s="19" t="str">
        <f>AVMDropdown!B15</f>
        <v>Site Inspection</v>
      </c>
      <c r="C14" s="19" t="s">
        <v>212</v>
      </c>
    </row>
    <row r="15" spans="2:4" ht="30" customHeight="1">
      <c r="B15" s="19" t="str">
        <f>AVMDropdown!B10</f>
        <v>Development Permit</v>
      </c>
      <c r="C15" s="19" t="s">
        <v>212</v>
      </c>
    </row>
    <row r="16" spans="2:4" ht="30" customHeight="1">
      <c r="B16" s="19" t="str">
        <f>AVMDropdown!B16</f>
        <v>Sale Declaration</v>
      </c>
      <c r="C16" s="19" t="str">
        <f>'01B.SDEC'!$AA$105</f>
        <v>NA</v>
      </c>
    </row>
    <row r="17" spans="2:2" ht="30" customHeight="1">
      <c r="B17" s="19">
        <f>AVMDropdown!B17</f>
        <v>0</v>
      </c>
    </row>
    <row r="18" spans="2:2" ht="30" customHeight="1">
      <c r="B18" s="19" t="str">
        <f>AVMDropdown!B19</f>
        <v>Trivandrum Airport</v>
      </c>
    </row>
    <row r="19" spans="2:2" ht="30" customHeight="1">
      <c r="B19" s="19" t="str">
        <f>AVMDropdown!B20</f>
        <v>Kochi Airport</v>
      </c>
    </row>
    <row r="20" spans="2:2" ht="30" customHeight="1">
      <c r="B20" s="19" t="str">
        <f>AVMDropdown!B21</f>
        <v>Calicut</v>
      </c>
    </row>
    <row r="21" spans="2:2" ht="30" customHeight="1">
      <c r="B21" s="19" t="str">
        <f>AVMDropdown!B22</f>
        <v>Kannur Airport</v>
      </c>
    </row>
    <row r="22" spans="2:2" ht="30" customHeight="1">
      <c r="B22" s="19" t="str">
        <f>AVMDropdown!B37</f>
        <v>Property Location</v>
      </c>
    </row>
    <row r="23" spans="2:2" ht="30" customHeight="1">
      <c r="B23" s="19">
        <f>AVMDropdown!B38</f>
        <v>0</v>
      </c>
    </row>
    <row r="24" spans="2:2" ht="30" customHeight="1">
      <c r="B24" s="19">
        <f>AVMDropdown!B39</f>
        <v>0</v>
      </c>
    </row>
    <row r="25" spans="2:2" ht="30" customHeight="1">
      <c r="B25" s="19">
        <f>AVMDropdown!B40</f>
        <v>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4"/>
  <dimension ref="A1:AR26"/>
  <sheetViews>
    <sheetView workbookViewId="0">
      <selection activeCell="E7" sqref="E7"/>
    </sheetView>
  </sheetViews>
  <sheetFormatPr defaultColWidth="17.7265625" defaultRowHeight="14.5"/>
  <cols>
    <col min="1" max="4" width="17.7265625" style="19"/>
    <col min="5" max="5" width="23.26953125" style="19" customWidth="1"/>
    <col min="6" max="6" width="22.453125" style="19" customWidth="1"/>
    <col min="7" max="8" width="17.7265625" style="19"/>
    <col min="9" max="9" width="24" style="19" customWidth="1"/>
    <col min="10" max="10" width="19.26953125" style="19" customWidth="1"/>
    <col min="11" max="11" width="17.7265625" style="19"/>
    <col min="12" max="12" width="21" style="19" customWidth="1"/>
    <col min="13" max="13" width="17.7265625" style="19"/>
    <col min="14" max="14" width="21.453125" style="19" customWidth="1"/>
    <col min="15" max="15" width="25.7265625" style="19" customWidth="1"/>
    <col min="16" max="16" width="22.7265625" style="19" customWidth="1"/>
    <col min="17" max="18" width="17.7265625" style="19"/>
    <col min="19" max="19" width="30.54296875" style="19" customWidth="1"/>
    <col min="20" max="25" width="17.7265625" style="19"/>
    <col min="26" max="27" width="29.26953125" style="19" customWidth="1"/>
    <col min="28" max="28" width="17.7265625" style="19"/>
    <col min="29" max="29" width="19.7265625" style="19" customWidth="1"/>
    <col min="30" max="16384" width="17.7265625" style="19"/>
  </cols>
  <sheetData>
    <row r="1" spans="1:44" ht="72.5">
      <c r="A1" s="19" t="s">
        <v>1156</v>
      </c>
      <c r="B1" s="19" t="s">
        <v>1157</v>
      </c>
      <c r="C1" s="19" t="s">
        <v>31</v>
      </c>
      <c r="D1" s="19" t="s">
        <v>1158</v>
      </c>
      <c r="E1" s="19" t="s">
        <v>1159</v>
      </c>
      <c r="F1" s="19" t="s">
        <v>547</v>
      </c>
      <c r="G1" s="19" t="s">
        <v>1160</v>
      </c>
      <c r="H1" s="19" t="s">
        <v>43</v>
      </c>
      <c r="I1" s="19" t="s">
        <v>1161</v>
      </c>
      <c r="J1" s="19" t="s">
        <v>1162</v>
      </c>
      <c r="K1" s="19" t="s">
        <v>1163</v>
      </c>
      <c r="L1" s="19" t="s">
        <v>65</v>
      </c>
      <c r="M1" s="19" t="s">
        <v>1164</v>
      </c>
      <c r="N1" s="19" t="s">
        <v>1165</v>
      </c>
      <c r="O1" s="19" t="s">
        <v>1166</v>
      </c>
      <c r="P1" s="19" t="s">
        <v>1167</v>
      </c>
      <c r="Q1" s="19" t="s">
        <v>1168</v>
      </c>
      <c r="R1" s="19" t="s">
        <v>1169</v>
      </c>
      <c r="S1" s="19" t="s">
        <v>1170</v>
      </c>
      <c r="T1" s="19" t="s">
        <v>1171</v>
      </c>
      <c r="U1" s="19" t="s">
        <v>1172</v>
      </c>
      <c r="V1" s="19" t="s">
        <v>1173</v>
      </c>
      <c r="W1" s="19" t="s">
        <v>1174</v>
      </c>
      <c r="X1" s="19" t="s">
        <v>1175</v>
      </c>
      <c r="Y1" s="19" t="s">
        <v>1176</v>
      </c>
      <c r="Z1" s="19" t="s">
        <v>1177</v>
      </c>
      <c r="AA1" s="19" t="s">
        <v>1178</v>
      </c>
      <c r="AB1" s="19" t="s">
        <v>1179</v>
      </c>
      <c r="AC1" s="19" t="s">
        <v>1180</v>
      </c>
      <c r="AE1" s="19" t="s">
        <v>1181</v>
      </c>
      <c r="AF1" s="19" t="s">
        <v>1182</v>
      </c>
      <c r="AG1" s="19" t="s">
        <v>1183</v>
      </c>
      <c r="AH1" s="19" t="s">
        <v>1184</v>
      </c>
      <c r="AI1" s="19" t="s">
        <v>1185</v>
      </c>
      <c r="AJ1" s="19" t="s">
        <v>1186</v>
      </c>
      <c r="AK1" s="19" t="s">
        <v>1187</v>
      </c>
      <c r="AL1" s="19" t="s">
        <v>1188</v>
      </c>
      <c r="AM1" s="19" t="s">
        <v>1189</v>
      </c>
      <c r="AN1" s="19" t="s">
        <v>1188</v>
      </c>
      <c r="AO1" s="19" t="s">
        <v>1189</v>
      </c>
      <c r="AP1" s="19" t="s">
        <v>1190</v>
      </c>
      <c r="AQ1" s="19" t="s">
        <v>63</v>
      </c>
      <c r="AR1" s="19" t="s">
        <v>31</v>
      </c>
    </row>
    <row r="2" spans="1:44" ht="29">
      <c r="A2" s="19" t="s">
        <v>1191</v>
      </c>
      <c r="B2" s="19" t="s">
        <v>1191</v>
      </c>
      <c r="C2" s="19" t="s">
        <v>680</v>
      </c>
      <c r="D2" s="19" t="s">
        <v>1192</v>
      </c>
      <c r="E2" s="19" t="s">
        <v>178</v>
      </c>
      <c r="F2" s="19" t="s">
        <v>30</v>
      </c>
      <c r="G2" s="19" t="s">
        <v>1193</v>
      </c>
      <c r="H2" s="19" t="s">
        <v>1194</v>
      </c>
      <c r="I2" s="19" t="s">
        <v>226</v>
      </c>
      <c r="J2" s="19" t="s">
        <v>1195</v>
      </c>
      <c r="K2" s="19" t="s">
        <v>1196</v>
      </c>
      <c r="L2" s="19" t="s">
        <v>181</v>
      </c>
      <c r="M2" s="19" t="s">
        <v>1197</v>
      </c>
      <c r="N2" s="19" t="s">
        <v>87</v>
      </c>
      <c r="O2" s="19" t="s">
        <v>1196</v>
      </c>
      <c r="P2" s="19" t="s">
        <v>1198</v>
      </c>
      <c r="Q2" s="19" t="s">
        <v>1199</v>
      </c>
      <c r="R2" s="19" t="s">
        <v>571</v>
      </c>
      <c r="S2" s="19" t="s">
        <v>571</v>
      </c>
      <c r="T2" s="19" t="s">
        <v>1200</v>
      </c>
      <c r="U2" s="19" t="s">
        <v>1201</v>
      </c>
      <c r="V2" s="19" t="s">
        <v>1202</v>
      </c>
      <c r="W2" s="19" t="s">
        <v>1203</v>
      </c>
      <c r="X2" s="19" t="s">
        <v>1204</v>
      </c>
      <c r="Y2" s="19" t="s">
        <v>1205</v>
      </c>
      <c r="Z2" s="19" t="s">
        <v>1206</v>
      </c>
      <c r="AA2" s="19" t="s">
        <v>1207</v>
      </c>
      <c r="AB2" s="19" t="s">
        <v>1208</v>
      </c>
      <c r="AC2" s="19" t="s">
        <v>1196</v>
      </c>
      <c r="AE2" s="19" t="s">
        <v>1209</v>
      </c>
      <c r="AF2" s="19" t="s">
        <v>1210</v>
      </c>
      <c r="AG2" s="19" t="s">
        <v>1211</v>
      </c>
      <c r="AH2" s="19" t="s">
        <v>13</v>
      </c>
      <c r="AI2" s="19" t="s">
        <v>1212</v>
      </c>
      <c r="AJ2" s="19" t="s">
        <v>1213</v>
      </c>
      <c r="AK2" s="19" t="s">
        <v>1214</v>
      </c>
      <c r="AL2" s="19" t="s">
        <v>205</v>
      </c>
      <c r="AM2" s="19" t="s">
        <v>1215</v>
      </c>
      <c r="AN2" s="19" t="s">
        <v>205</v>
      </c>
      <c r="AO2" s="19" t="s">
        <v>1215</v>
      </c>
      <c r="AP2" s="19" t="s">
        <v>1208</v>
      </c>
      <c r="AQ2" s="19" t="s">
        <v>1216</v>
      </c>
      <c r="AR2" s="19" t="s">
        <v>1217</v>
      </c>
    </row>
    <row r="3" spans="1:44" ht="43.5">
      <c r="A3" s="19" t="s">
        <v>1218</v>
      </c>
      <c r="B3" s="19" t="s">
        <v>1219</v>
      </c>
      <c r="C3" s="19" t="s">
        <v>677</v>
      </c>
      <c r="D3" s="19" t="s">
        <v>1220</v>
      </c>
      <c r="E3" s="19" t="s">
        <v>1221</v>
      </c>
      <c r="F3" s="19" t="s">
        <v>1222</v>
      </c>
      <c r="G3" s="19" t="s">
        <v>1223</v>
      </c>
      <c r="H3" s="19" t="s">
        <v>1224</v>
      </c>
      <c r="I3" s="19" t="s">
        <v>228</v>
      </c>
      <c r="J3" s="19" t="s">
        <v>1225</v>
      </c>
      <c r="K3" s="19" t="s">
        <v>1226</v>
      </c>
      <c r="L3" s="19" t="s">
        <v>188</v>
      </c>
      <c r="M3" s="19" t="s">
        <v>1164</v>
      </c>
      <c r="N3" s="19" t="s">
        <v>85</v>
      </c>
      <c r="O3" s="19" t="s">
        <v>1226</v>
      </c>
      <c r="P3" s="19" t="s">
        <v>1227</v>
      </c>
      <c r="Q3" s="19" t="s">
        <v>1228</v>
      </c>
      <c r="R3" s="19" t="s">
        <v>1229</v>
      </c>
      <c r="S3" s="19" t="s">
        <v>1229</v>
      </c>
      <c r="T3" s="19" t="s">
        <v>1230</v>
      </c>
      <c r="U3" s="19" t="s">
        <v>1230</v>
      </c>
      <c r="V3" s="19" t="s">
        <v>1231</v>
      </c>
      <c r="W3" s="19" t="s">
        <v>1232</v>
      </c>
      <c r="X3" s="19" t="s">
        <v>1233</v>
      </c>
      <c r="Y3" s="19" t="s">
        <v>1234</v>
      </c>
      <c r="Z3" s="19" t="s">
        <v>1235</v>
      </c>
      <c r="AA3" s="19" t="s">
        <v>1236</v>
      </c>
      <c r="AB3" s="19" t="s">
        <v>1237</v>
      </c>
      <c r="AC3" s="19" t="s">
        <v>1226</v>
      </c>
      <c r="AE3" s="19" t="s">
        <v>1238</v>
      </c>
      <c r="AF3" s="19" t="s">
        <v>1239</v>
      </c>
      <c r="AG3" s="19" t="s">
        <v>1240</v>
      </c>
      <c r="AH3" s="19" t="s">
        <v>1241</v>
      </c>
      <c r="AI3" s="19" t="s">
        <v>1242</v>
      </c>
      <c r="AJ3" s="19" t="s">
        <v>1243</v>
      </c>
      <c r="AK3" s="19" t="s">
        <v>1244</v>
      </c>
      <c r="AL3" s="19" t="s">
        <v>1245</v>
      </c>
      <c r="AM3" s="19" t="s">
        <v>1246</v>
      </c>
      <c r="AN3" s="19" t="s">
        <v>1245</v>
      </c>
      <c r="AO3" s="19" t="s">
        <v>1246</v>
      </c>
      <c r="AP3" s="19" t="s">
        <v>1237</v>
      </c>
      <c r="AQ3" s="19" t="s">
        <v>1247</v>
      </c>
      <c r="AR3" s="19" t="s">
        <v>1217</v>
      </c>
    </row>
    <row r="4" spans="1:44" ht="72.5">
      <c r="A4" s="19" t="s">
        <v>1248</v>
      </c>
      <c r="B4" s="19" t="s">
        <v>1218</v>
      </c>
      <c r="C4" s="19" t="s">
        <v>678</v>
      </c>
      <c r="D4" s="19" t="s">
        <v>1249</v>
      </c>
      <c r="E4" s="19" t="s">
        <v>1250</v>
      </c>
      <c r="F4" s="19" t="s">
        <v>1251</v>
      </c>
      <c r="G4" s="19" t="s">
        <v>1252</v>
      </c>
      <c r="H4" s="19" t="s">
        <v>1224</v>
      </c>
      <c r="L4" s="19" t="s">
        <v>196</v>
      </c>
      <c r="M4" s="19" t="s">
        <v>1253</v>
      </c>
      <c r="N4" s="19" t="s">
        <v>86</v>
      </c>
      <c r="P4" s="19" t="s">
        <v>1254</v>
      </c>
      <c r="Q4" s="19" t="s">
        <v>1255</v>
      </c>
      <c r="R4" s="19" t="s">
        <v>1256</v>
      </c>
      <c r="S4" s="19" t="s">
        <v>1256</v>
      </c>
      <c r="T4" s="19" t="s">
        <v>1257</v>
      </c>
      <c r="U4" s="19" t="s">
        <v>1257</v>
      </c>
      <c r="V4" s="19" t="s">
        <v>1258</v>
      </c>
      <c r="W4" s="19" t="s">
        <v>1259</v>
      </c>
      <c r="X4" s="19" t="s">
        <v>1260</v>
      </c>
      <c r="Y4" s="19" t="s">
        <v>1261</v>
      </c>
      <c r="Z4" s="19" t="s">
        <v>1262</v>
      </c>
      <c r="AA4" s="19" t="s">
        <v>102</v>
      </c>
      <c r="AB4" s="19" t="s">
        <v>1263</v>
      </c>
      <c r="AE4" s="19" t="s">
        <v>1264</v>
      </c>
      <c r="AF4" s="19" t="s">
        <v>1265</v>
      </c>
      <c r="AG4" s="19" t="s">
        <v>1266</v>
      </c>
      <c r="AH4" s="19" t="s">
        <v>1267</v>
      </c>
      <c r="AI4" s="19" t="s">
        <v>1268</v>
      </c>
      <c r="AJ4" s="19" t="s">
        <v>1269</v>
      </c>
      <c r="AK4" s="19" t="s">
        <v>1270</v>
      </c>
      <c r="AL4" s="19" t="s">
        <v>1271</v>
      </c>
      <c r="AM4" s="19" t="s">
        <v>1272</v>
      </c>
      <c r="AN4" s="19" t="s">
        <v>1271</v>
      </c>
      <c r="AO4" s="19" t="s">
        <v>1272</v>
      </c>
      <c r="AP4" s="19" t="s">
        <v>554</v>
      </c>
      <c r="AQ4" s="19" t="s">
        <v>1273</v>
      </c>
      <c r="AR4" s="19" t="s">
        <v>1217</v>
      </c>
    </row>
    <row r="5" spans="1:44" ht="58">
      <c r="A5" s="19" t="s">
        <v>1274</v>
      </c>
      <c r="B5" s="19" t="s">
        <v>38</v>
      </c>
      <c r="C5" s="19" t="s">
        <v>681</v>
      </c>
      <c r="D5" s="19" t="s">
        <v>1275</v>
      </c>
      <c r="E5" s="19" t="s">
        <v>1276</v>
      </c>
      <c r="F5" s="19" t="s">
        <v>1277</v>
      </c>
      <c r="G5" s="19" t="s">
        <v>1278</v>
      </c>
      <c r="H5" s="19" t="s">
        <v>1224</v>
      </c>
      <c r="L5" s="19" t="s">
        <v>66</v>
      </c>
      <c r="N5" s="19" t="s">
        <v>1279</v>
      </c>
      <c r="R5" s="19" t="s">
        <v>1280</v>
      </c>
      <c r="S5" s="19" t="s">
        <v>1280</v>
      </c>
      <c r="V5" s="19" t="s">
        <v>1281</v>
      </c>
      <c r="X5" s="19" t="s">
        <v>1282</v>
      </c>
      <c r="Y5" s="19" t="s">
        <v>1283</v>
      </c>
      <c r="Z5" s="19" t="s">
        <v>1284</v>
      </c>
      <c r="AB5" s="19" t="s">
        <v>1214</v>
      </c>
      <c r="AE5" s="19" t="s">
        <v>1285</v>
      </c>
      <c r="AF5" s="19" t="s">
        <v>1286</v>
      </c>
      <c r="AG5" s="19" t="s">
        <v>1287</v>
      </c>
      <c r="AH5" s="19" t="s">
        <v>1288</v>
      </c>
      <c r="AI5" s="19" t="s">
        <v>1289</v>
      </c>
      <c r="AJ5" s="19" t="s">
        <v>1290</v>
      </c>
      <c r="AK5" s="19" t="s">
        <v>1291</v>
      </c>
      <c r="AL5" s="19" t="s">
        <v>1292</v>
      </c>
      <c r="AM5" s="19" t="s">
        <v>1293</v>
      </c>
      <c r="AN5" s="19" t="s">
        <v>1292</v>
      </c>
      <c r="AO5" s="19" t="s">
        <v>1293</v>
      </c>
      <c r="AP5" s="19" t="s">
        <v>1214</v>
      </c>
      <c r="AQ5" s="19" t="s">
        <v>1294</v>
      </c>
      <c r="AR5" s="19" t="s">
        <v>1217</v>
      </c>
    </row>
    <row r="6" spans="1:44" ht="43.5">
      <c r="A6" s="19" t="s">
        <v>41</v>
      </c>
      <c r="B6" s="19" t="s">
        <v>1295</v>
      </c>
      <c r="C6" s="19" t="s">
        <v>32</v>
      </c>
      <c r="D6" s="19" t="s">
        <v>1296</v>
      </c>
      <c r="E6" s="19" t="s">
        <v>1296</v>
      </c>
      <c r="F6" s="19" t="s">
        <v>1297</v>
      </c>
      <c r="G6" s="19" t="s">
        <v>1298</v>
      </c>
      <c r="H6" s="19" t="s">
        <v>1224</v>
      </c>
      <c r="N6" s="19" t="s">
        <v>209</v>
      </c>
      <c r="V6" s="19" t="s">
        <v>1299</v>
      </c>
      <c r="X6" s="19" t="s">
        <v>1300</v>
      </c>
      <c r="AE6" s="19" t="s">
        <v>1301</v>
      </c>
      <c r="AF6" s="19" t="s">
        <v>1302</v>
      </c>
      <c r="AG6" s="19" t="s">
        <v>1303</v>
      </c>
      <c r="AH6" s="19" t="s">
        <v>1304</v>
      </c>
      <c r="AI6" s="19" t="s">
        <v>1305</v>
      </c>
      <c r="AJ6" s="19" t="s">
        <v>1306</v>
      </c>
      <c r="AL6" s="19" t="s">
        <v>1291</v>
      </c>
      <c r="AM6" s="19" t="s">
        <v>1307</v>
      </c>
      <c r="AN6" s="19" t="s">
        <v>1291</v>
      </c>
      <c r="AO6" s="19" t="s">
        <v>1307</v>
      </c>
      <c r="AP6" s="19" t="s">
        <v>102</v>
      </c>
      <c r="AQ6" s="19" t="s">
        <v>1308</v>
      </c>
      <c r="AR6" s="19" t="s">
        <v>1217</v>
      </c>
    </row>
    <row r="7" spans="1:44" ht="58">
      <c r="A7" s="19" t="s">
        <v>1309</v>
      </c>
      <c r="B7" s="19" t="s">
        <v>1310</v>
      </c>
      <c r="C7" s="19" t="s">
        <v>675</v>
      </c>
      <c r="D7" s="19" t="s">
        <v>1311</v>
      </c>
      <c r="E7" s="19" t="s">
        <v>1312</v>
      </c>
      <c r="F7" s="19" t="s">
        <v>1313</v>
      </c>
      <c r="G7" s="19" t="s">
        <v>1314</v>
      </c>
      <c r="H7" s="19" t="s">
        <v>1224</v>
      </c>
      <c r="N7" s="19" t="s">
        <v>214</v>
      </c>
      <c r="V7" s="19" t="s">
        <v>1315</v>
      </c>
      <c r="AE7" s="19" t="s">
        <v>1316</v>
      </c>
      <c r="AF7" s="19" t="s">
        <v>1291</v>
      </c>
      <c r="AG7" s="19" t="s">
        <v>1291</v>
      </c>
      <c r="AH7" s="19" t="s">
        <v>1317</v>
      </c>
      <c r="AI7" s="19" t="s">
        <v>1318</v>
      </c>
      <c r="AJ7" s="19" t="s">
        <v>1319</v>
      </c>
      <c r="AM7" s="19" t="s">
        <v>1320</v>
      </c>
      <c r="AO7" s="19" t="s">
        <v>1320</v>
      </c>
      <c r="AQ7" s="19" t="s">
        <v>1321</v>
      </c>
      <c r="AR7" s="19" t="s">
        <v>1217</v>
      </c>
    </row>
    <row r="8" spans="1:44" ht="58">
      <c r="B8" s="19" t="s">
        <v>1248</v>
      </c>
      <c r="C8" s="19" t="s">
        <v>1322</v>
      </c>
      <c r="F8" s="19" t="s">
        <v>1323</v>
      </c>
      <c r="G8" s="19" t="s">
        <v>1324</v>
      </c>
      <c r="H8" s="19" t="s">
        <v>1224</v>
      </c>
      <c r="AE8" s="19" t="s">
        <v>1325</v>
      </c>
      <c r="AH8" s="19" t="s">
        <v>1326</v>
      </c>
      <c r="AI8" s="19" t="s">
        <v>1327</v>
      </c>
      <c r="AJ8" s="19" t="s">
        <v>1328</v>
      </c>
      <c r="AM8" s="19" t="s">
        <v>1291</v>
      </c>
      <c r="AO8" s="19" t="s">
        <v>1291</v>
      </c>
      <c r="AQ8" s="19" t="s">
        <v>823</v>
      </c>
      <c r="AR8" s="19" t="s">
        <v>1217</v>
      </c>
    </row>
    <row r="9" spans="1:44" ht="29">
      <c r="B9" s="19" t="s">
        <v>1329</v>
      </c>
      <c r="C9" s="19" t="s">
        <v>676</v>
      </c>
      <c r="F9" s="19" t="s">
        <v>1330</v>
      </c>
      <c r="G9" s="19" t="s">
        <v>1331</v>
      </c>
      <c r="H9" s="19" t="s">
        <v>1224</v>
      </c>
      <c r="AE9" s="19" t="s">
        <v>1332</v>
      </c>
      <c r="AH9" s="19" t="s">
        <v>1291</v>
      </c>
      <c r="AI9" s="19" t="s">
        <v>1291</v>
      </c>
      <c r="AJ9" s="19" t="s">
        <v>1291</v>
      </c>
      <c r="AQ9" s="19" t="s">
        <v>1333</v>
      </c>
      <c r="AR9" s="19" t="s">
        <v>1334</v>
      </c>
    </row>
    <row r="10" spans="1:44" ht="43.5">
      <c r="B10" s="19" t="s">
        <v>1335</v>
      </c>
      <c r="C10" s="19" t="s">
        <v>679</v>
      </c>
      <c r="F10" s="19" t="s">
        <v>548</v>
      </c>
      <c r="G10" s="19" t="s">
        <v>1336</v>
      </c>
      <c r="H10" s="19" t="s">
        <v>1194</v>
      </c>
      <c r="AE10" s="19" t="s">
        <v>1337</v>
      </c>
      <c r="AQ10" s="19" t="s">
        <v>875</v>
      </c>
      <c r="AR10" s="19" t="s">
        <v>1217</v>
      </c>
    </row>
    <row r="11" spans="1:44" ht="43.5">
      <c r="B11" s="19" t="s">
        <v>1338</v>
      </c>
      <c r="C11" s="19" t="s">
        <v>682</v>
      </c>
      <c r="F11" s="19" t="s">
        <v>1339</v>
      </c>
      <c r="G11" s="19" t="s">
        <v>1340</v>
      </c>
      <c r="H11" s="19" t="s">
        <v>1224</v>
      </c>
      <c r="AE11" s="19" t="s">
        <v>1341</v>
      </c>
      <c r="AQ11" s="19" t="s">
        <v>1342</v>
      </c>
      <c r="AR11" s="19" t="s">
        <v>1217</v>
      </c>
    </row>
    <row r="12" spans="1:44" ht="29">
      <c r="B12" s="19" t="s">
        <v>1274</v>
      </c>
      <c r="C12" s="19" t="s">
        <v>683</v>
      </c>
      <c r="F12" s="19" t="s">
        <v>1343</v>
      </c>
      <c r="G12" s="19" t="s">
        <v>1344</v>
      </c>
      <c r="H12" s="19" t="s">
        <v>1224</v>
      </c>
      <c r="AE12" s="19" t="s">
        <v>1345</v>
      </c>
      <c r="AQ12" s="19" t="s">
        <v>903</v>
      </c>
      <c r="AR12" s="19" t="s">
        <v>1217</v>
      </c>
    </row>
    <row r="13" spans="1:44" ht="43.5">
      <c r="B13" s="19" t="s">
        <v>1346</v>
      </c>
      <c r="C13" s="19" t="s">
        <v>684</v>
      </c>
      <c r="AE13" s="19" t="s">
        <v>1347</v>
      </c>
      <c r="AQ13" s="19" t="s">
        <v>1348</v>
      </c>
      <c r="AR13" s="19" t="s">
        <v>1217</v>
      </c>
    </row>
    <row r="14" spans="1:44" ht="29">
      <c r="B14" s="19" t="s">
        <v>1309</v>
      </c>
      <c r="C14" s="19" t="s">
        <v>1349</v>
      </c>
      <c r="AE14" s="19" t="s">
        <v>1350</v>
      </c>
      <c r="AQ14" s="19" t="s">
        <v>1348</v>
      </c>
      <c r="AR14" s="19" t="s">
        <v>1217</v>
      </c>
    </row>
    <row r="15" spans="1:44" ht="43.5">
      <c r="C15" s="19" t="s">
        <v>1351</v>
      </c>
      <c r="AE15" s="19" t="s">
        <v>1352</v>
      </c>
      <c r="AQ15" s="19" t="s">
        <v>1353</v>
      </c>
      <c r="AR15" s="19" t="s">
        <v>1217</v>
      </c>
    </row>
    <row r="16" spans="1:44" ht="29">
      <c r="AE16" s="19" t="s">
        <v>1354</v>
      </c>
      <c r="AQ16" s="19" t="s">
        <v>948</v>
      </c>
      <c r="AR16" s="19" t="s">
        <v>1217</v>
      </c>
    </row>
    <row r="17" spans="31:44" ht="29">
      <c r="AE17" s="19" t="s">
        <v>1355</v>
      </c>
      <c r="AQ17" s="19" t="s">
        <v>1356</v>
      </c>
      <c r="AR17" s="19" t="s">
        <v>1217</v>
      </c>
    </row>
    <row r="18" spans="31:44">
      <c r="AE18" s="19" t="s">
        <v>1291</v>
      </c>
      <c r="AQ18" s="19" t="s">
        <v>1357</v>
      </c>
      <c r="AR18" s="19" t="s">
        <v>1217</v>
      </c>
    </row>
    <row r="19" spans="31:44">
      <c r="AQ19" s="19" t="s">
        <v>1358</v>
      </c>
      <c r="AR19" s="19" t="s">
        <v>1217</v>
      </c>
    </row>
    <row r="20" spans="31:44">
      <c r="AQ20" s="19" t="s">
        <v>1359</v>
      </c>
      <c r="AR20" s="19" t="s">
        <v>1217</v>
      </c>
    </row>
    <row r="21" spans="31:44">
      <c r="AQ21" s="19" t="s">
        <v>976</v>
      </c>
      <c r="AR21" s="19" t="s">
        <v>1217</v>
      </c>
    </row>
    <row r="22" spans="31:44">
      <c r="AQ22" s="19" t="s">
        <v>1360</v>
      </c>
      <c r="AR22" s="19" t="s">
        <v>1217</v>
      </c>
    </row>
    <row r="23" spans="31:44">
      <c r="AQ23" s="19" t="s">
        <v>1361</v>
      </c>
      <c r="AR23" s="19" t="s">
        <v>1217</v>
      </c>
    </row>
    <row r="24" spans="31:44">
      <c r="AQ24" s="19" t="s">
        <v>1362</v>
      </c>
      <c r="AR24" s="19" t="s">
        <v>1217</v>
      </c>
    </row>
    <row r="25" spans="31:44">
      <c r="AQ25" s="19" t="s">
        <v>1363</v>
      </c>
      <c r="AR25" s="19" t="s">
        <v>1217</v>
      </c>
    </row>
    <row r="26" spans="31:44">
      <c r="AQ26" s="19" t="s">
        <v>35</v>
      </c>
      <c r="AR26" s="19" t="s">
        <v>1364</v>
      </c>
    </row>
  </sheetData>
  <sortState xmlns:xlrd2="http://schemas.microsoft.com/office/spreadsheetml/2017/richdata2" ref="AQ2:AR25">
    <sortCondition ref="AQ2:AQ25"/>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dimension ref="A1:J125"/>
  <sheetViews>
    <sheetView topLeftCell="A109" workbookViewId="0">
      <selection activeCell="C127" sqref="C127"/>
    </sheetView>
  </sheetViews>
  <sheetFormatPr defaultColWidth="20.7265625" defaultRowHeight="30" customHeight="1"/>
  <cols>
    <col min="1" max="1" width="24.26953125" style="20" customWidth="1"/>
    <col min="2" max="4" width="20.7265625" style="20"/>
    <col min="5" max="5" width="78.7265625" style="20" customWidth="1"/>
    <col min="6" max="6" width="20.7265625" style="20" customWidth="1"/>
    <col min="7" max="16384" width="20.7265625" style="20"/>
  </cols>
  <sheetData>
    <row r="1" spans="1:8" ht="30" customHeight="1">
      <c r="A1" s="21" t="s">
        <v>1158</v>
      </c>
      <c r="B1" s="21" t="s">
        <v>1159</v>
      </c>
      <c r="C1" s="22" t="s">
        <v>179</v>
      </c>
      <c r="D1" s="23" t="s">
        <v>1365</v>
      </c>
    </row>
    <row r="2" spans="1:8" ht="30" customHeight="1">
      <c r="A2" s="21" t="s">
        <v>1192</v>
      </c>
      <c r="B2" s="21" t="s">
        <v>178</v>
      </c>
      <c r="C2" s="22" t="s">
        <v>197</v>
      </c>
      <c r="D2" s="23" t="e">
        <f>CONCATENATE(#REF!," Cents of Land")</f>
        <v>#REF!</v>
      </c>
      <c r="E2" s="23" t="e">
        <f>CONCATENATE("[",VLOOKUP('02.GeneralFileDetails'!#REF!,'101.Vlook Up'!C2:D4,2,FALSE),"]")</f>
        <v>#REF!</v>
      </c>
    </row>
    <row r="3" spans="1:8" ht="30" customHeight="1">
      <c r="A3" s="21" t="s">
        <v>1220</v>
      </c>
      <c r="B3" s="21" t="s">
        <v>1221</v>
      </c>
      <c r="C3" s="22" t="s">
        <v>1366</v>
      </c>
      <c r="D3" s="23" t="e">
        <f>CONCATENATE(#REF!," Cents of Land &amp; ",#REF!," SqFt of Building")</f>
        <v>#REF!</v>
      </c>
      <c r="E3" s="24" t="e">
        <f>CONCATENATE(#REF!," Ares of Land in ")</f>
        <v>#REF!</v>
      </c>
      <c r="F3" s="786" t="e">
        <f>CONCATENATE(E3,#REF!,", ",#REF!,", ",#REF!," of ",#REF!,", ",#REF!,", ",#REF!)</f>
        <v>#REF!</v>
      </c>
    </row>
    <row r="4" spans="1:8" ht="30" customHeight="1">
      <c r="A4" s="21" t="s">
        <v>1249</v>
      </c>
      <c r="B4" s="21" t="s">
        <v>1250</v>
      </c>
      <c r="C4" s="22" t="s">
        <v>1367</v>
      </c>
      <c r="D4" s="23" t="e">
        <f>CONCATENATE(#REF!," SqFt of Apartment")</f>
        <v>#REF!</v>
      </c>
      <c r="F4" s="786"/>
    </row>
    <row r="5" spans="1:8" ht="30" customHeight="1">
      <c r="A5" s="21" t="s">
        <v>1275</v>
      </c>
      <c r="B5" s="21" t="s">
        <v>1276</v>
      </c>
      <c r="F5" s="786"/>
      <c r="G5" s="20" t="s">
        <v>1368</v>
      </c>
      <c r="H5" s="20" t="s">
        <v>319</v>
      </c>
    </row>
    <row r="6" spans="1:8" ht="30" customHeight="1">
      <c r="A6" s="21" t="s">
        <v>1296</v>
      </c>
      <c r="B6" s="21" t="s">
        <v>1296</v>
      </c>
      <c r="F6" s="471" t="e">
        <f>CONCATENATE(#REF!,", "," ",#REF!,", ",#REF!," P.O, ",#REF!,", ",#REF!," ","-",#REF!)</f>
        <v>#REF!</v>
      </c>
      <c r="G6" s="788" t="e">
        <f>'02.GeneralFileDetails'!#REF!</f>
        <v>#REF!</v>
      </c>
      <c r="H6" s="789" t="e">
        <f>IF(G6=0,F6,G6)</f>
        <v>#REF!</v>
      </c>
    </row>
    <row r="7" spans="1:8" ht="30" customHeight="1">
      <c r="A7" s="21" t="s">
        <v>1311</v>
      </c>
      <c r="B7" s="21" t="s">
        <v>1312</v>
      </c>
      <c r="D7" s="27" t="s">
        <v>1369</v>
      </c>
      <c r="E7" s="28" t="e">
        <f>_xlfn.NUMBERVALUE(TRIM('02.GeneralFileDetails'!#REF!))</f>
        <v>#REF!</v>
      </c>
      <c r="F7" s="787"/>
      <c r="G7" s="788"/>
      <c r="H7" s="789"/>
    </row>
    <row r="8" spans="1:8" ht="30" customHeight="1">
      <c r="D8" s="29">
        <v>3.24</v>
      </c>
      <c r="E8" s="30" t="e">
        <f>IF(E7&lt;=D8,0,1)</f>
        <v>#REF!</v>
      </c>
      <c r="F8" s="787"/>
      <c r="G8" s="788"/>
      <c r="H8" s="789"/>
    </row>
    <row r="9" spans="1:8" ht="30" customHeight="1">
      <c r="D9" s="29">
        <v>10.119999999999999</v>
      </c>
      <c r="E9" s="30" t="e">
        <f>IF(E7&lt;=D9,0,2)</f>
        <v>#REF!</v>
      </c>
    </row>
    <row r="10" spans="1:8" ht="30" customHeight="1">
      <c r="D10" s="29">
        <v>30.35</v>
      </c>
      <c r="E10" s="30" t="e">
        <f>IF(E7&lt;=D10,0,3)</f>
        <v>#REF!</v>
      </c>
    </row>
    <row r="11" spans="1:8" ht="30" customHeight="1">
      <c r="A11" s="20" t="s">
        <v>1370</v>
      </c>
      <c r="D11" s="29"/>
      <c r="E11" s="30" t="e">
        <f>SUM(E8:E10)</f>
        <v>#REF!</v>
      </c>
    </row>
    <row r="12" spans="1:8" ht="30" customHeight="1">
      <c r="A12" s="20" t="s">
        <v>1371</v>
      </c>
      <c r="C12" s="20" t="s">
        <v>1372</v>
      </c>
      <c r="D12" s="31">
        <v>0</v>
      </c>
      <c r="E12" s="32" t="s">
        <v>1373</v>
      </c>
      <c r="F12" s="33" t="e">
        <f>VLOOKUP(E11,D12:E15,2,FALSE)</f>
        <v>#REF!</v>
      </c>
    </row>
    <row r="13" spans="1:8" ht="30" customHeight="1">
      <c r="A13" s="23">
        <v>1</v>
      </c>
      <c r="B13" s="23" t="s">
        <v>226</v>
      </c>
      <c r="C13" s="24" t="e">
        <f>VLOOKUP(#REF!,'101.Vlook Up'!A13:B15,2,FALSE)</f>
        <v>#REF!</v>
      </c>
      <c r="D13" s="34">
        <v>1</v>
      </c>
      <c r="E13" s="20" t="s">
        <v>1374</v>
      </c>
      <c r="F13" s="35"/>
    </row>
    <row r="14" spans="1:8" ht="30" customHeight="1">
      <c r="A14" s="23">
        <v>2</v>
      </c>
      <c r="B14" s="23" t="s">
        <v>228</v>
      </c>
      <c r="D14" s="36">
        <v>3</v>
      </c>
      <c r="E14" s="20" t="s">
        <v>1375</v>
      </c>
      <c r="F14" s="35"/>
    </row>
    <row r="15" spans="1:8" ht="30" customHeight="1">
      <c r="A15" s="23">
        <v>3</v>
      </c>
      <c r="B15" s="23">
        <v>0</v>
      </c>
      <c r="D15" s="37">
        <v>6</v>
      </c>
      <c r="E15" s="38" t="s">
        <v>1376</v>
      </c>
      <c r="F15" s="39"/>
    </row>
    <row r="16" spans="1:8" ht="30" customHeight="1">
      <c r="D16" s="40"/>
    </row>
    <row r="18" spans="1:7" ht="30" customHeight="1">
      <c r="A18" s="31"/>
      <c r="B18" s="32" t="s">
        <v>1377</v>
      </c>
      <c r="C18" s="32" t="s">
        <v>1378</v>
      </c>
      <c r="D18" s="32" t="s">
        <v>1379</v>
      </c>
      <c r="E18" s="33" t="s">
        <v>1380</v>
      </c>
      <c r="F18" s="41" t="s">
        <v>1381</v>
      </c>
    </row>
    <row r="19" spans="1:7" ht="30" customHeight="1">
      <c r="A19" s="36" t="s">
        <v>1382</v>
      </c>
      <c r="B19" s="20" t="e">
        <f>#REF!</f>
        <v>#REF!</v>
      </c>
      <c r="C19" s="20" t="e">
        <f>#REF!</f>
        <v>#REF!</v>
      </c>
      <c r="D19" s="20" t="e">
        <f>#REF!</f>
        <v>#REF!</v>
      </c>
      <c r="E19" s="35" t="e">
        <f>#REF!</f>
        <v>#REF!</v>
      </c>
      <c r="F19" s="42" t="e">
        <f>#REF!</f>
        <v>#REF!</v>
      </c>
    </row>
    <row r="20" spans="1:7" ht="30" customHeight="1">
      <c r="A20" s="36" t="s">
        <v>113</v>
      </c>
      <c r="B20" s="20" t="e">
        <f>#REF!</f>
        <v>#REF!</v>
      </c>
      <c r="C20" s="20" t="e">
        <f>#REF!</f>
        <v>#REF!</v>
      </c>
      <c r="D20" s="20" t="e">
        <f>#REF!</f>
        <v>#REF!</v>
      </c>
      <c r="E20" s="35" t="e">
        <f>#REF!</f>
        <v>#REF!</v>
      </c>
      <c r="F20" s="42" t="e">
        <f>#REF!</f>
        <v>#REF!</v>
      </c>
    </row>
    <row r="21" spans="1:7" ht="30" customHeight="1">
      <c r="A21" s="36" t="s">
        <v>1383</v>
      </c>
      <c r="B21" s="20" t="e">
        <f>CONCATENATE(B19," with ",B20)</f>
        <v>#REF!</v>
      </c>
      <c r="C21" s="20" t="e">
        <f t="shared" ref="C21:F21" si="0">CONCATENATE(C19," with ",C20)</f>
        <v>#REF!</v>
      </c>
      <c r="D21" s="20" t="e">
        <f t="shared" si="0"/>
        <v>#REF!</v>
      </c>
      <c r="E21" s="35" t="e">
        <f t="shared" si="0"/>
        <v>#REF!</v>
      </c>
      <c r="F21" s="42" t="e">
        <f t="shared" si="0"/>
        <v>#REF!</v>
      </c>
    </row>
    <row r="22" spans="1:7" ht="30" customHeight="1">
      <c r="A22" s="43" t="s">
        <v>1384</v>
      </c>
      <c r="B22" s="19" t="e">
        <f>IF(B19="no demarcation",CONCATENATE(B18," has ",B19),CONCATENATE(B18," is ",B21))</f>
        <v>#REF!</v>
      </c>
      <c r="C22" s="19" t="e">
        <f t="shared" ref="C22:F22" si="1">IF(C19="no demarcation",CONCATENATE(C18," has ",C19),CONCATENATE(C18," is ",C21))</f>
        <v>#REF!</v>
      </c>
      <c r="D22" s="19" t="e">
        <f t="shared" si="1"/>
        <v>#REF!</v>
      </c>
      <c r="E22" s="44" t="e">
        <f t="shared" si="1"/>
        <v>#REF!</v>
      </c>
      <c r="F22" s="45" t="e">
        <f t="shared" si="1"/>
        <v>#REF!</v>
      </c>
    </row>
    <row r="23" spans="1:7" ht="30" customHeight="1">
      <c r="A23" s="34"/>
      <c r="B23" s="467" t="e">
        <f>CONCATENATE(B22,", ",C22,", ",D22,", ",E22,".")</f>
        <v>#REF!</v>
      </c>
      <c r="C23" s="467"/>
      <c r="D23" s="467"/>
      <c r="E23" s="790"/>
      <c r="F23" s="42"/>
    </row>
    <row r="24" spans="1:7" ht="30" customHeight="1">
      <c r="A24" s="34"/>
      <c r="B24" s="467"/>
      <c r="C24" s="467"/>
      <c r="D24" s="467"/>
      <c r="E24" s="790"/>
      <c r="F24" s="42"/>
    </row>
    <row r="25" spans="1:7" ht="30" customHeight="1">
      <c r="A25" s="46"/>
      <c r="B25" s="791"/>
      <c r="C25" s="791"/>
      <c r="D25" s="791"/>
      <c r="E25" s="792"/>
      <c r="F25" s="49"/>
    </row>
    <row r="27" spans="1:7" ht="30" customHeight="1">
      <c r="B27" s="50" t="s">
        <v>224</v>
      </c>
      <c r="C27" s="51" t="s">
        <v>1385</v>
      </c>
      <c r="D27" s="52" t="e">
        <f>VLOOKUP(#REF!,'101.Vlook Up'!B27:C34,2,FALSE)</f>
        <v>#REF!</v>
      </c>
      <c r="E27" s="32" t="s">
        <v>1386</v>
      </c>
      <c r="F27" s="32" t="s">
        <v>1387</v>
      </c>
      <c r="G27" s="33" t="e">
        <f>VLOOKUP(#REF!,'101.Vlook Up'!E27:F31,2,FALSE)</f>
        <v>#REF!</v>
      </c>
    </row>
    <row r="28" spans="1:7" ht="30" customHeight="1">
      <c r="B28" s="43" t="s">
        <v>221</v>
      </c>
      <c r="C28" s="19" t="s">
        <v>1388</v>
      </c>
      <c r="D28" s="44"/>
      <c r="E28" s="20" t="s">
        <v>1389</v>
      </c>
      <c r="F28" s="20" t="s">
        <v>1390</v>
      </c>
      <c r="G28" s="35"/>
    </row>
    <row r="29" spans="1:7" ht="30" customHeight="1">
      <c r="B29" s="43" t="s">
        <v>1391</v>
      </c>
      <c r="C29" s="19" t="s">
        <v>1392</v>
      </c>
      <c r="D29" s="44"/>
      <c r="E29" s="20" t="s">
        <v>1393</v>
      </c>
      <c r="F29" s="20" t="s">
        <v>1394</v>
      </c>
      <c r="G29" s="35"/>
    </row>
    <row r="30" spans="1:7" ht="30" customHeight="1">
      <c r="B30" s="43" t="s">
        <v>1395</v>
      </c>
      <c r="C30" s="19" t="s">
        <v>1396</v>
      </c>
      <c r="D30" s="44"/>
      <c r="E30" s="20" t="s">
        <v>1397</v>
      </c>
      <c r="F30" s="20" t="s">
        <v>1398</v>
      </c>
      <c r="G30" s="35"/>
    </row>
    <row r="31" spans="1:7" ht="30" customHeight="1">
      <c r="B31" s="43" t="s">
        <v>1399</v>
      </c>
      <c r="C31" s="19" t="s">
        <v>1400</v>
      </c>
      <c r="D31" s="44"/>
      <c r="E31" s="38" t="s">
        <v>1401</v>
      </c>
      <c r="F31" s="38" t="s">
        <v>1402</v>
      </c>
      <c r="G31" s="39"/>
    </row>
    <row r="32" spans="1:7" ht="30" customHeight="1">
      <c r="B32" s="43" t="s">
        <v>1403</v>
      </c>
      <c r="C32" s="19" t="s">
        <v>1404</v>
      </c>
      <c r="D32" s="44"/>
    </row>
    <row r="33" spans="1:6" ht="30" customHeight="1">
      <c r="B33" s="43" t="s">
        <v>1405</v>
      </c>
      <c r="C33" s="19" t="e">
        <f>CONCATENATE("Plot has Pvt road Access.",G27,F22)</f>
        <v>#REF!</v>
      </c>
      <c r="D33" s="44"/>
    </row>
    <row r="34" spans="1:6" ht="30" customHeight="1">
      <c r="B34" s="53" t="s">
        <v>1406</v>
      </c>
      <c r="C34" s="47" t="s">
        <v>1407</v>
      </c>
      <c r="D34" s="48"/>
    </row>
    <row r="37" spans="1:6" s="19" customFormat="1" ht="60" customHeight="1">
      <c r="D37" s="50" t="s">
        <v>1226</v>
      </c>
      <c r="E37" s="51" t="s">
        <v>102</v>
      </c>
      <c r="F37" s="52" t="e">
        <f>VLOOKUP(#REF!,'101.Vlook Up'!D37:E41,2,FALSE)</f>
        <v>#REF!</v>
      </c>
    </row>
    <row r="38" spans="1:6" s="19" customFormat="1" ht="60" customHeight="1">
      <c r="D38" s="43" t="s">
        <v>1408</v>
      </c>
      <c r="E38" s="19" t="s">
        <v>1409</v>
      </c>
      <c r="F38" s="44"/>
    </row>
    <row r="39" spans="1:6" s="19" customFormat="1" ht="87.75" customHeight="1">
      <c r="D39" s="43" t="s">
        <v>1410</v>
      </c>
      <c r="E39" s="19" t="s">
        <v>1411</v>
      </c>
      <c r="F39" s="44"/>
    </row>
    <row r="40" spans="1:6" s="19" customFormat="1" ht="127.5" customHeight="1">
      <c r="D40" s="43" t="s">
        <v>1412</v>
      </c>
      <c r="E40" s="19" t="s">
        <v>1413</v>
      </c>
      <c r="F40" s="44"/>
    </row>
    <row r="41" spans="1:6" s="19" customFormat="1" ht="116.25" customHeight="1">
      <c r="D41" s="53" t="s">
        <v>1414</v>
      </c>
      <c r="E41" s="47" t="s">
        <v>1415</v>
      </c>
      <c r="F41" s="48"/>
    </row>
    <row r="44" spans="1:6" ht="30" customHeight="1">
      <c r="A44" s="31" t="s">
        <v>445</v>
      </c>
      <c r="B44" s="33" t="s">
        <v>357</v>
      </c>
    </row>
    <row r="45" spans="1:6" ht="30" customHeight="1">
      <c r="A45" s="34" t="s">
        <v>1416</v>
      </c>
      <c r="B45" s="35" t="e">
        <f>#REF!</f>
        <v>#REF!</v>
      </c>
    </row>
    <row r="46" spans="1:6" ht="30" customHeight="1">
      <c r="A46" s="34" t="s">
        <v>1417</v>
      </c>
      <c r="B46" s="35" t="e">
        <f>#REF!</f>
        <v>#REF!</v>
      </c>
    </row>
    <row r="47" spans="1:6" ht="30" customHeight="1">
      <c r="A47" s="34" t="s">
        <v>1418</v>
      </c>
      <c r="B47" s="35" t="e">
        <f>#REF!*100</f>
        <v>#REF!</v>
      </c>
    </row>
    <row r="48" spans="1:6" ht="30" customHeight="1">
      <c r="A48" s="34" t="s">
        <v>285</v>
      </c>
      <c r="B48" s="35" t="e">
        <f>#REF!</f>
        <v>#REF!</v>
      </c>
    </row>
    <row r="49" spans="1:10" ht="30" customHeight="1">
      <c r="A49" s="46" t="s">
        <v>65</v>
      </c>
      <c r="B49" s="39" t="e">
        <f>#REF!</f>
        <v>#REF!</v>
      </c>
    </row>
    <row r="51" spans="1:10" ht="30" customHeight="1">
      <c r="B51" s="50" t="s">
        <v>285</v>
      </c>
      <c r="C51" s="51" t="s">
        <v>314</v>
      </c>
      <c r="D51" s="52" t="s">
        <v>170</v>
      </c>
      <c r="E51" s="31" t="s">
        <v>1419</v>
      </c>
      <c r="F51" s="33" t="s">
        <v>1420</v>
      </c>
    </row>
    <row r="52" spans="1:10" ht="30" customHeight="1">
      <c r="A52" s="20">
        <v>1</v>
      </c>
      <c r="B52" s="34" t="s">
        <v>1215</v>
      </c>
      <c r="C52" s="20">
        <v>65</v>
      </c>
      <c r="D52" s="35">
        <v>4</v>
      </c>
      <c r="E52" s="53" t="e">
        <f>VLOOKUP(B48,B52:D58,2,FALSE)</f>
        <v>#REF!</v>
      </c>
      <c r="F52" s="48" t="e">
        <f>VLOOKUP(B48,B52:D58,3,FALSE)</f>
        <v>#REF!</v>
      </c>
    </row>
    <row r="53" spans="1:10" ht="30" customHeight="1">
      <c r="A53" s="20">
        <v>2</v>
      </c>
      <c r="B53" s="34" t="s">
        <v>1246</v>
      </c>
      <c r="C53" s="20">
        <v>65</v>
      </c>
      <c r="D53" s="35">
        <v>4</v>
      </c>
      <c r="E53" s="50" t="e">
        <f>ROUND(B46/B47*100,0)</f>
        <v>#REF!</v>
      </c>
      <c r="F53" s="52" t="e">
        <f>ROUND(B45/B47,2)</f>
        <v>#REF!</v>
      </c>
    </row>
    <row r="54" spans="1:10" ht="30" customHeight="1">
      <c r="A54" s="20">
        <v>3</v>
      </c>
      <c r="B54" s="34" t="s">
        <v>1272</v>
      </c>
      <c r="C54" s="20">
        <v>50</v>
      </c>
      <c r="D54" s="35">
        <v>3</v>
      </c>
      <c r="E54" s="53" t="s">
        <v>1421</v>
      </c>
      <c r="F54" s="48" t="s">
        <v>1422</v>
      </c>
    </row>
    <row r="55" spans="1:10" ht="30" customHeight="1">
      <c r="A55" s="20">
        <v>4</v>
      </c>
      <c r="B55" s="34" t="s">
        <v>1293</v>
      </c>
      <c r="C55" s="20">
        <v>50</v>
      </c>
      <c r="D55" s="20">
        <v>3.5</v>
      </c>
      <c r="E55" s="793" t="e">
        <f>CONCATENATE("The building falls under the ",B48," category, has ")</f>
        <v>#REF!</v>
      </c>
      <c r="F55" s="794"/>
    </row>
    <row r="56" spans="1:10" ht="30" customHeight="1">
      <c r="A56" s="20">
        <v>5</v>
      </c>
      <c r="B56" s="34" t="s">
        <v>1307</v>
      </c>
      <c r="C56" s="20">
        <v>60</v>
      </c>
      <c r="D56" s="20">
        <v>4</v>
      </c>
      <c r="E56" s="34" t="s">
        <v>1423</v>
      </c>
      <c r="F56" s="35" t="s">
        <v>1424</v>
      </c>
    </row>
    <row r="57" spans="1:10" ht="30" customHeight="1">
      <c r="A57" s="20">
        <v>6</v>
      </c>
      <c r="B57" s="34" t="s">
        <v>1320</v>
      </c>
      <c r="C57" s="20">
        <v>65</v>
      </c>
      <c r="D57" s="20">
        <v>4</v>
      </c>
      <c r="E57" s="34" t="e">
        <f>CONCATENATE("a coverage violation with an actual coverage of ",E53,"% exceeding the maximum allowed limit of ",E52,"%")</f>
        <v>#REF!</v>
      </c>
      <c r="F57" s="35" t="e">
        <f>CONCATENATE(" and has FSI violation with an actual FSI of ",F53," exceeding the maximum allowed limit of ",F52,".")</f>
        <v>#REF!</v>
      </c>
    </row>
    <row r="58" spans="1:10" ht="30" customHeight="1">
      <c r="B58" s="46" t="s">
        <v>1291</v>
      </c>
      <c r="C58" s="38" t="s">
        <v>102</v>
      </c>
      <c r="D58" s="38" t="s">
        <v>102</v>
      </c>
      <c r="E58" s="34" t="e">
        <f>IF(E53&lt;=E52,E56,E57)</f>
        <v>#REF!</v>
      </c>
      <c r="F58" s="35" t="e">
        <f>IF(F53&lt;=F52,F56,F57)</f>
        <v>#REF!</v>
      </c>
    </row>
    <row r="59" spans="1:10" ht="96.75" customHeight="1">
      <c r="E59" s="795" t="e">
        <f>CONCATENATE(E55,E58,F58)</f>
        <v>#REF!</v>
      </c>
      <c r="F59" s="796"/>
    </row>
    <row r="62" spans="1:10" ht="30" customHeight="1">
      <c r="B62" s="50" t="s">
        <v>1425</v>
      </c>
      <c r="C62" s="51" t="s">
        <v>1426</v>
      </c>
      <c r="D62" s="51" t="s">
        <v>1427</v>
      </c>
      <c r="E62" s="51" t="s">
        <v>1428</v>
      </c>
      <c r="F62" s="51" t="s">
        <v>1429</v>
      </c>
      <c r="G62" s="52" t="s">
        <v>1430</v>
      </c>
      <c r="H62" s="54" t="s">
        <v>1431</v>
      </c>
      <c r="I62" s="55" t="e">
        <f>VLOOKUP(B48,B63:H68,7,FALSE)</f>
        <v>#REF!</v>
      </c>
      <c r="J62" s="19"/>
    </row>
    <row r="63" spans="1:10" ht="30" customHeight="1">
      <c r="B63" s="43" t="s">
        <v>1215</v>
      </c>
      <c r="C63" s="19" t="e">
        <f>IF(D63=0,2,0)</f>
        <v>#REF!</v>
      </c>
      <c r="D63" s="19" t="e">
        <f>IF(G74=2,3,0)</f>
        <v>#REF!</v>
      </c>
      <c r="E63" s="19"/>
      <c r="F63" s="19"/>
      <c r="G63" s="44"/>
      <c r="H63" s="45" t="e">
        <f>SUM(C63:G63)</f>
        <v>#REF!</v>
      </c>
      <c r="I63" s="19"/>
      <c r="J63" s="19"/>
    </row>
    <row r="64" spans="1:10" ht="30" customHeight="1">
      <c r="B64" s="43" t="s">
        <v>1246</v>
      </c>
      <c r="C64" s="19">
        <v>2</v>
      </c>
      <c r="D64" s="19"/>
      <c r="E64" s="19"/>
      <c r="F64" s="19"/>
      <c r="G64" s="44"/>
      <c r="H64" s="45">
        <f t="shared" ref="H64:H68" si="2">SUM(C64:G64)</f>
        <v>2</v>
      </c>
      <c r="I64" s="19"/>
      <c r="J64" s="19"/>
    </row>
    <row r="65" spans="2:10" ht="30" customHeight="1">
      <c r="B65" s="43" t="s">
        <v>1272</v>
      </c>
      <c r="C65" s="19"/>
      <c r="D65" s="19"/>
      <c r="E65" s="19" t="e">
        <f>IF(F65=0,4,0)</f>
        <v>#REF!</v>
      </c>
      <c r="F65" s="19" t="e">
        <f>IF(G71&gt;500,5,0)</f>
        <v>#REF!</v>
      </c>
      <c r="G65" s="44"/>
      <c r="H65" s="45" t="e">
        <f t="shared" si="2"/>
        <v>#REF!</v>
      </c>
      <c r="I65" s="19"/>
      <c r="J65" s="19"/>
    </row>
    <row r="66" spans="2:10" ht="30" customHeight="1">
      <c r="B66" s="43" t="s">
        <v>1293</v>
      </c>
      <c r="C66" s="19"/>
      <c r="D66" s="19"/>
      <c r="E66" s="19" t="e">
        <f>IF(F66=0,4,0)</f>
        <v>#REF!</v>
      </c>
      <c r="F66" s="19" t="e">
        <f>IF(G71&gt;500,5,0)</f>
        <v>#REF!</v>
      </c>
      <c r="G66" s="44"/>
      <c r="H66" s="45" t="e">
        <f t="shared" si="2"/>
        <v>#REF!</v>
      </c>
      <c r="I66" s="66"/>
      <c r="J66" s="19"/>
    </row>
    <row r="67" spans="2:10" ht="30" customHeight="1">
      <c r="B67" s="43" t="s">
        <v>1307</v>
      </c>
      <c r="C67" s="19"/>
      <c r="D67" s="19"/>
      <c r="E67" s="19"/>
      <c r="F67" s="19"/>
      <c r="G67" s="44">
        <v>6</v>
      </c>
      <c r="H67" s="45">
        <f t="shared" si="2"/>
        <v>6</v>
      </c>
    </row>
    <row r="68" spans="2:10" ht="30" customHeight="1">
      <c r="B68" s="53" t="s">
        <v>1320</v>
      </c>
      <c r="C68" s="47" t="e">
        <f>IF(I68=0,2,0)</f>
        <v>#REF!</v>
      </c>
      <c r="D68" s="47" t="e">
        <f>IF(G74=2,3,0)</f>
        <v>#REF!</v>
      </c>
      <c r="E68" s="47"/>
      <c r="F68" s="47"/>
      <c r="G68" s="48" t="e">
        <f>IF(G73=0,6,0)</f>
        <v>#REF!</v>
      </c>
      <c r="H68" s="56" t="e">
        <f t="shared" si="2"/>
        <v>#REF!</v>
      </c>
      <c r="I68" s="55" t="e">
        <f>D68+G68</f>
        <v>#REF!</v>
      </c>
    </row>
    <row r="70" spans="2:10" ht="30" customHeight="1">
      <c r="B70" s="50" t="s">
        <v>1432</v>
      </c>
      <c r="C70" s="51" t="s">
        <v>1433</v>
      </c>
      <c r="D70" s="51" t="s">
        <v>1434</v>
      </c>
      <c r="E70" s="52" t="s">
        <v>1435</v>
      </c>
      <c r="F70" s="50"/>
      <c r="G70" s="51" t="s">
        <v>357</v>
      </c>
      <c r="H70" s="52" t="s">
        <v>1436</v>
      </c>
    </row>
    <row r="71" spans="2:10" ht="30" customHeight="1">
      <c r="B71" s="43">
        <v>2</v>
      </c>
      <c r="C71" s="19">
        <v>3</v>
      </c>
      <c r="D71" s="19">
        <v>1.5</v>
      </c>
      <c r="E71" s="44">
        <v>1</v>
      </c>
      <c r="F71" s="43"/>
      <c r="G71" s="19" t="e">
        <f>B45</f>
        <v>#REF!</v>
      </c>
      <c r="H71" s="44" t="e">
        <f>B47</f>
        <v>#REF!</v>
      </c>
    </row>
    <row r="72" spans="2:10" ht="30" customHeight="1">
      <c r="B72" s="43">
        <v>3</v>
      </c>
      <c r="C72" s="19">
        <v>2</v>
      </c>
      <c r="D72" s="19">
        <v>1</v>
      </c>
      <c r="E72" s="44">
        <v>0.6</v>
      </c>
      <c r="F72" s="43" t="s">
        <v>1437</v>
      </c>
      <c r="G72" s="19">
        <v>200</v>
      </c>
      <c r="H72" s="44">
        <v>125</v>
      </c>
    </row>
    <row r="73" spans="2:10" ht="30" customHeight="1">
      <c r="B73" s="57">
        <v>4</v>
      </c>
      <c r="C73" s="26">
        <v>5</v>
      </c>
      <c r="D73" s="26">
        <v>2</v>
      </c>
      <c r="E73" s="58">
        <v>2</v>
      </c>
      <c r="F73" s="43" t="s">
        <v>1438</v>
      </c>
      <c r="G73" s="19" t="e">
        <f>IF(G72&gt;=G71,1,0)</f>
        <v>#REF!</v>
      </c>
      <c r="H73" s="44" t="e">
        <f>IF(H72&gt;=H71,1,0)</f>
        <v>#REF!</v>
      </c>
    </row>
    <row r="74" spans="2:10" ht="30" customHeight="1">
      <c r="B74" s="57">
        <v>5</v>
      </c>
      <c r="C74" s="26">
        <v>7.5</v>
      </c>
      <c r="D74" s="26">
        <v>3</v>
      </c>
      <c r="E74" s="58">
        <v>3</v>
      </c>
      <c r="F74" s="53"/>
      <c r="G74" s="791" t="e">
        <f>G73+H73</f>
        <v>#REF!</v>
      </c>
      <c r="H74" s="792"/>
    </row>
    <row r="75" spans="2:10" ht="30" customHeight="1">
      <c r="B75" s="57">
        <v>6</v>
      </c>
      <c r="C75" s="26">
        <v>3</v>
      </c>
      <c r="D75" s="26">
        <v>1.5</v>
      </c>
      <c r="E75" s="58">
        <v>1</v>
      </c>
    </row>
    <row r="76" spans="2:10" ht="30" customHeight="1">
      <c r="B76" s="59" t="s">
        <v>1439</v>
      </c>
      <c r="C76" s="60" t="e">
        <f>_xlfn.NUMBERVALUE(VLOOKUP(I62,B71:E75,2,FALSE))</f>
        <v>#REF!</v>
      </c>
      <c r="D76" s="60" t="e">
        <f>_xlfn.NUMBERVALUE(VLOOKUP(I62,B71:E75,3,FALSE))</f>
        <v>#REF!</v>
      </c>
      <c r="E76" s="60" t="e">
        <f>_xlfn.NUMBERVALUE(VLOOKUP(I62,B71:E75,4,FALSE))</f>
        <v>#REF!</v>
      </c>
      <c r="F76" s="61" t="e">
        <f>E76</f>
        <v>#REF!</v>
      </c>
    </row>
    <row r="77" spans="2:10" ht="30" customHeight="1">
      <c r="B77" s="59" t="s">
        <v>321</v>
      </c>
      <c r="C77" s="60" t="e">
        <f>_xlfn.NUMBERVALUE(#REF!)</f>
        <v>#REF!</v>
      </c>
      <c r="D77" s="60" t="e">
        <f>_xlfn.NUMBERVALUE(#REF!)</f>
        <v>#REF!</v>
      </c>
      <c r="E77" s="60" t="e">
        <f>_xlfn.NUMBERVALUE(#REF!)</f>
        <v>#REF!</v>
      </c>
      <c r="F77" s="61" t="e">
        <f>_xlfn.NUMBERVALUE(#REF!)</f>
        <v>#REF!</v>
      </c>
    </row>
    <row r="78" spans="2:10" ht="15.75" customHeight="1">
      <c r="B78" s="50" t="s">
        <v>1438</v>
      </c>
      <c r="C78" s="51" t="e">
        <f>IF(C76&lt;=C77,0,1)</f>
        <v>#REF!</v>
      </c>
      <c r="D78" s="51" t="e">
        <f t="shared" ref="D78:F78" si="3">IF(D76&lt;=D77,0,1)</f>
        <v>#REF!</v>
      </c>
      <c r="E78" s="51" t="e">
        <f t="shared" si="3"/>
        <v>#REF!</v>
      </c>
      <c r="F78" s="52" t="e">
        <f t="shared" si="3"/>
        <v>#REF!</v>
      </c>
      <c r="G78" s="55" t="e">
        <f>SUM(C78:F78)</f>
        <v>#REF!</v>
      </c>
    </row>
    <row r="79" spans="2:10" ht="43.5">
      <c r="B79" s="784" t="e">
        <f>IF(G78=0,G79,H79)</f>
        <v>#REF!</v>
      </c>
      <c r="C79" s="785"/>
      <c r="D79" s="785"/>
      <c r="E79" s="785"/>
      <c r="F79" s="785"/>
      <c r="G79" s="51" t="s">
        <v>1440</v>
      </c>
      <c r="H79" s="52" t="s">
        <v>1441</v>
      </c>
    </row>
    <row r="80" spans="2:10" s="19" customFormat="1" ht="14.5">
      <c r="B80" s="43"/>
      <c r="C80" s="19" t="e">
        <f>CONCATENATE("actual  Front Side setback of ",C77,"m falling short of the minimum required limit of ",C76,"m,")</f>
        <v>#REF!</v>
      </c>
      <c r="D80" s="19" t="e">
        <f>CONCATENATE("actual  Rear-Side setback of ",D77,"m falling short of the minimum required limit of ",D76,"m,")</f>
        <v>#REF!</v>
      </c>
      <c r="E80" s="19" t="e">
        <f>CONCATENATE("actual  Side-1 setback of ",E77,"m falling short of the minimum required limit of ",E76,"m,")</f>
        <v>#REF!</v>
      </c>
      <c r="F80" s="19" t="e">
        <f>CONCATENATE("actual Side-2 setback of ",F77,"m falling short of the minimum required limit of ",F76,"m.")</f>
        <v>#REF!</v>
      </c>
      <c r="H80" s="44"/>
    </row>
    <row r="81" spans="2:8" ht="60" customHeight="1">
      <c r="B81" s="34"/>
      <c r="C81" s="20" t="e">
        <f>IF(C78=0,"",C80)</f>
        <v>#REF!</v>
      </c>
      <c r="D81" s="20" t="e">
        <f t="shared" ref="D81:F81" si="4">IF(D78=0,"",D80)</f>
        <v>#REF!</v>
      </c>
      <c r="E81" s="20" t="e">
        <f t="shared" si="4"/>
        <v>#REF!</v>
      </c>
      <c r="F81" s="20" t="e">
        <f t="shared" si="4"/>
        <v>#REF!</v>
      </c>
      <c r="H81" s="35"/>
    </row>
    <row r="82" spans="2:8" ht="56.25" customHeight="1">
      <c r="B82" s="797" t="e">
        <f>CONCATENATE(B79,C81,D81,E81,F81,".")</f>
        <v>#REF!</v>
      </c>
      <c r="C82" s="798"/>
      <c r="D82" s="798"/>
      <c r="E82" s="798"/>
      <c r="F82" s="798"/>
      <c r="G82" s="38"/>
      <c r="H82" s="39"/>
    </row>
    <row r="84" spans="2:8" ht="30" customHeight="1">
      <c r="B84" s="784" t="s">
        <v>1442</v>
      </c>
      <c r="C84" s="785"/>
      <c r="D84" s="51" t="e">
        <f>#REF!</f>
        <v>#REF!</v>
      </c>
      <c r="E84" s="52" t="e">
        <f>#REF!</f>
        <v>#REF!</v>
      </c>
    </row>
    <row r="85" spans="2:8" ht="30" customHeight="1">
      <c r="B85" s="43" t="s">
        <v>13</v>
      </c>
      <c r="C85" s="19">
        <v>50</v>
      </c>
      <c r="D85" s="19" t="e">
        <f>VLOOKUP(D84,B85:C92,2,FALSE)</f>
        <v>#REF!</v>
      </c>
      <c r="E85" s="44" t="s">
        <v>1443</v>
      </c>
    </row>
    <row r="86" spans="2:8" ht="30" customHeight="1">
      <c r="B86" s="43" t="s">
        <v>1241</v>
      </c>
      <c r="C86" s="19">
        <v>40</v>
      </c>
      <c r="D86" s="19" t="e">
        <f>2024-E84</f>
        <v>#REF!</v>
      </c>
      <c r="E86" s="44" t="s">
        <v>1444</v>
      </c>
    </row>
    <row r="87" spans="2:8" ht="30" customHeight="1">
      <c r="B87" s="43" t="s">
        <v>1267</v>
      </c>
      <c r="C87" s="19">
        <v>30</v>
      </c>
      <c r="D87" s="19" t="e">
        <f>IF(D86&gt;D85,D85,D86)</f>
        <v>#REF!</v>
      </c>
      <c r="E87" s="44" t="s">
        <v>1445</v>
      </c>
    </row>
    <row r="88" spans="2:8" ht="30" customHeight="1">
      <c r="B88" s="43" t="s">
        <v>1288</v>
      </c>
      <c r="C88" s="19">
        <v>45</v>
      </c>
      <c r="D88" s="19" t="e">
        <f>(0.9*D87/D85)*100</f>
        <v>#REF!</v>
      </c>
      <c r="E88" s="44" t="s">
        <v>1442</v>
      </c>
    </row>
    <row r="89" spans="2:8" ht="30" customHeight="1">
      <c r="B89" s="43" t="s">
        <v>1304</v>
      </c>
      <c r="C89" s="19">
        <v>40</v>
      </c>
      <c r="D89" s="19"/>
      <c r="E89" s="44"/>
    </row>
    <row r="90" spans="2:8" ht="49.5" customHeight="1">
      <c r="B90" s="43" t="s">
        <v>1317</v>
      </c>
      <c r="C90" s="19">
        <v>35</v>
      </c>
      <c r="D90" s="19"/>
      <c r="E90" s="44"/>
    </row>
    <row r="91" spans="2:8" ht="30" customHeight="1">
      <c r="B91" s="43" t="s">
        <v>1326</v>
      </c>
      <c r="C91" s="19">
        <v>40</v>
      </c>
      <c r="D91" s="19"/>
      <c r="E91" s="44"/>
    </row>
    <row r="92" spans="2:8" ht="30" customHeight="1">
      <c r="B92" s="53" t="s">
        <v>1291</v>
      </c>
      <c r="C92" s="47" t="s">
        <v>102</v>
      </c>
      <c r="D92" s="47"/>
      <c r="E92" s="48"/>
    </row>
    <row r="94" spans="2:8" ht="30" customHeight="1">
      <c r="B94" s="20" t="s">
        <v>1446</v>
      </c>
      <c r="C94" s="20" t="s">
        <v>1447</v>
      </c>
      <c r="D94" s="20" t="s">
        <v>1448</v>
      </c>
    </row>
    <row r="95" spans="2:8" ht="30" customHeight="1">
      <c r="B95" s="62" t="e">
        <f>#REF!*100000</f>
        <v>#REF!</v>
      </c>
      <c r="C95" s="20" t="e">
        <f>ROUND(B95/40.47,0)</f>
        <v>#REF!</v>
      </c>
      <c r="D95" s="20" t="e">
        <f>ROUND(C95/10.76,0)</f>
        <v>#REF!</v>
      </c>
    </row>
    <row r="97" spans="1:4" ht="30" customHeight="1">
      <c r="A97" s="31" t="s">
        <v>1449</v>
      </c>
      <c r="B97" s="32" t="s">
        <v>1087</v>
      </c>
      <c r="C97" s="32" t="s">
        <v>544</v>
      </c>
      <c r="D97" s="33" t="s">
        <v>1450</v>
      </c>
    </row>
    <row r="98" spans="1:4" ht="30" customHeight="1">
      <c r="A98" s="34" t="s">
        <v>1451</v>
      </c>
      <c r="B98" s="20" t="e">
        <f>'02.GeneralFileDetails'!#REF!</f>
        <v>#REF!</v>
      </c>
      <c r="C98" s="20" t="e">
        <f>'02.GeneralFileDetails'!#REF!</f>
        <v>#REF!</v>
      </c>
      <c r="D98" s="35" t="e">
        <f>'02.GeneralFileDetails'!#REF!</f>
        <v>#REF!</v>
      </c>
    </row>
    <row r="99" spans="1:4" ht="30" customHeight="1">
      <c r="A99" s="46" t="s">
        <v>85</v>
      </c>
      <c r="B99" s="38" t="e">
        <f>IF(B98="Other",'02.GeneralFileDetails'!#REF!,B98)</f>
        <v>#REF!</v>
      </c>
      <c r="C99" s="38" t="e">
        <f>IF(C98="Other",'02.GeneralFileDetails'!#REF!,C98)</f>
        <v>#REF!</v>
      </c>
      <c r="D99" s="39" t="e">
        <f>IF(D98="Other",'02.GeneralFileDetails'!#REF!,D98)</f>
        <v>#REF!</v>
      </c>
    </row>
    <row r="101" spans="1:4" ht="30" customHeight="1">
      <c r="A101" s="63" t="s">
        <v>1163</v>
      </c>
    </row>
    <row r="102" spans="1:4" ht="30" customHeight="1">
      <c r="A102" s="64" t="s">
        <v>1452</v>
      </c>
    </row>
    <row r="103" spans="1:4" ht="30" customHeight="1">
      <c r="A103" s="64" t="s">
        <v>1453</v>
      </c>
    </row>
    <row r="104" spans="1:4" ht="30" customHeight="1">
      <c r="A104" s="64" t="s">
        <v>1454</v>
      </c>
    </row>
    <row r="105" spans="1:4" ht="30" customHeight="1">
      <c r="A105" s="64" t="s">
        <v>1455</v>
      </c>
    </row>
    <row r="106" spans="1:4" ht="30" customHeight="1">
      <c r="A106" s="64" t="s">
        <v>1456</v>
      </c>
    </row>
    <row r="107" spans="1:4" ht="30" customHeight="1">
      <c r="A107" s="65" t="s">
        <v>1457</v>
      </c>
    </row>
    <row r="109" spans="1:4" ht="30" customHeight="1">
      <c r="A109" s="31" t="e">
        <f>'02.GeneralFileDetails'!#REF!</f>
        <v>#REF!</v>
      </c>
      <c r="B109" s="33"/>
    </row>
    <row r="110" spans="1:4" ht="30" customHeight="1">
      <c r="A110" s="46"/>
      <c r="B110" s="39">
        <f>TYPE(B109)</f>
        <v>1</v>
      </c>
    </row>
    <row r="112" spans="1:4" ht="30" customHeight="1">
      <c r="A112" s="19" t="s">
        <v>680</v>
      </c>
      <c r="B112" s="20" t="s">
        <v>1458</v>
      </c>
    </row>
    <row r="113" spans="1:2" ht="30" customHeight="1">
      <c r="A113" s="19" t="s">
        <v>677</v>
      </c>
      <c r="B113" s="20" t="s">
        <v>1364</v>
      </c>
    </row>
    <row r="114" spans="1:2" ht="30" customHeight="1">
      <c r="A114" s="19" t="s">
        <v>678</v>
      </c>
      <c r="B114" s="20" t="s">
        <v>1334</v>
      </c>
    </row>
    <row r="115" spans="1:2" ht="30" customHeight="1">
      <c r="A115" s="19" t="s">
        <v>681</v>
      </c>
      <c r="B115" s="20" t="s">
        <v>1459</v>
      </c>
    </row>
    <row r="116" spans="1:2" ht="30" customHeight="1">
      <c r="A116" s="19" t="s">
        <v>32</v>
      </c>
      <c r="B116" s="20" t="s">
        <v>1460</v>
      </c>
    </row>
    <row r="117" spans="1:2" ht="30" customHeight="1">
      <c r="A117" s="19" t="s">
        <v>675</v>
      </c>
      <c r="B117" s="20" t="s">
        <v>1217</v>
      </c>
    </row>
    <row r="118" spans="1:2" ht="30" customHeight="1">
      <c r="A118" s="19" t="s">
        <v>674</v>
      </c>
      <c r="B118" s="20" t="s">
        <v>1461</v>
      </c>
    </row>
    <row r="119" spans="1:2" ht="30" customHeight="1">
      <c r="A119" s="19" t="s">
        <v>676</v>
      </c>
      <c r="B119" s="20" t="s">
        <v>1462</v>
      </c>
    </row>
    <row r="120" spans="1:2" ht="30" customHeight="1">
      <c r="A120" s="19" t="s">
        <v>679</v>
      </c>
      <c r="B120" s="20" t="s">
        <v>1463</v>
      </c>
    </row>
    <row r="121" spans="1:2" ht="30" customHeight="1">
      <c r="A121" s="19" t="s">
        <v>682</v>
      </c>
      <c r="B121" s="20" t="s">
        <v>1464</v>
      </c>
    </row>
    <row r="122" spans="1:2" ht="30" customHeight="1">
      <c r="A122" s="19" t="s">
        <v>683</v>
      </c>
      <c r="B122" s="20" t="s">
        <v>1465</v>
      </c>
    </row>
    <row r="123" spans="1:2" ht="30" customHeight="1">
      <c r="A123" s="19" t="s">
        <v>684</v>
      </c>
      <c r="B123" s="20" t="s">
        <v>1466</v>
      </c>
    </row>
    <row r="124" spans="1:2" ht="30" customHeight="1">
      <c r="A124" s="19" t="s">
        <v>685</v>
      </c>
      <c r="B124" s="20" t="s">
        <v>1467</v>
      </c>
    </row>
    <row r="125" spans="1:2" ht="30" customHeight="1">
      <c r="A125" s="19" t="s">
        <v>686</v>
      </c>
      <c r="B125" s="20" t="s">
        <v>1468</v>
      </c>
    </row>
  </sheetData>
  <mergeCells count="11">
    <mergeCell ref="B84:C84"/>
    <mergeCell ref="F3:F5"/>
    <mergeCell ref="F6:F8"/>
    <mergeCell ref="G6:G8"/>
    <mergeCell ref="H6:H8"/>
    <mergeCell ref="B23:E25"/>
    <mergeCell ref="E55:F55"/>
    <mergeCell ref="E59:F59"/>
    <mergeCell ref="G74:H74"/>
    <mergeCell ref="B79:F79"/>
    <mergeCell ref="B82:F82"/>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
  <dimension ref="A1:BF18"/>
  <sheetViews>
    <sheetView workbookViewId="0"/>
  </sheetViews>
  <sheetFormatPr defaultColWidth="20.7265625" defaultRowHeight="18.5"/>
  <cols>
    <col min="1" max="2" width="20.7265625" style="1"/>
    <col min="3" max="3" width="41.26953125" style="1" customWidth="1"/>
    <col min="4" max="42" width="20.7265625" style="1"/>
    <col min="43" max="43" width="20.7265625" style="2"/>
    <col min="44" max="16384" width="20.7265625" style="1"/>
  </cols>
  <sheetData>
    <row r="1" spans="1:58" ht="92.5">
      <c r="A1" s="3" t="s">
        <v>1469</v>
      </c>
      <c r="B1" s="3" t="s">
        <v>1470</v>
      </c>
      <c r="C1" s="3" t="s">
        <v>1471</v>
      </c>
      <c r="D1" s="3" t="s">
        <v>1472</v>
      </c>
      <c r="E1" s="4" t="s">
        <v>1473</v>
      </c>
      <c r="F1" s="4" t="s">
        <v>1474</v>
      </c>
      <c r="G1" s="4" t="s">
        <v>1475</v>
      </c>
      <c r="H1" s="4" t="s">
        <v>1476</v>
      </c>
      <c r="I1" s="3" t="s">
        <v>1477</v>
      </c>
      <c r="J1" s="3" t="s">
        <v>1477</v>
      </c>
      <c r="K1" s="3" t="s">
        <v>1478</v>
      </c>
      <c r="L1" s="3" t="s">
        <v>1479</v>
      </c>
      <c r="M1" s="11" t="s">
        <v>1480</v>
      </c>
      <c r="N1" s="3" t="s">
        <v>1167</v>
      </c>
      <c r="O1" s="3" t="s">
        <v>1168</v>
      </c>
      <c r="P1" s="3" t="s">
        <v>1169</v>
      </c>
      <c r="Q1" s="3" t="s">
        <v>1170</v>
      </c>
      <c r="R1" s="3" t="s">
        <v>1171</v>
      </c>
      <c r="S1" s="3" t="s">
        <v>1172</v>
      </c>
      <c r="T1" s="3" t="s">
        <v>1173</v>
      </c>
      <c r="U1" s="3" t="s">
        <v>1174</v>
      </c>
      <c r="V1" s="3" t="s">
        <v>1175</v>
      </c>
      <c r="W1" s="3" t="s">
        <v>1176</v>
      </c>
      <c r="X1" s="3" t="s">
        <v>1481</v>
      </c>
      <c r="Y1" s="3" t="s">
        <v>1179</v>
      </c>
      <c r="Z1" s="14" t="s">
        <v>1180</v>
      </c>
      <c r="AA1" s="15" t="s">
        <v>1482</v>
      </c>
      <c r="AB1" s="15" t="s">
        <v>1483</v>
      </c>
      <c r="AC1" s="15" t="s">
        <v>1484</v>
      </c>
      <c r="AD1" s="15" t="s">
        <v>1485</v>
      </c>
      <c r="AE1" s="15" t="s">
        <v>1486</v>
      </c>
      <c r="AF1" s="15" t="s">
        <v>17</v>
      </c>
      <c r="AG1" s="15" t="s">
        <v>1487</v>
      </c>
      <c r="AH1" s="15" t="s">
        <v>1488</v>
      </c>
      <c r="AI1" s="15" t="s">
        <v>1489</v>
      </c>
      <c r="AJ1" s="14" t="s">
        <v>1490</v>
      </c>
      <c r="AK1" s="15" t="s">
        <v>1491</v>
      </c>
      <c r="AL1" s="1" t="s">
        <v>1372</v>
      </c>
      <c r="AM1" s="1" t="e" cm="1">
        <f t="array" ref="AM1">#REF!</f>
        <v>#REF!</v>
      </c>
      <c r="AQ1" s="2" t="s">
        <v>1492</v>
      </c>
      <c r="AR1" s="1" t="s">
        <v>1493</v>
      </c>
      <c r="AS1" s="1" t="s">
        <v>1494</v>
      </c>
      <c r="AT1" s="1" t="s">
        <v>1495</v>
      </c>
      <c r="AU1" s="1" t="s">
        <v>1496</v>
      </c>
      <c r="AV1" s="1" t="s">
        <v>1497</v>
      </c>
      <c r="AW1" s="1" t="s">
        <v>1498</v>
      </c>
      <c r="AX1" s="1" t="s">
        <v>1181</v>
      </c>
      <c r="AY1" s="1" t="s">
        <v>1182</v>
      </c>
      <c r="AZ1" s="1" t="s">
        <v>1183</v>
      </c>
      <c r="BA1" s="1" t="s">
        <v>1184</v>
      </c>
      <c r="BB1" s="1" t="s">
        <v>1185</v>
      </c>
      <c r="BC1" s="1" t="s">
        <v>1186</v>
      </c>
      <c r="BD1" s="1" t="s">
        <v>1187</v>
      </c>
      <c r="BE1" s="1" t="s">
        <v>1188</v>
      </c>
      <c r="BF1" s="1" t="s">
        <v>1189</v>
      </c>
    </row>
    <row r="2" spans="1:58" ht="92.5">
      <c r="A2" s="5" t="s">
        <v>178</v>
      </c>
      <c r="B2" s="6" t="s">
        <v>1191</v>
      </c>
      <c r="C2" s="7" t="s">
        <v>1499</v>
      </c>
      <c r="D2" s="8" t="s">
        <v>1500</v>
      </c>
      <c r="E2" s="9" t="s">
        <v>197</v>
      </c>
      <c r="F2" s="9" t="s">
        <v>571</v>
      </c>
      <c r="G2" s="9" t="s">
        <v>1195</v>
      </c>
      <c r="H2" s="9" t="s">
        <v>1196</v>
      </c>
      <c r="I2" s="5" t="s">
        <v>1501</v>
      </c>
      <c r="J2" s="5" t="s">
        <v>66</v>
      </c>
      <c r="K2" s="5" t="s">
        <v>1164</v>
      </c>
      <c r="L2" s="5" t="s">
        <v>1502</v>
      </c>
      <c r="M2" s="12" t="s">
        <v>1196</v>
      </c>
      <c r="N2" s="13" t="s">
        <v>1198</v>
      </c>
      <c r="O2" s="13" t="s">
        <v>1199</v>
      </c>
      <c r="P2" s="13" t="s">
        <v>571</v>
      </c>
      <c r="Q2" s="13" t="s">
        <v>571</v>
      </c>
      <c r="R2" s="13" t="s">
        <v>1200</v>
      </c>
      <c r="S2" s="13" t="s">
        <v>1201</v>
      </c>
      <c r="T2" s="13" t="s">
        <v>1202</v>
      </c>
      <c r="U2" s="13" t="s">
        <v>1203</v>
      </c>
      <c r="V2" s="13" t="s">
        <v>1204</v>
      </c>
      <c r="W2" s="13" t="s">
        <v>1205</v>
      </c>
      <c r="X2" s="13" t="s">
        <v>1196</v>
      </c>
      <c r="Y2" s="13" t="s">
        <v>1208</v>
      </c>
      <c r="Z2" s="16" t="s">
        <v>1196</v>
      </c>
      <c r="AA2" s="17" t="s">
        <v>1215</v>
      </c>
      <c r="AB2" s="17" t="s">
        <v>1211</v>
      </c>
      <c r="AC2" s="17" t="s">
        <v>284</v>
      </c>
      <c r="AD2" s="17" t="s">
        <v>1210</v>
      </c>
      <c r="AE2" s="17" t="s">
        <v>1212</v>
      </c>
      <c r="AF2" s="17" t="s">
        <v>13</v>
      </c>
      <c r="AG2" s="17" t="s">
        <v>1503</v>
      </c>
      <c r="AH2" s="17" t="s">
        <v>1208</v>
      </c>
      <c r="AI2" s="17" t="s">
        <v>1196</v>
      </c>
      <c r="AJ2" s="16" t="s">
        <v>1504</v>
      </c>
      <c r="AK2" s="17" t="s">
        <v>571</v>
      </c>
      <c r="AL2" s="1" t="s">
        <v>1505</v>
      </c>
      <c r="AM2" s="1" t="s">
        <v>1506</v>
      </c>
      <c r="AN2" s="1" t="s">
        <v>1507</v>
      </c>
      <c r="AP2" s="1" t="s">
        <v>1508</v>
      </c>
      <c r="AR2" s="1" t="s">
        <v>1191</v>
      </c>
      <c r="AS2" s="18" t="s">
        <v>1499</v>
      </c>
      <c r="AT2" s="1" t="s">
        <v>1509</v>
      </c>
      <c r="AU2" s="1" t="s">
        <v>1510</v>
      </c>
      <c r="AV2" s="1" t="s">
        <v>1206</v>
      </c>
      <c r="AW2" s="1" t="s">
        <v>1207</v>
      </c>
      <c r="AX2" s="1" t="s">
        <v>1209</v>
      </c>
      <c r="AY2" s="1" t="s">
        <v>1210</v>
      </c>
      <c r="AZ2" s="1" t="s">
        <v>1211</v>
      </c>
      <c r="BA2" s="1" t="s">
        <v>13</v>
      </c>
      <c r="BB2" s="1" t="s">
        <v>1212</v>
      </c>
      <c r="BC2" s="1" t="s">
        <v>1213</v>
      </c>
      <c r="BD2" s="1" t="s">
        <v>1214</v>
      </c>
      <c r="BE2" s="1" t="s">
        <v>205</v>
      </c>
      <c r="BF2" s="1" t="s">
        <v>1215</v>
      </c>
    </row>
    <row r="3" spans="1:58" ht="111">
      <c r="A3" s="5" t="s">
        <v>1220</v>
      </c>
      <c r="B3" s="6" t="s">
        <v>1511</v>
      </c>
      <c r="C3" s="7" t="s">
        <v>1512</v>
      </c>
      <c r="D3" s="8" t="s">
        <v>1513</v>
      </c>
      <c r="E3" s="9" t="s">
        <v>1366</v>
      </c>
      <c r="F3" s="9" t="s">
        <v>1229</v>
      </c>
      <c r="G3" s="9" t="s">
        <v>1225</v>
      </c>
      <c r="H3" s="9" t="s">
        <v>1226</v>
      </c>
      <c r="I3" s="5" t="s">
        <v>1514</v>
      </c>
      <c r="J3" s="5" t="s">
        <v>1515</v>
      </c>
      <c r="K3" s="5" t="s">
        <v>1516</v>
      </c>
      <c r="L3" s="5" t="s">
        <v>1517</v>
      </c>
      <c r="M3" s="12" t="s">
        <v>1226</v>
      </c>
      <c r="N3" s="13" t="s">
        <v>1227</v>
      </c>
      <c r="O3" s="13" t="s">
        <v>1228</v>
      </c>
      <c r="P3" s="13" t="s">
        <v>1229</v>
      </c>
      <c r="Q3" s="13" t="s">
        <v>1229</v>
      </c>
      <c r="R3" s="13" t="s">
        <v>1230</v>
      </c>
      <c r="S3" s="13" t="s">
        <v>1230</v>
      </c>
      <c r="T3" s="13" t="s">
        <v>1231</v>
      </c>
      <c r="U3" s="13" t="s">
        <v>1232</v>
      </c>
      <c r="V3" s="13" t="s">
        <v>1233</v>
      </c>
      <c r="W3" s="13" t="s">
        <v>1234</v>
      </c>
      <c r="X3" s="13" t="s">
        <v>1226</v>
      </c>
      <c r="Y3" s="13" t="s">
        <v>1237</v>
      </c>
      <c r="Z3" s="16" t="s">
        <v>1226</v>
      </c>
      <c r="AA3" s="17" t="s">
        <v>1246</v>
      </c>
      <c r="AB3" s="17" t="s">
        <v>1240</v>
      </c>
      <c r="AC3" s="17" t="s">
        <v>1518</v>
      </c>
      <c r="AD3" s="17" t="s">
        <v>1239</v>
      </c>
      <c r="AE3" s="17" t="s">
        <v>1242</v>
      </c>
      <c r="AF3" s="17" t="s">
        <v>1519</v>
      </c>
      <c r="AG3" s="17" t="s">
        <v>1520</v>
      </c>
      <c r="AH3" s="17" t="s">
        <v>1237</v>
      </c>
      <c r="AI3" s="17" t="s">
        <v>102</v>
      </c>
      <c r="AJ3" s="16" t="s">
        <v>1521</v>
      </c>
      <c r="AK3" s="17" t="s">
        <v>1229</v>
      </c>
      <c r="AL3" s="1" t="s">
        <v>1522</v>
      </c>
      <c r="AM3" s="1" t="s">
        <v>1523</v>
      </c>
      <c r="AN3" s="1" t="s">
        <v>1524</v>
      </c>
      <c r="AP3" s="1" t="s">
        <v>1525</v>
      </c>
      <c r="AR3" s="1" t="s">
        <v>1526</v>
      </c>
      <c r="AS3" s="18" t="s">
        <v>1512</v>
      </c>
      <c r="AT3" s="1" t="s">
        <v>1513</v>
      </c>
      <c r="AU3" s="1" t="s">
        <v>1527</v>
      </c>
      <c r="AV3" s="1" t="s">
        <v>1235</v>
      </c>
      <c r="AW3" s="1" t="s">
        <v>1236</v>
      </c>
      <c r="AX3" s="1" t="s">
        <v>1238</v>
      </c>
      <c r="AY3" s="1" t="s">
        <v>1239</v>
      </c>
      <c r="AZ3" s="1" t="s">
        <v>1240</v>
      </c>
      <c r="BA3" s="1" t="s">
        <v>1241</v>
      </c>
      <c r="BB3" s="1" t="s">
        <v>1242</v>
      </c>
      <c r="BC3" s="1" t="s">
        <v>1243</v>
      </c>
      <c r="BD3" s="1" t="s">
        <v>1244</v>
      </c>
      <c r="BE3" s="1" t="s">
        <v>1245</v>
      </c>
      <c r="BF3" s="1" t="s">
        <v>1246</v>
      </c>
    </row>
    <row r="4" spans="1:58" ht="92.5">
      <c r="A4" s="5" t="s">
        <v>1249</v>
      </c>
      <c r="B4" s="6" t="s">
        <v>1528</v>
      </c>
      <c r="C4" s="7" t="s">
        <v>1529</v>
      </c>
      <c r="D4" s="8"/>
      <c r="E4" s="9" t="s">
        <v>1367</v>
      </c>
      <c r="F4" s="9" t="s">
        <v>1256</v>
      </c>
      <c r="G4" s="9"/>
      <c r="H4" s="9" t="s">
        <v>1530</v>
      </c>
      <c r="I4" s="5" t="s">
        <v>1531</v>
      </c>
      <c r="J4" s="5" t="s">
        <v>181</v>
      </c>
      <c r="K4" s="5" t="s">
        <v>1532</v>
      </c>
      <c r="L4" s="5" t="s">
        <v>1533</v>
      </c>
      <c r="M4" s="12" t="s">
        <v>1530</v>
      </c>
      <c r="N4" s="13" t="s">
        <v>1254</v>
      </c>
      <c r="O4" s="13" t="s">
        <v>1255</v>
      </c>
      <c r="P4" s="13" t="s">
        <v>1256</v>
      </c>
      <c r="Q4" s="13" t="s">
        <v>1256</v>
      </c>
      <c r="R4" s="13" t="s">
        <v>1257</v>
      </c>
      <c r="S4" s="13" t="s">
        <v>1257</v>
      </c>
      <c r="T4" s="13" t="s">
        <v>1258</v>
      </c>
      <c r="U4" s="13" t="s">
        <v>1259</v>
      </c>
      <c r="V4" s="13" t="s">
        <v>1260</v>
      </c>
      <c r="W4" s="13" t="s">
        <v>1261</v>
      </c>
      <c r="X4" s="13"/>
      <c r="Y4" s="13" t="s">
        <v>1263</v>
      </c>
      <c r="Z4" s="16"/>
      <c r="AA4" s="17" t="s">
        <v>1272</v>
      </c>
      <c r="AB4" s="17" t="s">
        <v>1534</v>
      </c>
      <c r="AC4" s="17" t="s">
        <v>1535</v>
      </c>
      <c r="AD4" s="17" t="s">
        <v>1536</v>
      </c>
      <c r="AE4" s="17" t="s">
        <v>1268</v>
      </c>
      <c r="AF4" s="17" t="s">
        <v>1267</v>
      </c>
      <c r="AG4" s="17" t="s">
        <v>1537</v>
      </c>
      <c r="AH4" s="17" t="s">
        <v>1263</v>
      </c>
      <c r="AI4" s="17"/>
      <c r="AJ4" s="16"/>
      <c r="AK4" s="17" t="s">
        <v>1256</v>
      </c>
      <c r="AL4" s="1" t="s">
        <v>1538</v>
      </c>
      <c r="AM4" s="1" t="s">
        <v>1539</v>
      </c>
      <c r="AN4" s="1" t="s">
        <v>1540</v>
      </c>
      <c r="AP4" s="1" t="s">
        <v>1541</v>
      </c>
      <c r="AR4" s="1" t="s">
        <v>1511</v>
      </c>
      <c r="AS4" s="18" t="s">
        <v>1529</v>
      </c>
      <c r="AT4" s="1" t="s">
        <v>1542</v>
      </c>
      <c r="AU4" s="1" t="s">
        <v>212</v>
      </c>
      <c r="AV4" s="1" t="s">
        <v>1262</v>
      </c>
      <c r="AW4" s="1" t="s">
        <v>102</v>
      </c>
      <c r="AX4" s="1" t="s">
        <v>1264</v>
      </c>
      <c r="AY4" s="1" t="s">
        <v>1265</v>
      </c>
      <c r="AZ4" s="1" t="s">
        <v>1266</v>
      </c>
      <c r="BA4" s="1" t="s">
        <v>1267</v>
      </c>
      <c r="BB4" s="1" t="s">
        <v>1268</v>
      </c>
      <c r="BC4" s="1" t="s">
        <v>1269</v>
      </c>
      <c r="BD4" s="1" t="s">
        <v>1270</v>
      </c>
      <c r="BE4" s="1" t="s">
        <v>1271</v>
      </c>
      <c r="BF4" s="1" t="s">
        <v>1272</v>
      </c>
    </row>
    <row r="5" spans="1:58" ht="92.5">
      <c r="A5" s="5"/>
      <c r="B5" s="6" t="s">
        <v>1543</v>
      </c>
      <c r="C5" s="7" t="s">
        <v>1544</v>
      </c>
      <c r="D5" s="8"/>
      <c r="E5" s="9"/>
      <c r="F5" s="9" t="s">
        <v>1280</v>
      </c>
      <c r="G5" s="9"/>
      <c r="H5" s="9"/>
      <c r="I5" s="5" t="s">
        <v>1545</v>
      </c>
      <c r="J5" s="5" t="s">
        <v>188</v>
      </c>
      <c r="K5" s="5"/>
      <c r="L5" s="5"/>
      <c r="M5" s="12"/>
      <c r="N5" s="13"/>
      <c r="O5" s="13"/>
      <c r="P5" s="13" t="s">
        <v>1280</v>
      </c>
      <c r="Q5" s="13" t="s">
        <v>1280</v>
      </c>
      <c r="R5" s="13"/>
      <c r="S5" s="13"/>
      <c r="T5" s="13" t="s">
        <v>1281</v>
      </c>
      <c r="U5" s="13"/>
      <c r="V5" s="13" t="s">
        <v>1282</v>
      </c>
      <c r="W5" s="13" t="s">
        <v>1283</v>
      </c>
      <c r="X5" s="13"/>
      <c r="Y5" s="13" t="s">
        <v>1214</v>
      </c>
      <c r="Z5" s="16"/>
      <c r="AA5" s="17" t="s">
        <v>1293</v>
      </c>
      <c r="AB5" s="17" t="s">
        <v>1546</v>
      </c>
      <c r="AC5" s="17" t="s">
        <v>1547</v>
      </c>
      <c r="AD5" s="17" t="s">
        <v>1265</v>
      </c>
      <c r="AE5" s="17" t="s">
        <v>1289</v>
      </c>
      <c r="AF5" s="17" t="s">
        <v>1548</v>
      </c>
      <c r="AG5" s="17" t="s">
        <v>1549</v>
      </c>
      <c r="AH5" s="17" t="s">
        <v>1214</v>
      </c>
      <c r="AI5" s="17"/>
      <c r="AJ5" s="16"/>
      <c r="AK5" s="17"/>
      <c r="AR5" s="1" t="s">
        <v>1528</v>
      </c>
      <c r="AS5" s="1" t="s">
        <v>1550</v>
      </c>
      <c r="AV5" s="1" t="s">
        <v>1284</v>
      </c>
      <c r="AX5" s="1" t="s">
        <v>1285</v>
      </c>
      <c r="AY5" s="1" t="s">
        <v>1286</v>
      </c>
      <c r="AZ5" s="1" t="s">
        <v>1287</v>
      </c>
      <c r="BA5" s="1" t="s">
        <v>1288</v>
      </c>
      <c r="BB5" s="1" t="s">
        <v>1289</v>
      </c>
      <c r="BC5" s="1" t="s">
        <v>1290</v>
      </c>
      <c r="BD5" s="1" t="s">
        <v>1291</v>
      </c>
      <c r="BE5" s="1" t="s">
        <v>1292</v>
      </c>
      <c r="BF5" s="1" t="s">
        <v>1293</v>
      </c>
    </row>
    <row r="6" spans="1:58" ht="55.5">
      <c r="A6" s="5"/>
      <c r="B6" s="6" t="s">
        <v>1551</v>
      </c>
      <c r="C6" s="7" t="s">
        <v>1552</v>
      </c>
      <c r="D6" s="8"/>
      <c r="E6" s="9"/>
      <c r="F6" s="9"/>
      <c r="G6" s="9"/>
      <c r="H6" s="9"/>
      <c r="I6" s="5"/>
      <c r="J6" s="5"/>
      <c r="K6" s="5"/>
      <c r="L6" s="5"/>
      <c r="M6" s="12"/>
      <c r="N6" s="13"/>
      <c r="O6" s="13"/>
      <c r="P6" s="13"/>
      <c r="Q6" s="13"/>
      <c r="R6" s="13"/>
      <c r="S6" s="13"/>
      <c r="T6" s="13" t="s">
        <v>1299</v>
      </c>
      <c r="U6" s="13"/>
      <c r="V6" s="13" t="s">
        <v>1300</v>
      </c>
      <c r="W6" s="13"/>
      <c r="X6" s="13"/>
      <c r="Y6" s="13"/>
      <c r="Z6" s="16"/>
      <c r="AA6" s="17" t="s">
        <v>1307</v>
      </c>
      <c r="AB6" s="17" t="s">
        <v>1553</v>
      </c>
      <c r="AC6" s="17" t="s">
        <v>1554</v>
      </c>
      <c r="AD6" s="17" t="s">
        <v>1555</v>
      </c>
      <c r="AE6" s="17" t="s">
        <v>1305</v>
      </c>
      <c r="AF6" s="17" t="s">
        <v>1556</v>
      </c>
      <c r="AG6" s="17"/>
      <c r="AH6" s="17"/>
      <c r="AI6" s="17"/>
      <c r="AJ6" s="16"/>
      <c r="AK6" s="17"/>
      <c r="AR6" s="1" t="s">
        <v>1543</v>
      </c>
      <c r="AS6" s="18" t="s">
        <v>1544</v>
      </c>
      <c r="AX6" s="1" t="s">
        <v>1301</v>
      </c>
      <c r="AY6" s="1" t="s">
        <v>1302</v>
      </c>
      <c r="AZ6" s="1" t="s">
        <v>1303</v>
      </c>
      <c r="BA6" s="1" t="s">
        <v>1304</v>
      </c>
      <c r="BB6" s="1" t="s">
        <v>1305</v>
      </c>
      <c r="BC6" s="1" t="s">
        <v>1306</v>
      </c>
      <c r="BE6" s="1" t="s">
        <v>1291</v>
      </c>
      <c r="BF6" s="1" t="s">
        <v>1307</v>
      </c>
    </row>
    <row r="7" spans="1:58" ht="74">
      <c r="C7" s="7" t="s">
        <v>1557</v>
      </c>
      <c r="K7" s="5"/>
      <c r="N7" s="13"/>
      <c r="O7" s="13"/>
      <c r="P7" s="13"/>
      <c r="Q7" s="13"/>
      <c r="R7" s="13"/>
      <c r="S7" s="13"/>
      <c r="T7" s="13" t="s">
        <v>1315</v>
      </c>
      <c r="U7" s="13"/>
      <c r="V7" s="13"/>
      <c r="W7" s="13"/>
      <c r="X7" s="13"/>
      <c r="Y7" s="13"/>
      <c r="Z7" s="16"/>
      <c r="AA7" s="17" t="s">
        <v>1320</v>
      </c>
      <c r="AB7" s="17"/>
      <c r="AC7" s="17"/>
      <c r="AD7" s="17" t="s">
        <v>1558</v>
      </c>
      <c r="AE7" s="17" t="s">
        <v>1318</v>
      </c>
      <c r="AF7" s="17" t="s">
        <v>1559</v>
      </c>
      <c r="AG7" s="17"/>
      <c r="AH7" s="17"/>
      <c r="AI7" s="17"/>
      <c r="AJ7" s="16"/>
      <c r="AK7" s="17"/>
      <c r="AR7" s="1" t="s">
        <v>1560</v>
      </c>
      <c r="AS7" s="18" t="s">
        <v>1552</v>
      </c>
      <c r="AX7" s="1" t="s">
        <v>1316</v>
      </c>
      <c r="AY7" s="1" t="s">
        <v>1291</v>
      </c>
      <c r="AZ7" s="1" t="s">
        <v>1291</v>
      </c>
      <c r="BA7" s="1" t="s">
        <v>1317</v>
      </c>
      <c r="BB7" s="1" t="s">
        <v>1318</v>
      </c>
      <c r="BC7" s="1" t="s">
        <v>1319</v>
      </c>
      <c r="BF7" s="1" t="s">
        <v>1320</v>
      </c>
    </row>
    <row r="8" spans="1:58" ht="92.5">
      <c r="C8" s="7" t="s">
        <v>1561</v>
      </c>
      <c r="K8" s="5"/>
      <c r="AA8" s="17"/>
      <c r="AB8" s="17"/>
      <c r="AC8" s="17"/>
      <c r="AD8" s="17"/>
      <c r="AE8" s="17" t="s">
        <v>1327</v>
      </c>
      <c r="AF8" s="17" t="s">
        <v>1562</v>
      </c>
      <c r="AG8" s="17"/>
      <c r="AH8" s="17"/>
      <c r="AI8" s="17"/>
      <c r="AS8" s="18" t="s">
        <v>1557</v>
      </c>
      <c r="AX8" s="1" t="s">
        <v>1325</v>
      </c>
      <c r="BA8" s="1" t="s">
        <v>1326</v>
      </c>
      <c r="BB8" s="1" t="s">
        <v>1327</v>
      </c>
      <c r="BC8" s="1" t="s">
        <v>1328</v>
      </c>
      <c r="BF8" s="1" t="s">
        <v>1291</v>
      </c>
    </row>
    <row r="9" spans="1:58" ht="37">
      <c r="C9" s="7" t="s">
        <v>1563</v>
      </c>
      <c r="K9" s="5"/>
      <c r="AS9" s="18" t="s">
        <v>1561</v>
      </c>
      <c r="AX9" s="1" t="s">
        <v>1332</v>
      </c>
      <c r="BA9" s="1" t="s">
        <v>1291</v>
      </c>
      <c r="BB9" s="1" t="s">
        <v>1291</v>
      </c>
      <c r="BC9" s="1" t="s">
        <v>1291</v>
      </c>
    </row>
    <row r="10" spans="1:58" ht="55.5">
      <c r="C10" s="1" t="s">
        <v>1564</v>
      </c>
      <c r="K10" s="5"/>
      <c r="AS10" s="18" t="s">
        <v>1565</v>
      </c>
      <c r="AX10" s="1" t="s">
        <v>1337</v>
      </c>
    </row>
    <row r="11" spans="1:58" ht="55.5">
      <c r="C11" s="10"/>
      <c r="AS11" s="1" t="s">
        <v>1564</v>
      </c>
      <c r="AX11" s="1" t="s">
        <v>1341</v>
      </c>
    </row>
    <row r="12" spans="1:58" ht="37">
      <c r="C12" s="10"/>
      <c r="AX12" s="1" t="s">
        <v>1345</v>
      </c>
    </row>
    <row r="13" spans="1:58" ht="55.5">
      <c r="C13" s="10"/>
      <c r="AX13" s="1" t="s">
        <v>1347</v>
      </c>
    </row>
    <row r="14" spans="1:58" ht="37">
      <c r="C14" s="10"/>
      <c r="AX14" s="1" t="s">
        <v>1350</v>
      </c>
    </row>
    <row r="15" spans="1:58" ht="55.5">
      <c r="C15" s="10"/>
      <c r="AX15" s="1" t="s">
        <v>1352</v>
      </c>
    </row>
    <row r="16" spans="1:58" ht="55.5">
      <c r="AX16" s="1" t="s">
        <v>1354</v>
      </c>
    </row>
    <row r="17" spans="50:50" ht="55.5">
      <c r="AX17" s="1" t="s">
        <v>1355</v>
      </c>
    </row>
    <row r="18" spans="50:50">
      <c r="AX18" s="1" t="s">
        <v>1291</v>
      </c>
    </row>
  </sheetData>
  <pageMargins left="0.7" right="0.7" top="0.75" bottom="0.75" header="0.3" footer="0.3"/>
  <pageSetup orientation="portrai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llowEditUser xmlns="https://web.wps.cn/et/2018/main" xmlns:s="http://schemas.openxmlformats.org/spreadsheetml/2006/main" hasInvisiblePropRange="0">
  <rangeList sheetStid="99" master="" otherUserPermission="visible"/>
  <rangeList sheetStid="101" master="" otherUserPermission="visible"/>
  <rangeList sheetStid="130" master="" otherUserPermission="visible"/>
  <rangeList sheetStid="181" master="" otherUserPermission="visible"/>
  <rangeList sheetStid="158" master="" otherUserPermission="visible"/>
  <rangeList sheetStid="131" master="" otherUserPermission="visible"/>
  <rangeList sheetStid="186" master="" otherUserPermission="visible"/>
  <rangeList sheetStid="185" master="" otherUserPermission="visible"/>
  <rangeList sheetStid="128" master="" otherUserPermission="visible"/>
  <rangeList sheetStid="184" master="" otherUserPermission="visible"/>
  <rangeList sheetStid="182" master="" otherUserPermission="visible"/>
  <rangeList sheetStid="155" master="" otherUserPermission="visible"/>
  <rangeList sheetStid="172" master="" otherUserPermission="visible"/>
  <rangeList sheetStid="159" master="" otherUserPermission="visible"/>
  <rangeList sheetStid="169" master="" otherUserPermission="visible"/>
  <rangeList sheetStid="176" master="" otherUserPermission="visible"/>
  <rangeList sheetStid="177" master="" otherUserPermission="visible"/>
  <rangeList sheetStid="143" master="" otherUserPermission="visible"/>
  <rangeList sheetStid="167" master="" otherUserPermission="visible"/>
  <rangeList sheetStid="133" master="" otherUserPermission="visible"/>
  <rangeList sheetStid="168" master="" otherUserPermission="visible"/>
  <rangeList sheetStid="173" master="" otherUserPermission="visible"/>
  <rangeList sheetStid="162" master="" otherUserPermission="visible"/>
  <rangeList sheetStid="174" master="" otherUserPermission="visible"/>
  <rangeList sheetStid="175" master="" otherUserPermission="visible"/>
  <rangeList sheetStid="163" master="" otherUserPermission="visible"/>
  <rangeList sheetStid="164" master="" otherUserPermission="visible"/>
  <rangeList sheetStid="165" master="" otherUserPermission="visible"/>
  <rangeList sheetStid="166" master="" otherUserPermission="visible"/>
  <rangeList sheetStid="170" master="" otherUserPermission="visible"/>
  <rangeList sheetStid="156" master="" otherUserPermission="visible"/>
  <rangeList sheetStid="126" master="" otherUserPermission="visible"/>
  <rangeList sheetStid="124" master="" otherUserPermission="visible"/>
  <rangeList sheetStid="40" master="" otherUserPermission="visible"/>
</allowEditUser>
</file>

<file path=customXml/itemProps1.xml><?xml version="1.0" encoding="utf-8"?>
<ds:datastoreItem xmlns:ds="http://schemas.openxmlformats.org/officeDocument/2006/customXml" ds:itemID="{94C800FF-7C6B-4086-B031-2C8BF38B67CE}">
  <ds:schemaRefs/>
</ds:datastoreItem>
</file>

<file path=customXml/itemProps2.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3</vt:i4>
      </vt:variant>
    </vt:vector>
  </HeadingPairs>
  <TitlesOfParts>
    <vt:vector size="37" baseType="lpstr">
      <vt:lpstr>01.Converter</vt:lpstr>
      <vt:lpstr>02.GeneralFileDetails</vt:lpstr>
      <vt:lpstr>MaGic_AVM_Land</vt:lpstr>
      <vt:lpstr>MaGic_Avm_Building</vt:lpstr>
      <vt:lpstr>101.Magic_AVM_OuTpUt</vt:lpstr>
      <vt:lpstr>AVMDropdown</vt:lpstr>
      <vt:lpstr>MotherData</vt:lpstr>
      <vt:lpstr>Report</vt:lpstr>
      <vt:lpstr>Annexure</vt:lpstr>
      <vt:lpstr>PanCatI</vt:lpstr>
      <vt:lpstr>Panchayat Catagory</vt:lpstr>
      <vt:lpstr>1.SurveyAnalysis</vt:lpstr>
      <vt:lpstr>0.DocumentAnalysis</vt:lpstr>
      <vt:lpstr>02.OwnerAnalysis</vt:lpstr>
      <vt:lpstr>03.AnalysisboundaryDeed</vt:lpstr>
      <vt:lpstr>04.AnalysisboundaryLocSk</vt:lpstr>
      <vt:lpstr>05.AnalysisboundarySurSk</vt:lpstr>
      <vt:lpstr>01.AGRMT</vt:lpstr>
      <vt:lpstr>01B.SDEC</vt:lpstr>
      <vt:lpstr>02.OTD</vt:lpstr>
      <vt:lpstr>03.LTR</vt:lpstr>
      <vt:lpstr>04.POSN</vt:lpstr>
      <vt:lpstr>05.TIR</vt:lpstr>
      <vt:lpstr>06.LocSk</vt:lpstr>
      <vt:lpstr>07.SurSk</vt:lpstr>
      <vt:lpstr>06.BPER</vt:lpstr>
      <vt:lpstr>07.DPER</vt:lpstr>
      <vt:lpstr>08.BTAX</vt:lpstr>
      <vt:lpstr>09.BCER</vt:lpstr>
      <vt:lpstr>10.SITE</vt:lpstr>
      <vt:lpstr>102.OutPut Drop Down</vt:lpstr>
      <vt:lpstr>AppDropdown</vt:lpstr>
      <vt:lpstr>101.Vlook Up</vt:lpstr>
      <vt:lpstr>0.Dropdown</vt:lpstr>
      <vt:lpstr>'03.LTR'!Print_Area</vt:lpstr>
      <vt:lpstr>Annexure!Print_Area</vt:lpstr>
      <vt:lpstr>Report!Print_Area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BHIMAN</dc:creator>
  <cp:lastModifiedBy>Sanjay babu</cp:lastModifiedBy>
  <cp:lastPrinted>2025-10-10T11:34:00Z</cp:lastPrinted>
  <dcterms:created xsi:type="dcterms:W3CDTF">2021-07-14T15:23:00Z</dcterms:created>
  <dcterms:modified xsi:type="dcterms:W3CDTF">2026-04-04T06:34:16Z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E25503539CCE444EA1F425F6561BB1A6_12</vt:lpwstr>
  </property>
  <property fmtid="{D5CDD505-2E9C-101B-9397-08002B2CF9AE}" pid="3" name="KSOProductBuildVer">
    <vt:lpwstr>1033-12.2.0.22549</vt:lpwstr>
  </property>
</Properties>
</file>